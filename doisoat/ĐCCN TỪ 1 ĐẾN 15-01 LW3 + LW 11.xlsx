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LD-NHƯ\03. CÔNG NỢ NCC\CÔNG NỢ NCC T01.26\"/>
    </mc:Choice>
  </mc:AlternateContent>
  <xr:revisionPtr revIDLastSave="0" documentId="13_ncr:1_{6B297271-79D5-4B3B-A113-436F3985F9C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W3" sheetId="1" r:id="rId1"/>
    <sheet name="WS3" sheetId="5" state="hidden" r:id="rId2"/>
    <sheet name="MÃ" sheetId="3" state="hidden" r:id="rId3"/>
    <sheet name="LW11" sheetId="2" r:id="rId4"/>
    <sheet name="WS11" sheetId="4" state="hidden" r:id="rId5"/>
  </sheets>
  <definedNames>
    <definedName name="_xlnm._FilterDatabase" localSheetId="3" hidden="1">'LW11'!$A$14:$S$498</definedName>
    <definedName name="_xlnm._FilterDatabase" localSheetId="0" hidden="1">'LW3'!$A$14:$S$465</definedName>
    <definedName name="_xlnm._FilterDatabase" localSheetId="4" hidden="1">'WS11'!$A$1:$X$476</definedName>
    <definedName name="_xlnm._FilterDatabase" localSheetId="1" hidden="1">'WS3'!$A$1:$X$438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35" i="2" l="1"/>
  <c r="M435" i="2" s="1"/>
  <c r="O1" i="4"/>
  <c r="L1" i="4"/>
  <c r="O1" i="5"/>
  <c r="L1" i="5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277" i="4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4" i="2"/>
  <c r="M434" i="2" s="1"/>
  <c r="L433" i="2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L348" i="2"/>
  <c r="M348" i="2" s="1"/>
  <c r="L347" i="2"/>
  <c r="M347" i="2" s="1"/>
  <c r="L346" i="2"/>
  <c r="M346" i="2" s="1"/>
  <c r="L345" i="2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L312" i="2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M218" i="2"/>
  <c r="L218" i="2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" i="4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258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" i="5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15" i="1"/>
  <c r="M15" i="1" s="1"/>
  <c r="J494" i="2"/>
  <c r="J495" i="2"/>
  <c r="J496" i="2"/>
  <c r="J497" i="2"/>
  <c r="J498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15" i="2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15" i="1"/>
  <c r="N435" i="2" l="1"/>
  <c r="Q435" i="2" s="1"/>
  <c r="O435" i="2"/>
  <c r="R435" i="2" s="1"/>
  <c r="N327" i="2"/>
  <c r="N186" i="2"/>
  <c r="N298" i="2"/>
  <c r="N402" i="2"/>
  <c r="N76" i="2"/>
  <c r="O126" i="2"/>
  <c r="N178" i="2"/>
  <c r="N299" i="2"/>
  <c r="N310" i="2"/>
  <c r="N322" i="2"/>
  <c r="N334" i="2"/>
  <c r="N379" i="2"/>
  <c r="N391" i="2"/>
  <c r="N403" i="2"/>
  <c r="N414" i="2"/>
  <c r="N439" i="2"/>
  <c r="N458" i="2"/>
  <c r="O430" i="2"/>
  <c r="N296" i="2"/>
  <c r="N316" i="2"/>
  <c r="Q316" i="2" s="1"/>
  <c r="O29" i="2"/>
  <c r="R29" i="2" s="1"/>
  <c r="O138" i="2"/>
  <c r="R138" i="2" s="1"/>
  <c r="O179" i="2"/>
  <c r="R179" i="2" s="1"/>
  <c r="N187" i="2"/>
  <c r="Q187" i="2" s="1"/>
  <c r="O204" i="2"/>
  <c r="R204" i="2" s="1"/>
  <c r="O251" i="2"/>
  <c r="N289" i="2"/>
  <c r="N300" i="2"/>
  <c r="N311" i="2"/>
  <c r="N323" i="2"/>
  <c r="N335" i="2"/>
  <c r="Q335" i="2" s="1"/>
  <c r="N346" i="2"/>
  <c r="N370" i="2"/>
  <c r="N380" i="2"/>
  <c r="N404" i="2"/>
  <c r="Q404" i="2" s="1"/>
  <c r="N415" i="2"/>
  <c r="N427" i="2"/>
  <c r="N440" i="2"/>
  <c r="N451" i="2"/>
  <c r="O454" i="2"/>
  <c r="O422" i="2"/>
  <c r="R422" i="2" s="1"/>
  <c r="O286" i="2"/>
  <c r="R286" i="2" s="1"/>
  <c r="O458" i="2"/>
  <c r="N196" i="2"/>
  <c r="O233" i="2"/>
  <c r="R233" i="2" s="1"/>
  <c r="N271" i="2"/>
  <c r="N324" i="2"/>
  <c r="N347" i="2"/>
  <c r="N359" i="2"/>
  <c r="Q359" i="2" s="1"/>
  <c r="N371" i="2"/>
  <c r="N381" i="2"/>
  <c r="N393" i="2"/>
  <c r="N405" i="2"/>
  <c r="N428" i="2"/>
  <c r="N441" i="2"/>
  <c r="N452" i="2"/>
  <c r="N464" i="2"/>
  <c r="N454" i="2"/>
  <c r="O414" i="2"/>
  <c r="O277" i="2"/>
  <c r="R277" i="2" s="1"/>
  <c r="N449" i="2"/>
  <c r="O89" i="2"/>
  <c r="N214" i="2"/>
  <c r="N223" i="2"/>
  <c r="N244" i="2"/>
  <c r="Q244" i="2" s="1"/>
  <c r="O272" i="2"/>
  <c r="N302" i="2"/>
  <c r="Q302" i="2" s="1"/>
  <c r="N337" i="2"/>
  <c r="Q337" i="2" s="1"/>
  <c r="N348" i="2"/>
  <c r="N360" i="2"/>
  <c r="N372" i="2"/>
  <c r="Q372" i="2" s="1"/>
  <c r="N382" i="2"/>
  <c r="N394" i="2"/>
  <c r="N406" i="2"/>
  <c r="N417" i="2"/>
  <c r="N429" i="2"/>
  <c r="N442" i="2"/>
  <c r="N453" i="2"/>
  <c r="O453" i="2"/>
  <c r="R453" i="2" s="1"/>
  <c r="O398" i="2"/>
  <c r="R398" i="2" s="1"/>
  <c r="O268" i="2"/>
  <c r="R268" i="2" s="1"/>
  <c r="N461" i="2"/>
  <c r="O41" i="2"/>
  <c r="R41" i="2" s="1"/>
  <c r="O61" i="2"/>
  <c r="R61" i="2" s="1"/>
  <c r="O90" i="2"/>
  <c r="R90" i="2" s="1"/>
  <c r="O119" i="2"/>
  <c r="O150" i="2"/>
  <c r="R150" i="2" s="1"/>
  <c r="N172" i="2"/>
  <c r="N235" i="2"/>
  <c r="N253" i="2"/>
  <c r="O273" i="2"/>
  <c r="O281" i="2"/>
  <c r="R281" i="2" s="1"/>
  <c r="O291" i="2"/>
  <c r="R291" i="2" s="1"/>
  <c r="N303" i="2"/>
  <c r="Q303" i="2" s="1"/>
  <c r="N314" i="2"/>
  <c r="Q314" i="2" s="1"/>
  <c r="O338" i="2"/>
  <c r="R338" i="2" s="1"/>
  <c r="N361" i="2"/>
  <c r="N373" i="2"/>
  <c r="Q373" i="2" s="1"/>
  <c r="N383" i="2"/>
  <c r="N395" i="2"/>
  <c r="O407" i="2"/>
  <c r="R407" i="2" s="1"/>
  <c r="N418" i="2"/>
  <c r="N430" i="2"/>
  <c r="N443" i="2"/>
  <c r="N466" i="2"/>
  <c r="O451" i="2"/>
  <c r="R451" i="2" s="1"/>
  <c r="O390" i="2"/>
  <c r="R390" i="2" s="1"/>
  <c r="O247" i="2"/>
  <c r="R247" i="2" s="1"/>
  <c r="N490" i="2"/>
  <c r="Q490" i="2" s="1"/>
  <c r="N241" i="2"/>
  <c r="Q241" i="2" s="1"/>
  <c r="N91" i="2"/>
  <c r="N151" i="2"/>
  <c r="O162" i="2"/>
  <c r="N198" i="2"/>
  <c r="O236" i="2"/>
  <c r="O245" i="2"/>
  <c r="R245" i="2" s="1"/>
  <c r="N264" i="2"/>
  <c r="Q264" i="2" s="1"/>
  <c r="N292" i="2"/>
  <c r="Q292" i="2" s="1"/>
  <c r="O327" i="2"/>
  <c r="R327" i="2" s="1"/>
  <c r="N339" i="2"/>
  <c r="Q339" i="2" s="1"/>
  <c r="N350" i="2"/>
  <c r="N362" i="2"/>
  <c r="N384" i="2"/>
  <c r="N396" i="2"/>
  <c r="N408" i="2"/>
  <c r="N419" i="2"/>
  <c r="N431" i="2"/>
  <c r="N455" i="2"/>
  <c r="O466" i="2"/>
  <c r="R466" i="2" s="1"/>
  <c r="O447" i="2"/>
  <c r="R447" i="2" s="1"/>
  <c r="O373" i="2"/>
  <c r="R373" i="2" s="1"/>
  <c r="O148" i="2"/>
  <c r="R148" i="2" s="1"/>
  <c r="O269" i="2"/>
  <c r="R269" i="2" s="1"/>
  <c r="N356" i="2"/>
  <c r="Q356" i="2" s="1"/>
  <c r="O53" i="2"/>
  <c r="R53" i="2" s="1"/>
  <c r="O173" i="2"/>
  <c r="O275" i="2"/>
  <c r="R275" i="2" s="1"/>
  <c r="O293" i="2"/>
  <c r="R293" i="2" s="1"/>
  <c r="N304" i="2"/>
  <c r="O316" i="2"/>
  <c r="R316" i="2" s="1"/>
  <c r="N328" i="2"/>
  <c r="Q328" i="2" s="1"/>
  <c r="N340" i="2"/>
  <c r="Q340" i="2" s="1"/>
  <c r="N351" i="2"/>
  <c r="Q351" i="2" s="1"/>
  <c r="N363" i="2"/>
  <c r="N420" i="2"/>
  <c r="N432" i="2"/>
  <c r="N445" i="2"/>
  <c r="N456" i="2"/>
  <c r="O465" i="2"/>
  <c r="N447" i="2"/>
  <c r="O364" i="2"/>
  <c r="R364" i="2" s="1"/>
  <c r="N133" i="2"/>
  <c r="N390" i="2"/>
  <c r="O102" i="2"/>
  <c r="R102" i="2" s="1"/>
  <c r="O227" i="2"/>
  <c r="O238" i="2"/>
  <c r="R238" i="2" s="1"/>
  <c r="O283" i="2"/>
  <c r="R283" i="2" s="1"/>
  <c r="O305" i="2"/>
  <c r="R305" i="2" s="1"/>
  <c r="N364" i="2"/>
  <c r="Q364" i="2" s="1"/>
  <c r="N374" i="2"/>
  <c r="N386" i="2"/>
  <c r="N398" i="2"/>
  <c r="N410" i="2"/>
  <c r="N457" i="2"/>
  <c r="N465" i="2"/>
  <c r="Q465" i="2" s="1"/>
  <c r="O445" i="2"/>
  <c r="R445" i="2" s="1"/>
  <c r="O356" i="2"/>
  <c r="R356" i="2" s="1"/>
  <c r="O103" i="2"/>
  <c r="R103" i="2" s="1"/>
  <c r="O438" i="2"/>
  <c r="N103" i="2"/>
  <c r="O133" i="2"/>
  <c r="N175" i="2"/>
  <c r="O209" i="2"/>
  <c r="R209" i="2" s="1"/>
  <c r="N217" i="2"/>
  <c r="N247" i="2"/>
  <c r="N257" i="2"/>
  <c r="Q257" i="2" s="1"/>
  <c r="O284" i="2"/>
  <c r="R284" i="2" s="1"/>
  <c r="O295" i="2"/>
  <c r="R295" i="2" s="1"/>
  <c r="N375" i="2"/>
  <c r="N387" i="2"/>
  <c r="Q387" i="2" s="1"/>
  <c r="N399" i="2"/>
  <c r="Q399" i="2" s="1"/>
  <c r="N411" i="2"/>
  <c r="Q411" i="2" s="1"/>
  <c r="N422" i="2"/>
  <c r="N434" i="2"/>
  <c r="O463" i="2"/>
  <c r="O444" i="2"/>
  <c r="R444" i="2" s="1"/>
  <c r="O347" i="2"/>
  <c r="N487" i="2"/>
  <c r="Q487" i="2" s="1"/>
  <c r="N475" i="2"/>
  <c r="Q475" i="2" s="1"/>
  <c r="N106" i="2"/>
  <c r="N368" i="2"/>
  <c r="Q368" i="2" s="1"/>
  <c r="N166" i="2"/>
  <c r="N229" i="2"/>
  <c r="N258" i="2"/>
  <c r="Q258" i="2" s="1"/>
  <c r="O285" i="2"/>
  <c r="O296" i="2"/>
  <c r="N307" i="2"/>
  <c r="N342" i="2"/>
  <c r="N354" i="2"/>
  <c r="N366" i="2"/>
  <c r="N376" i="2"/>
  <c r="Q376" i="2" s="1"/>
  <c r="N388" i="2"/>
  <c r="Q388" i="2" s="1"/>
  <c r="N400" i="2"/>
  <c r="Q400" i="2" s="1"/>
  <c r="N412" i="2"/>
  <c r="Q412" i="2" s="1"/>
  <c r="N423" i="2"/>
  <c r="N436" i="2"/>
  <c r="N463" i="2"/>
  <c r="N444" i="2"/>
  <c r="N338" i="2"/>
  <c r="N378" i="2"/>
  <c r="O144" i="2"/>
  <c r="O156" i="2"/>
  <c r="R156" i="2" s="1"/>
  <c r="O185" i="2"/>
  <c r="R185" i="2" s="1"/>
  <c r="N211" i="2"/>
  <c r="N259" i="2"/>
  <c r="N268" i="2"/>
  <c r="Q268" i="2" s="1"/>
  <c r="N277" i="2"/>
  <c r="N286" i="2"/>
  <c r="P286" i="2" s="1"/>
  <c r="N308" i="2"/>
  <c r="N320" i="2"/>
  <c r="N332" i="2"/>
  <c r="N343" i="2"/>
  <c r="N355" i="2"/>
  <c r="N367" i="2"/>
  <c r="N424" i="2"/>
  <c r="Q424" i="2" s="1"/>
  <c r="N448" i="2"/>
  <c r="Q448" i="2" s="1"/>
  <c r="N460" i="2"/>
  <c r="Q460" i="2" s="1"/>
  <c r="O460" i="2"/>
  <c r="R460" i="2" s="1"/>
  <c r="O441" i="2"/>
  <c r="R441" i="2" s="1"/>
  <c r="N496" i="2"/>
  <c r="Q496" i="2" s="1"/>
  <c r="N438" i="2"/>
  <c r="N57" i="2"/>
  <c r="O57" i="2"/>
  <c r="R57" i="2" s="1"/>
  <c r="N157" i="2"/>
  <c r="O157" i="2"/>
  <c r="R157" i="2" s="1"/>
  <c r="O59" i="2"/>
  <c r="R59" i="2" s="1"/>
  <c r="N59" i="2"/>
  <c r="N117" i="2"/>
  <c r="O117" i="2"/>
  <c r="R117" i="2" s="1"/>
  <c r="N50" i="2"/>
  <c r="O50" i="2"/>
  <c r="R50" i="2" s="1"/>
  <c r="N79" i="2"/>
  <c r="Q79" i="2" s="1"/>
  <c r="O79" i="2"/>
  <c r="R79" i="2" s="1"/>
  <c r="N99" i="2"/>
  <c r="O99" i="2"/>
  <c r="N33" i="2"/>
  <c r="O33" i="2"/>
  <c r="R33" i="2" s="1"/>
  <c r="N42" i="2"/>
  <c r="O42" i="2"/>
  <c r="R42" i="2" s="1"/>
  <c r="N226" i="2"/>
  <c r="O226" i="2"/>
  <c r="R226" i="2" s="1"/>
  <c r="O71" i="2"/>
  <c r="R71" i="2" s="1"/>
  <c r="N71" i="2"/>
  <c r="O23" i="2"/>
  <c r="R23" i="2" s="1"/>
  <c r="N23" i="2"/>
  <c r="N122" i="2"/>
  <c r="O122" i="2"/>
  <c r="N24" i="2"/>
  <c r="Q24" i="2" s="1"/>
  <c r="O24" i="2"/>
  <c r="R24" i="2" s="1"/>
  <c r="O192" i="2"/>
  <c r="R192" i="2" s="1"/>
  <c r="N192" i="2"/>
  <c r="N134" i="2"/>
  <c r="Q134" i="2" s="1"/>
  <c r="O134" i="2"/>
  <c r="R134" i="2" s="1"/>
  <c r="N202" i="2"/>
  <c r="Q202" i="2" s="1"/>
  <c r="O202" i="2"/>
  <c r="R202" i="2" s="1"/>
  <c r="N36" i="2"/>
  <c r="O36" i="2"/>
  <c r="N105" i="2"/>
  <c r="O105" i="2"/>
  <c r="O288" i="2"/>
  <c r="R288" i="2" s="1"/>
  <c r="N288" i="2"/>
  <c r="N317" i="2"/>
  <c r="Q317" i="2" s="1"/>
  <c r="O317" i="2"/>
  <c r="R317" i="2" s="1"/>
  <c r="N26" i="2"/>
  <c r="O26" i="2"/>
  <c r="R26" i="2" s="1"/>
  <c r="N70" i="2"/>
  <c r="Q70" i="2" s="1"/>
  <c r="O70" i="2"/>
  <c r="R70" i="2" s="1"/>
  <c r="N329" i="2"/>
  <c r="O329" i="2"/>
  <c r="N58" i="2"/>
  <c r="Q58" i="2" s="1"/>
  <c r="O58" i="2"/>
  <c r="O382" i="2"/>
  <c r="R382" i="2" s="1"/>
  <c r="N119" i="2"/>
  <c r="N104" i="2"/>
  <c r="O104" i="2"/>
  <c r="R104" i="2" s="1"/>
  <c r="N19" i="2"/>
  <c r="O19" i="2"/>
  <c r="R19" i="2" s="1"/>
  <c r="O34" i="2"/>
  <c r="R34" i="2" s="1"/>
  <c r="N34" i="2"/>
  <c r="Q34" i="2" s="1"/>
  <c r="N129" i="2"/>
  <c r="Q129" i="2" s="1"/>
  <c r="O129" i="2"/>
  <c r="O28" i="2"/>
  <c r="R28" i="2" s="1"/>
  <c r="N28" i="2"/>
  <c r="N115" i="2"/>
  <c r="O115" i="2"/>
  <c r="R115" i="2" s="1"/>
  <c r="O131" i="2"/>
  <c r="R131" i="2" s="1"/>
  <c r="N131" i="2"/>
  <c r="N139" i="2"/>
  <c r="Q139" i="2" s="1"/>
  <c r="O139" i="2"/>
  <c r="R139" i="2" s="1"/>
  <c r="N147" i="2"/>
  <c r="O147" i="2"/>
  <c r="R147" i="2" s="1"/>
  <c r="N158" i="2"/>
  <c r="O158" i="2"/>
  <c r="R158" i="2" s="1"/>
  <c r="O168" i="2"/>
  <c r="R168" i="2" s="1"/>
  <c r="N168" i="2"/>
  <c r="N177" i="2"/>
  <c r="O177" i="2"/>
  <c r="R177" i="2" s="1"/>
  <c r="N193" i="2"/>
  <c r="O193" i="2"/>
  <c r="R193" i="2" s="1"/>
  <c r="O246" i="2"/>
  <c r="R246" i="2" s="1"/>
  <c r="N246" i="2"/>
  <c r="Q246" i="2" s="1"/>
  <c r="N256" i="2"/>
  <c r="O256" i="2"/>
  <c r="R256" i="2" s="1"/>
  <c r="N265" i="2"/>
  <c r="Q265" i="2" s="1"/>
  <c r="O265" i="2"/>
  <c r="R265" i="2" s="1"/>
  <c r="N274" i="2"/>
  <c r="O274" i="2"/>
  <c r="N280" i="2"/>
  <c r="O280" i="2"/>
  <c r="R280" i="2" s="1"/>
  <c r="O290" i="2"/>
  <c r="R290" i="2" s="1"/>
  <c r="N290" i="2"/>
  <c r="N309" i="2"/>
  <c r="O309" i="2"/>
  <c r="R309" i="2" s="1"/>
  <c r="N341" i="2"/>
  <c r="O341" i="2"/>
  <c r="R341" i="2" s="1"/>
  <c r="N353" i="2"/>
  <c r="O353" i="2"/>
  <c r="R353" i="2" s="1"/>
  <c r="N365" i="2"/>
  <c r="O365" i="2"/>
  <c r="N51" i="2"/>
  <c r="O51" i="2"/>
  <c r="R51" i="2" s="1"/>
  <c r="O35" i="2"/>
  <c r="R35" i="2" s="1"/>
  <c r="N35" i="2"/>
  <c r="Q35" i="2" s="1"/>
  <c r="O78" i="2"/>
  <c r="R78" i="2" s="1"/>
  <c r="N78" i="2"/>
  <c r="Q78" i="2" s="1"/>
  <c r="O84" i="2"/>
  <c r="R84" i="2" s="1"/>
  <c r="N92" i="2"/>
  <c r="Q92" i="2" s="1"/>
  <c r="O92" i="2"/>
  <c r="R92" i="2" s="1"/>
  <c r="N98" i="2"/>
  <c r="O98" i="2"/>
  <c r="N123" i="2"/>
  <c r="O123" i="2"/>
  <c r="N148" i="2"/>
  <c r="N169" i="2"/>
  <c r="Q169" i="2" s="1"/>
  <c r="O169" i="2"/>
  <c r="R169" i="2" s="1"/>
  <c r="O228" i="2"/>
  <c r="R228" i="2" s="1"/>
  <c r="N228" i="2"/>
  <c r="Q228" i="2" s="1"/>
  <c r="O239" i="2"/>
  <c r="R239" i="2" s="1"/>
  <c r="N239" i="2"/>
  <c r="N321" i="2"/>
  <c r="Q321" i="2" s="1"/>
  <c r="O321" i="2"/>
  <c r="R321" i="2" s="1"/>
  <c r="N90" i="2"/>
  <c r="Q90" i="2" s="1"/>
  <c r="O137" i="2"/>
  <c r="R137" i="2" s="1"/>
  <c r="N137" i="2"/>
  <c r="N75" i="2"/>
  <c r="O75" i="2"/>
  <c r="R75" i="2" s="1"/>
  <c r="N121" i="2"/>
  <c r="Q121" i="2" s="1"/>
  <c r="O121" i="2"/>
  <c r="R121" i="2" s="1"/>
  <c r="N208" i="2"/>
  <c r="O208" i="2"/>
  <c r="R208" i="2" s="1"/>
  <c r="O254" i="2"/>
  <c r="R254" i="2" s="1"/>
  <c r="N254" i="2"/>
  <c r="N64" i="2"/>
  <c r="O64" i="2"/>
  <c r="R64" i="2" s="1"/>
  <c r="O114" i="2"/>
  <c r="N114" i="2"/>
  <c r="O167" i="2"/>
  <c r="R167" i="2" s="1"/>
  <c r="N167" i="2"/>
  <c r="O77" i="2"/>
  <c r="R77" i="2" s="1"/>
  <c r="N77" i="2"/>
  <c r="Q77" i="2" s="1"/>
  <c r="N44" i="2"/>
  <c r="O44" i="2"/>
  <c r="R44" i="2" s="1"/>
  <c r="O107" i="2"/>
  <c r="R107" i="2" s="1"/>
  <c r="N107" i="2"/>
  <c r="Q107" i="2" s="1"/>
  <c r="O132" i="2"/>
  <c r="R132" i="2" s="1"/>
  <c r="N132" i="2"/>
  <c r="Q132" i="2" s="1"/>
  <c r="N140" i="2"/>
  <c r="O140" i="2"/>
  <c r="O149" i="2"/>
  <c r="R149" i="2" s="1"/>
  <c r="N149" i="2"/>
  <c r="N159" i="2"/>
  <c r="Q159" i="2" s="1"/>
  <c r="O159" i="2"/>
  <c r="R159" i="2" s="1"/>
  <c r="N195" i="2"/>
  <c r="O195" i="2"/>
  <c r="R195" i="2" s="1"/>
  <c r="O203" i="2"/>
  <c r="R203" i="2" s="1"/>
  <c r="N203" i="2"/>
  <c r="Q203" i="2" s="1"/>
  <c r="O248" i="2"/>
  <c r="R248" i="2" s="1"/>
  <c r="N248" i="2"/>
  <c r="O266" i="2"/>
  <c r="R266" i="2" s="1"/>
  <c r="N266" i="2"/>
  <c r="N377" i="2"/>
  <c r="O377" i="2"/>
  <c r="R377" i="2" s="1"/>
  <c r="N389" i="2"/>
  <c r="O389" i="2"/>
  <c r="R389" i="2" s="1"/>
  <c r="N459" i="2"/>
  <c r="O459" i="2"/>
  <c r="R459" i="2" s="1"/>
  <c r="N238" i="2"/>
  <c r="O76" i="2"/>
  <c r="R76" i="2" s="1"/>
  <c r="O96" i="2"/>
  <c r="R96" i="2" s="1"/>
  <c r="N96" i="2"/>
  <c r="N128" i="2"/>
  <c r="O128" i="2"/>
  <c r="N20" i="2"/>
  <c r="Q20" i="2" s="1"/>
  <c r="O20" i="2"/>
  <c r="R20" i="2" s="1"/>
  <c r="N27" i="2"/>
  <c r="O27" i="2"/>
  <c r="R27" i="2" s="1"/>
  <c r="N97" i="2"/>
  <c r="Q97" i="2" s="1"/>
  <c r="O97" i="2"/>
  <c r="R97" i="2" s="1"/>
  <c r="N130" i="2"/>
  <c r="O130" i="2"/>
  <c r="R130" i="2" s="1"/>
  <c r="N176" i="2"/>
  <c r="O176" i="2"/>
  <c r="R176" i="2" s="1"/>
  <c r="N352" i="2"/>
  <c r="O352" i="2"/>
  <c r="R352" i="2" s="1"/>
  <c r="N30" i="2"/>
  <c r="O30" i="2"/>
  <c r="R30" i="2" s="1"/>
  <c r="O60" i="2"/>
  <c r="R60" i="2" s="1"/>
  <c r="N60" i="2"/>
  <c r="O66" i="2"/>
  <c r="R66" i="2" s="1"/>
  <c r="N66" i="2"/>
  <c r="O22" i="2"/>
  <c r="N22" i="2"/>
  <c r="Q22" i="2" s="1"/>
  <c r="O72" i="2"/>
  <c r="R72" i="2" s="1"/>
  <c r="N72" i="2"/>
  <c r="N85" i="2"/>
  <c r="Q85" i="2" s="1"/>
  <c r="O85" i="2"/>
  <c r="R85" i="2" s="1"/>
  <c r="N124" i="2"/>
  <c r="O124" i="2"/>
  <c r="R124" i="2" s="1"/>
  <c r="N160" i="2"/>
  <c r="O160" i="2"/>
  <c r="R160" i="2" s="1"/>
  <c r="N170" i="2"/>
  <c r="Q170" i="2" s="1"/>
  <c r="O170" i="2"/>
  <c r="R170" i="2" s="1"/>
  <c r="N230" i="2"/>
  <c r="Q230" i="2" s="1"/>
  <c r="O230" i="2"/>
  <c r="R230" i="2" s="1"/>
  <c r="O240" i="2"/>
  <c r="R240" i="2" s="1"/>
  <c r="N240" i="2"/>
  <c r="O258" i="2"/>
  <c r="O276" i="2"/>
  <c r="R276" i="2" s="1"/>
  <c r="N276" i="2"/>
  <c r="Q276" i="2" s="1"/>
  <c r="N344" i="2"/>
  <c r="Q344" i="2" s="1"/>
  <c r="O344" i="2"/>
  <c r="R344" i="2" s="1"/>
  <c r="N401" i="2"/>
  <c r="O401" i="2"/>
  <c r="R401" i="2" s="1"/>
  <c r="N437" i="2"/>
  <c r="O437" i="2"/>
  <c r="R437" i="2" s="1"/>
  <c r="N61" i="2"/>
  <c r="Q61" i="2" s="1"/>
  <c r="N200" i="2"/>
  <c r="O200" i="2"/>
  <c r="R200" i="2" s="1"/>
  <c r="N52" i="2"/>
  <c r="O52" i="2"/>
  <c r="R52" i="2" s="1"/>
  <c r="N43" i="2"/>
  <c r="O43" i="2"/>
  <c r="R43" i="2" s="1"/>
  <c r="O54" i="2"/>
  <c r="R54" i="2" s="1"/>
  <c r="N54" i="2"/>
  <c r="Q54" i="2" s="1"/>
  <c r="O108" i="2"/>
  <c r="R108" i="2" s="1"/>
  <c r="N108" i="2"/>
  <c r="Q108" i="2" s="1"/>
  <c r="N118" i="2"/>
  <c r="O118" i="2"/>
  <c r="R118" i="2" s="1"/>
  <c r="N141" i="2"/>
  <c r="O141" i="2"/>
  <c r="R141" i="2" s="1"/>
  <c r="O161" i="2"/>
  <c r="R161" i="2" s="1"/>
  <c r="N161" i="2"/>
  <c r="Q161" i="2" s="1"/>
  <c r="N181" i="2"/>
  <c r="Q181" i="2" s="1"/>
  <c r="O181" i="2"/>
  <c r="R181" i="2" s="1"/>
  <c r="N188" i="2"/>
  <c r="O188" i="2"/>
  <c r="R188" i="2" s="1"/>
  <c r="N413" i="2"/>
  <c r="O413" i="2"/>
  <c r="R413" i="2" s="1"/>
  <c r="N425" i="2"/>
  <c r="O425" i="2"/>
  <c r="R425" i="2" s="1"/>
  <c r="O214" i="2"/>
  <c r="R214" i="2" s="1"/>
  <c r="O113" i="2"/>
  <c r="R113" i="2" s="1"/>
  <c r="N113" i="2"/>
  <c r="Q113" i="2" s="1"/>
  <c r="N82" i="2"/>
  <c r="Q82" i="2" s="1"/>
  <c r="O82" i="2"/>
  <c r="O83" i="2"/>
  <c r="R83" i="2" s="1"/>
  <c r="N83" i="2"/>
  <c r="N31" i="2"/>
  <c r="Q31" i="2" s="1"/>
  <c r="O31" i="2"/>
  <c r="R31" i="2" s="1"/>
  <c r="N37" i="2"/>
  <c r="O37" i="2"/>
  <c r="R37" i="2" s="1"/>
  <c r="N67" i="2"/>
  <c r="Q67" i="2" s="1"/>
  <c r="O67" i="2"/>
  <c r="R67" i="2" s="1"/>
  <c r="N80" i="2"/>
  <c r="O80" i="2"/>
  <c r="R80" i="2" s="1"/>
  <c r="O125" i="2"/>
  <c r="R125" i="2" s="1"/>
  <c r="N125" i="2"/>
  <c r="N171" i="2"/>
  <c r="Q171" i="2" s="1"/>
  <c r="O171" i="2"/>
  <c r="R171" i="2" s="1"/>
  <c r="N220" i="2"/>
  <c r="Q220" i="2" s="1"/>
  <c r="O220" i="2"/>
  <c r="R220" i="2" s="1"/>
  <c r="O15" i="2"/>
  <c r="R15" i="2" s="1"/>
  <c r="N15" i="2"/>
  <c r="Q15" i="2" s="1"/>
  <c r="N32" i="2"/>
  <c r="O32" i="2"/>
  <c r="R32" i="2" s="1"/>
  <c r="N38" i="2"/>
  <c r="O38" i="2"/>
  <c r="N55" i="2"/>
  <c r="O55" i="2"/>
  <c r="R55" i="2" s="1"/>
  <c r="N93" i="2"/>
  <c r="O93" i="2"/>
  <c r="R93" i="2" s="1"/>
  <c r="N142" i="2"/>
  <c r="O142" i="2"/>
  <c r="R142" i="2" s="1"/>
  <c r="N189" i="2"/>
  <c r="O189" i="2"/>
  <c r="R189" i="2" s="1"/>
  <c r="N205" i="2"/>
  <c r="Q205" i="2" s="1"/>
  <c r="O205" i="2"/>
  <c r="R205" i="2" s="1"/>
  <c r="O221" i="2"/>
  <c r="R221" i="2" s="1"/>
  <c r="N221" i="2"/>
  <c r="O242" i="2"/>
  <c r="R242" i="2" s="1"/>
  <c r="N242" i="2"/>
  <c r="N250" i="2"/>
  <c r="Q250" i="2" s="1"/>
  <c r="O250" i="2"/>
  <c r="R250" i="2" s="1"/>
  <c r="O294" i="2"/>
  <c r="R294" i="2" s="1"/>
  <c r="N294" i="2"/>
  <c r="Q294" i="2" s="1"/>
  <c r="N358" i="2"/>
  <c r="O358" i="2"/>
  <c r="R358" i="2" s="1"/>
  <c r="N392" i="2"/>
  <c r="O392" i="2"/>
  <c r="R392" i="2" s="1"/>
  <c r="N426" i="2"/>
  <c r="O426" i="2"/>
  <c r="N450" i="2"/>
  <c r="O450" i="2"/>
  <c r="R450" i="2" s="1"/>
  <c r="N462" i="2"/>
  <c r="O462" i="2"/>
  <c r="R462" i="2" s="1"/>
  <c r="N18" i="2"/>
  <c r="O18" i="2"/>
  <c r="R18" i="2" s="1"/>
  <c r="N112" i="2"/>
  <c r="O112" i="2"/>
  <c r="R112" i="2" s="1"/>
  <c r="N146" i="2"/>
  <c r="Q146" i="2" s="1"/>
  <c r="O146" i="2"/>
  <c r="R146" i="2" s="1"/>
  <c r="N184" i="2"/>
  <c r="O184" i="2"/>
  <c r="O216" i="2"/>
  <c r="R216" i="2" s="1"/>
  <c r="N216" i="2"/>
  <c r="O47" i="2"/>
  <c r="R47" i="2" s="1"/>
  <c r="N47" i="2"/>
  <c r="N73" i="2"/>
  <c r="Q73" i="2" s="1"/>
  <c r="O73" i="2"/>
  <c r="R73" i="2" s="1"/>
  <c r="N94" i="2"/>
  <c r="Q94" i="2" s="1"/>
  <c r="O94" i="2"/>
  <c r="R94" i="2" s="1"/>
  <c r="O101" i="2"/>
  <c r="R101" i="2" s="1"/>
  <c r="N101" i="2"/>
  <c r="N109" i="2"/>
  <c r="O109" i="2"/>
  <c r="R109" i="2" s="1"/>
  <c r="O143" i="2"/>
  <c r="N143" i="2"/>
  <c r="N153" i="2"/>
  <c r="O153" i="2"/>
  <c r="R153" i="2" s="1"/>
  <c r="N163" i="2"/>
  <c r="Q163" i="2" s="1"/>
  <c r="O163" i="2"/>
  <c r="R163" i="2" s="1"/>
  <c r="N182" i="2"/>
  <c r="O182" i="2"/>
  <c r="R182" i="2" s="1"/>
  <c r="N190" i="2"/>
  <c r="Q190" i="2" s="1"/>
  <c r="O197" i="2"/>
  <c r="R197" i="2" s="1"/>
  <c r="N197" i="2"/>
  <c r="N232" i="2"/>
  <c r="Q232" i="2" s="1"/>
  <c r="O232" i="2"/>
  <c r="R232" i="2" s="1"/>
  <c r="N326" i="2"/>
  <c r="O326" i="2"/>
  <c r="R326" i="2" s="1"/>
  <c r="N336" i="2"/>
  <c r="O336" i="2"/>
  <c r="R336" i="2" s="1"/>
  <c r="O190" i="2"/>
  <c r="R190" i="2" s="1"/>
  <c r="N25" i="2"/>
  <c r="O25" i="2"/>
  <c r="R25" i="2" s="1"/>
  <c r="O16" i="2"/>
  <c r="R16" i="2" s="1"/>
  <c r="N16" i="2"/>
  <c r="O17" i="2"/>
  <c r="N17" i="2"/>
  <c r="O48" i="2"/>
  <c r="R48" i="2" s="1"/>
  <c r="N48" i="2"/>
  <c r="Q48" i="2" s="1"/>
  <c r="N56" i="2"/>
  <c r="Q56" i="2" s="1"/>
  <c r="O56" i="2"/>
  <c r="R56" i="2" s="1"/>
  <c r="N68" i="2"/>
  <c r="O68" i="2"/>
  <c r="R68" i="2" s="1"/>
  <c r="N81" i="2"/>
  <c r="Q81" i="2" s="1"/>
  <c r="O81" i="2"/>
  <c r="R81" i="2" s="1"/>
  <c r="N87" i="2"/>
  <c r="O87" i="2"/>
  <c r="R87" i="2" s="1"/>
  <c r="N110" i="2"/>
  <c r="O110" i="2"/>
  <c r="R110" i="2" s="1"/>
  <c r="O120" i="2"/>
  <c r="R120" i="2" s="1"/>
  <c r="N120" i="2"/>
  <c r="Q120" i="2" s="1"/>
  <c r="N127" i="2"/>
  <c r="Q127" i="2" s="1"/>
  <c r="O127" i="2"/>
  <c r="R127" i="2" s="1"/>
  <c r="N154" i="2"/>
  <c r="O154" i="2"/>
  <c r="R154" i="2" s="1"/>
  <c r="N261" i="2"/>
  <c r="O261" i="2"/>
  <c r="R261" i="2" s="1"/>
  <c r="O270" i="2"/>
  <c r="R270" i="2" s="1"/>
  <c r="N270" i="2"/>
  <c r="Q270" i="2" s="1"/>
  <c r="O278" i="2"/>
  <c r="R278" i="2" s="1"/>
  <c r="N278" i="2"/>
  <c r="N315" i="2"/>
  <c r="O315" i="2"/>
  <c r="R315" i="2" s="1"/>
  <c r="N416" i="2"/>
  <c r="Q416" i="2" s="1"/>
  <c r="O416" i="2"/>
  <c r="R416" i="2" s="1"/>
  <c r="N305" i="2"/>
  <c r="Q305" i="2" s="1"/>
  <c r="O175" i="2"/>
  <c r="R175" i="2" s="1"/>
  <c r="O40" i="2"/>
  <c r="R40" i="2" s="1"/>
  <c r="N40" i="2"/>
  <c r="Q40" i="2" s="1"/>
  <c r="N49" i="2"/>
  <c r="O49" i="2"/>
  <c r="N62" i="2"/>
  <c r="O62" i="2"/>
  <c r="R62" i="2" s="1"/>
  <c r="N69" i="2"/>
  <c r="Q69" i="2" s="1"/>
  <c r="O69" i="2"/>
  <c r="R69" i="2" s="1"/>
  <c r="N74" i="2"/>
  <c r="Q74" i="2" s="1"/>
  <c r="O74" i="2"/>
  <c r="R74" i="2" s="1"/>
  <c r="N88" i="2"/>
  <c r="O88" i="2"/>
  <c r="R88" i="2" s="1"/>
  <c r="O95" i="2"/>
  <c r="R95" i="2" s="1"/>
  <c r="N95" i="2"/>
  <c r="N111" i="2"/>
  <c r="O111" i="2"/>
  <c r="N136" i="2"/>
  <c r="O136" i="2"/>
  <c r="R136" i="2" s="1"/>
  <c r="N145" i="2"/>
  <c r="Q145" i="2" s="1"/>
  <c r="O145" i="2"/>
  <c r="R145" i="2" s="1"/>
  <c r="O155" i="2"/>
  <c r="R155" i="2" s="1"/>
  <c r="N155" i="2"/>
  <c r="N165" i="2"/>
  <c r="O165" i="2"/>
  <c r="R165" i="2" s="1"/>
  <c r="O174" i="2"/>
  <c r="R174" i="2" s="1"/>
  <c r="N174" i="2"/>
  <c r="N183" i="2"/>
  <c r="O183" i="2"/>
  <c r="R183" i="2" s="1"/>
  <c r="N199" i="2"/>
  <c r="O199" i="2"/>
  <c r="R199" i="2" s="1"/>
  <c r="N207" i="2"/>
  <c r="Q207" i="2" s="1"/>
  <c r="O207" i="2"/>
  <c r="R207" i="2" s="1"/>
  <c r="O215" i="2"/>
  <c r="R215" i="2" s="1"/>
  <c r="N215" i="2"/>
  <c r="N224" i="2"/>
  <c r="O224" i="2"/>
  <c r="R224" i="2" s="1"/>
  <c r="O234" i="2"/>
  <c r="R234" i="2" s="1"/>
  <c r="N234" i="2"/>
  <c r="Q234" i="2" s="1"/>
  <c r="O252" i="2"/>
  <c r="R252" i="2" s="1"/>
  <c r="N252" i="2"/>
  <c r="Q252" i="2" s="1"/>
  <c r="N262" i="2"/>
  <c r="O262" i="2"/>
  <c r="R262" i="2" s="1"/>
  <c r="O287" i="2"/>
  <c r="R287" i="2" s="1"/>
  <c r="N287" i="2"/>
  <c r="Q287" i="2" s="1"/>
  <c r="N297" i="2"/>
  <c r="Q297" i="2" s="1"/>
  <c r="O297" i="2"/>
  <c r="R297" i="2" s="1"/>
  <c r="N407" i="2"/>
  <c r="N162" i="2"/>
  <c r="N267" i="2"/>
  <c r="Q267" i="2" s="1"/>
  <c r="O267" i="2"/>
  <c r="R267" i="2" s="1"/>
  <c r="O406" i="2"/>
  <c r="R406" i="2" s="1"/>
  <c r="O381" i="2"/>
  <c r="R381" i="2" s="1"/>
  <c r="O372" i="2"/>
  <c r="R372" i="2" s="1"/>
  <c r="O354" i="2"/>
  <c r="R354" i="2" s="1"/>
  <c r="O346" i="2"/>
  <c r="R346" i="2" s="1"/>
  <c r="O337" i="2"/>
  <c r="R337" i="2" s="1"/>
  <c r="O304" i="2"/>
  <c r="R304" i="2" s="1"/>
  <c r="N295" i="2"/>
  <c r="N236" i="2"/>
  <c r="N89" i="2"/>
  <c r="Q89" i="2" s="1"/>
  <c r="N39" i="2"/>
  <c r="Q39" i="2" s="1"/>
  <c r="O39" i="2"/>
  <c r="R39" i="2" s="1"/>
  <c r="N46" i="2"/>
  <c r="O46" i="2"/>
  <c r="N63" i="2"/>
  <c r="O63" i="2"/>
  <c r="R63" i="2" s="1"/>
  <c r="N100" i="2"/>
  <c r="Q100" i="2" s="1"/>
  <c r="O222" i="2"/>
  <c r="R222" i="2" s="1"/>
  <c r="O257" i="2"/>
  <c r="R257" i="2" s="1"/>
  <c r="M409" i="2"/>
  <c r="O457" i="2"/>
  <c r="R457" i="2" s="1"/>
  <c r="O429" i="2"/>
  <c r="R429" i="2" s="1"/>
  <c r="O405" i="2"/>
  <c r="R405" i="2" s="1"/>
  <c r="O363" i="2"/>
  <c r="R363" i="2" s="1"/>
  <c r="O314" i="2"/>
  <c r="R314" i="2" s="1"/>
  <c r="O303" i="2"/>
  <c r="N285" i="2"/>
  <c r="O235" i="2"/>
  <c r="R235" i="2" s="1"/>
  <c r="O223" i="2"/>
  <c r="R223" i="2" s="1"/>
  <c r="O211" i="2"/>
  <c r="R211" i="2" s="1"/>
  <c r="O187" i="2"/>
  <c r="N102" i="2"/>
  <c r="Q102" i="2" s="1"/>
  <c r="N41" i="2"/>
  <c r="N164" i="2"/>
  <c r="O164" i="2"/>
  <c r="R164" i="2" s="1"/>
  <c r="O282" i="2"/>
  <c r="R282" i="2" s="1"/>
  <c r="M312" i="2"/>
  <c r="M345" i="2"/>
  <c r="M385" i="2"/>
  <c r="O420" i="2"/>
  <c r="R420" i="2" s="1"/>
  <c r="O412" i="2"/>
  <c r="R412" i="2" s="1"/>
  <c r="O388" i="2"/>
  <c r="R388" i="2" s="1"/>
  <c r="O380" i="2"/>
  <c r="R380" i="2" s="1"/>
  <c r="O371" i="2"/>
  <c r="R371" i="2" s="1"/>
  <c r="O362" i="2"/>
  <c r="R362" i="2" s="1"/>
  <c r="O335" i="2"/>
  <c r="R335" i="2" s="1"/>
  <c r="O324" i="2"/>
  <c r="R324" i="2" s="1"/>
  <c r="O302" i="2"/>
  <c r="R302" i="2" s="1"/>
  <c r="N293" i="2"/>
  <c r="Q293" i="2" s="1"/>
  <c r="N284" i="2"/>
  <c r="N275" i="2"/>
  <c r="Q275" i="2" s="1"/>
  <c r="N245" i="2"/>
  <c r="N173" i="2"/>
  <c r="N144" i="2"/>
  <c r="Q144" i="2" s="1"/>
  <c r="O210" i="2"/>
  <c r="R210" i="2" s="1"/>
  <c r="Q300" i="2"/>
  <c r="O456" i="2"/>
  <c r="R456" i="2" s="1"/>
  <c r="O449" i="2"/>
  <c r="R449" i="2" s="1"/>
  <c r="O443" i="2"/>
  <c r="R443" i="2" s="1"/>
  <c r="O436" i="2"/>
  <c r="R436" i="2" s="1"/>
  <c r="O428" i="2"/>
  <c r="R428" i="2" s="1"/>
  <c r="O411" i="2"/>
  <c r="R411" i="2" s="1"/>
  <c r="O404" i="2"/>
  <c r="R404" i="2" s="1"/>
  <c r="O396" i="2"/>
  <c r="R396" i="2" s="1"/>
  <c r="O387" i="2"/>
  <c r="R387" i="2" s="1"/>
  <c r="O378" i="2"/>
  <c r="R378" i="2" s="1"/>
  <c r="O361" i="2"/>
  <c r="R361" i="2" s="1"/>
  <c r="O292" i="2"/>
  <c r="R292" i="2" s="1"/>
  <c r="O244" i="2"/>
  <c r="P244" i="2" s="1"/>
  <c r="N222" i="2"/>
  <c r="N210" i="2"/>
  <c r="Q210" i="2" s="1"/>
  <c r="O172" i="2"/>
  <c r="R172" i="2" s="1"/>
  <c r="O100" i="2"/>
  <c r="R100" i="2" s="1"/>
  <c r="N194" i="2"/>
  <c r="O194" i="2"/>
  <c r="N21" i="2"/>
  <c r="O21" i="2"/>
  <c r="R21" i="2" s="1"/>
  <c r="O186" i="2"/>
  <c r="R186" i="2" s="1"/>
  <c r="N249" i="2"/>
  <c r="O249" i="2"/>
  <c r="R249" i="2" s="1"/>
  <c r="O263" i="2"/>
  <c r="R263" i="2" s="1"/>
  <c r="M313" i="2"/>
  <c r="O419" i="2"/>
  <c r="R419" i="2" s="1"/>
  <c r="O370" i="2"/>
  <c r="R370" i="2" s="1"/>
  <c r="O334" i="2"/>
  <c r="R334" i="2" s="1"/>
  <c r="O323" i="2"/>
  <c r="N283" i="2"/>
  <c r="Q283" i="2" s="1"/>
  <c r="O253" i="2"/>
  <c r="R253" i="2" s="1"/>
  <c r="N233" i="2"/>
  <c r="N209" i="2"/>
  <c r="Q209" i="2" s="1"/>
  <c r="N185" i="2"/>
  <c r="N156" i="2"/>
  <c r="O180" i="2"/>
  <c r="R180" i="2" s="1"/>
  <c r="N116" i="2"/>
  <c r="O116" i="2"/>
  <c r="R116" i="2" s="1"/>
  <c r="N201" i="2"/>
  <c r="Q201" i="2" s="1"/>
  <c r="O201" i="2"/>
  <c r="R201" i="2" s="1"/>
  <c r="N237" i="2"/>
  <c r="O237" i="2"/>
  <c r="R237" i="2" s="1"/>
  <c r="N243" i="2"/>
  <c r="O243" i="2"/>
  <c r="R243" i="2" s="1"/>
  <c r="M333" i="2"/>
  <c r="M369" i="2"/>
  <c r="M397" i="2"/>
  <c r="M421" i="2"/>
  <c r="O461" i="2"/>
  <c r="R461" i="2" s="1"/>
  <c r="O455" i="2"/>
  <c r="R455" i="2" s="1"/>
  <c r="O448" i="2"/>
  <c r="R448" i="2" s="1"/>
  <c r="O442" i="2"/>
  <c r="R442" i="2" s="1"/>
  <c r="O434" i="2"/>
  <c r="R434" i="2" s="1"/>
  <c r="O418" i="2"/>
  <c r="R418" i="2" s="1"/>
  <c r="O410" i="2"/>
  <c r="R410" i="2" s="1"/>
  <c r="O402" i="2"/>
  <c r="R402" i="2" s="1"/>
  <c r="O395" i="2"/>
  <c r="R395" i="2" s="1"/>
  <c r="O386" i="2"/>
  <c r="R386" i="2" s="1"/>
  <c r="O360" i="2"/>
  <c r="R360" i="2" s="1"/>
  <c r="O351" i="2"/>
  <c r="R351" i="2" s="1"/>
  <c r="O342" i="2"/>
  <c r="R342" i="2" s="1"/>
  <c r="O322" i="2"/>
  <c r="R322" i="2" s="1"/>
  <c r="O311" i="2"/>
  <c r="R311" i="2" s="1"/>
  <c r="O300" i="2"/>
  <c r="R300" i="2" s="1"/>
  <c r="N291" i="2"/>
  <c r="N282" i="2"/>
  <c r="Q282" i="2" s="1"/>
  <c r="N273" i="2"/>
  <c r="N263" i="2"/>
  <c r="Q263" i="2" s="1"/>
  <c r="O196" i="2"/>
  <c r="R196" i="2" s="1"/>
  <c r="N126" i="2"/>
  <c r="J13" i="2"/>
  <c r="O65" i="2"/>
  <c r="R65" i="2" s="1"/>
  <c r="N152" i="2"/>
  <c r="O152" i="2"/>
  <c r="R152" i="2" s="1"/>
  <c r="O191" i="2"/>
  <c r="R191" i="2" s="1"/>
  <c r="N212" i="2"/>
  <c r="O212" i="2"/>
  <c r="R212" i="2" s="1"/>
  <c r="N218" i="2"/>
  <c r="O218" i="2"/>
  <c r="R218" i="2" s="1"/>
  <c r="N255" i="2"/>
  <c r="Q255" i="2" s="1"/>
  <c r="O255" i="2"/>
  <c r="R255" i="2" s="1"/>
  <c r="O264" i="2"/>
  <c r="R264" i="2" s="1"/>
  <c r="M301" i="2"/>
  <c r="M325" i="2"/>
  <c r="M349" i="2"/>
  <c r="M433" i="2"/>
  <c r="O394" i="2"/>
  <c r="R394" i="2" s="1"/>
  <c r="O368" i="2"/>
  <c r="R368" i="2" s="1"/>
  <c r="O359" i="2"/>
  <c r="R359" i="2" s="1"/>
  <c r="O332" i="2"/>
  <c r="R332" i="2" s="1"/>
  <c r="O310" i="2"/>
  <c r="R310" i="2" s="1"/>
  <c r="O299" i="2"/>
  <c r="R299" i="2" s="1"/>
  <c r="N281" i="2"/>
  <c r="N272" i="2"/>
  <c r="O241" i="2"/>
  <c r="R241" i="2" s="1"/>
  <c r="N53" i="2"/>
  <c r="Q53" i="2" s="1"/>
  <c r="N206" i="2"/>
  <c r="O206" i="2"/>
  <c r="R206" i="2" s="1"/>
  <c r="N213" i="2"/>
  <c r="Q213" i="2" s="1"/>
  <c r="O213" i="2"/>
  <c r="R213" i="2" s="1"/>
  <c r="N219" i="2"/>
  <c r="O219" i="2"/>
  <c r="R219" i="2" s="1"/>
  <c r="N225" i="2"/>
  <c r="O225" i="2"/>
  <c r="R225" i="2" s="1"/>
  <c r="N231" i="2"/>
  <c r="O231" i="2"/>
  <c r="R231" i="2" s="1"/>
  <c r="O260" i="2"/>
  <c r="R260" i="2" s="1"/>
  <c r="O279" i="2"/>
  <c r="R279" i="2" s="1"/>
  <c r="O424" i="2"/>
  <c r="R424" i="2" s="1"/>
  <c r="O417" i="2"/>
  <c r="R417" i="2" s="1"/>
  <c r="O376" i="2"/>
  <c r="R376" i="2" s="1"/>
  <c r="O350" i="2"/>
  <c r="R350" i="2" s="1"/>
  <c r="O289" i="2"/>
  <c r="R289" i="2" s="1"/>
  <c r="O271" i="2"/>
  <c r="R271" i="2" s="1"/>
  <c r="N251" i="2"/>
  <c r="O229" i="2"/>
  <c r="R229" i="2" s="1"/>
  <c r="O217" i="2"/>
  <c r="R217" i="2" s="1"/>
  <c r="O151" i="2"/>
  <c r="R151" i="2" s="1"/>
  <c r="N138" i="2"/>
  <c r="Q138" i="2" s="1"/>
  <c r="M357" i="2"/>
  <c r="M446" i="2"/>
  <c r="O432" i="2"/>
  <c r="R432" i="2" s="1"/>
  <c r="O400" i="2"/>
  <c r="R400" i="2" s="1"/>
  <c r="O393" i="2"/>
  <c r="R393" i="2" s="1"/>
  <c r="O384" i="2"/>
  <c r="P384" i="2" s="1"/>
  <c r="O375" i="2"/>
  <c r="R375" i="2" s="1"/>
  <c r="O366" i="2"/>
  <c r="R366" i="2" s="1"/>
  <c r="O340" i="2"/>
  <c r="R340" i="2" s="1"/>
  <c r="O320" i="2"/>
  <c r="R320" i="2" s="1"/>
  <c r="O298" i="2"/>
  <c r="R298" i="2" s="1"/>
  <c r="N260" i="2"/>
  <c r="N180" i="2"/>
  <c r="Q180" i="2" s="1"/>
  <c r="O166" i="2"/>
  <c r="R166" i="2" s="1"/>
  <c r="N65" i="2"/>
  <c r="Q65" i="2" s="1"/>
  <c r="O439" i="2"/>
  <c r="R439" i="2" s="1"/>
  <c r="O431" i="2"/>
  <c r="R431" i="2" s="1"/>
  <c r="O423" i="2"/>
  <c r="R423" i="2" s="1"/>
  <c r="O408" i="2"/>
  <c r="O374" i="2"/>
  <c r="R374" i="2" s="1"/>
  <c r="O348" i="2"/>
  <c r="R348" i="2" s="1"/>
  <c r="O339" i="2"/>
  <c r="R339" i="2" s="1"/>
  <c r="O328" i="2"/>
  <c r="R328" i="2" s="1"/>
  <c r="O308" i="2"/>
  <c r="R308" i="2" s="1"/>
  <c r="N279" i="2"/>
  <c r="O259" i="2"/>
  <c r="R259" i="2" s="1"/>
  <c r="N204" i="2"/>
  <c r="N179" i="2"/>
  <c r="N150" i="2"/>
  <c r="Q150" i="2" s="1"/>
  <c r="O91" i="2"/>
  <c r="N29" i="2"/>
  <c r="Q29" i="2" s="1"/>
  <c r="N86" i="2"/>
  <c r="O86" i="2"/>
  <c r="R86" i="2" s="1"/>
  <c r="N135" i="2"/>
  <c r="O135" i="2"/>
  <c r="R135" i="2" s="1"/>
  <c r="O198" i="2"/>
  <c r="R198" i="2" s="1"/>
  <c r="O399" i="2"/>
  <c r="R399" i="2" s="1"/>
  <c r="O383" i="2"/>
  <c r="R383" i="2" s="1"/>
  <c r="N269" i="2"/>
  <c r="N227" i="2"/>
  <c r="N191" i="2"/>
  <c r="Q191" i="2" s="1"/>
  <c r="O178" i="2"/>
  <c r="O106" i="2"/>
  <c r="R106" i="2" s="1"/>
  <c r="N481" i="2"/>
  <c r="Q481" i="2" s="1"/>
  <c r="O199" i="1"/>
  <c r="R199" i="1" s="1"/>
  <c r="O265" i="1"/>
  <c r="R265" i="1" s="1"/>
  <c r="O440" i="1"/>
  <c r="R440" i="1" s="1"/>
  <c r="N311" i="1"/>
  <c r="N299" i="1"/>
  <c r="N287" i="1"/>
  <c r="O97" i="1"/>
  <c r="R97" i="1" s="1"/>
  <c r="O85" i="1"/>
  <c r="R85" i="1" s="1"/>
  <c r="N157" i="1"/>
  <c r="O434" i="1"/>
  <c r="R434" i="1" s="1"/>
  <c r="O316" i="1"/>
  <c r="R316" i="1" s="1"/>
  <c r="N78" i="1"/>
  <c r="Q78" i="1" s="1"/>
  <c r="N66" i="1"/>
  <c r="O303" i="1"/>
  <c r="O193" i="1"/>
  <c r="R193" i="1" s="1"/>
  <c r="O181" i="1"/>
  <c r="R181" i="1" s="1"/>
  <c r="O169" i="1"/>
  <c r="R169" i="1" s="1"/>
  <c r="N54" i="1"/>
  <c r="Q54" i="1" s="1"/>
  <c r="O290" i="1"/>
  <c r="R290" i="1" s="1"/>
  <c r="O235" i="1"/>
  <c r="R235" i="1" s="1"/>
  <c r="O223" i="1"/>
  <c r="R223" i="1" s="1"/>
  <c r="N18" i="1"/>
  <c r="Q18" i="1" s="1"/>
  <c r="O465" i="1"/>
  <c r="R465" i="1" s="1"/>
  <c r="O453" i="1"/>
  <c r="R453" i="1" s="1"/>
  <c r="N442" i="1"/>
  <c r="Q442" i="1" s="1"/>
  <c r="O211" i="1"/>
  <c r="R211" i="1" s="1"/>
  <c r="O464" i="1"/>
  <c r="R464" i="1" s="1"/>
  <c r="O452" i="1"/>
  <c r="R452" i="1" s="1"/>
  <c r="O441" i="1"/>
  <c r="R441" i="1" s="1"/>
  <c r="O277" i="1"/>
  <c r="R277" i="1" s="1"/>
  <c r="O157" i="1"/>
  <c r="R157" i="1" s="1"/>
  <c r="O145" i="1"/>
  <c r="R145" i="1" s="1"/>
  <c r="O133" i="1"/>
  <c r="R133" i="1" s="1"/>
  <c r="O322" i="1"/>
  <c r="R322" i="1" s="1"/>
  <c r="N72" i="1"/>
  <c r="Q72" i="1" s="1"/>
  <c r="O241" i="1"/>
  <c r="R241" i="1" s="1"/>
  <c r="O187" i="1"/>
  <c r="R187" i="1" s="1"/>
  <c r="O175" i="1"/>
  <c r="R175" i="1" s="1"/>
  <c r="N83" i="1"/>
  <c r="Q83" i="1" s="1"/>
  <c r="N60" i="1"/>
  <c r="Q60" i="1" s="1"/>
  <c r="N438" i="1"/>
  <c r="Q438" i="1" s="1"/>
  <c r="N427" i="1"/>
  <c r="Q427" i="1" s="1"/>
  <c r="O229" i="1"/>
  <c r="R229" i="1" s="1"/>
  <c r="N48" i="1"/>
  <c r="Q48" i="1" s="1"/>
  <c r="N36" i="1"/>
  <c r="Q36" i="1" s="1"/>
  <c r="N24" i="1"/>
  <c r="Q24" i="1" s="1"/>
  <c r="N229" i="1"/>
  <c r="Q229" i="1" s="1"/>
  <c r="O459" i="1"/>
  <c r="R459" i="1" s="1"/>
  <c r="O447" i="1"/>
  <c r="R447" i="1" s="1"/>
  <c r="O426" i="1"/>
  <c r="R426" i="1" s="1"/>
  <c r="O163" i="1"/>
  <c r="R163" i="1" s="1"/>
  <c r="O458" i="1"/>
  <c r="R458" i="1" s="1"/>
  <c r="O446" i="1"/>
  <c r="R446" i="1" s="1"/>
  <c r="O271" i="1"/>
  <c r="R271" i="1" s="1"/>
  <c r="O205" i="1"/>
  <c r="R205" i="1" s="1"/>
  <c r="O151" i="1"/>
  <c r="R151" i="1" s="1"/>
  <c r="O139" i="1"/>
  <c r="R139" i="1" s="1"/>
  <c r="O435" i="1"/>
  <c r="R435" i="1" s="1"/>
  <c r="O388" i="1"/>
  <c r="R388" i="1" s="1"/>
  <c r="O376" i="1"/>
  <c r="R376" i="1" s="1"/>
  <c r="O103" i="1"/>
  <c r="R103" i="1" s="1"/>
  <c r="O91" i="1"/>
  <c r="R91" i="1" s="1"/>
  <c r="N169" i="1"/>
  <c r="P169" i="1" s="1"/>
  <c r="N97" i="1"/>
  <c r="N85" i="1"/>
  <c r="Q85" i="1" s="1"/>
  <c r="O24" i="1"/>
  <c r="N440" i="1"/>
  <c r="P440" i="1" s="1"/>
  <c r="N419" i="1"/>
  <c r="O419" i="1"/>
  <c r="R419" i="1" s="1"/>
  <c r="N395" i="1"/>
  <c r="O395" i="1"/>
  <c r="R395" i="1" s="1"/>
  <c r="N404" i="1"/>
  <c r="O404" i="1"/>
  <c r="R404" i="1" s="1"/>
  <c r="Q375" i="1"/>
  <c r="O375" i="1"/>
  <c r="R375" i="1" s="1"/>
  <c r="N343" i="1"/>
  <c r="O343" i="1"/>
  <c r="R343" i="1" s="1"/>
  <c r="N62" i="1"/>
  <c r="O62" i="1"/>
  <c r="R62" i="1" s="1"/>
  <c r="N457" i="1"/>
  <c r="Q457" i="1" s="1"/>
  <c r="O457" i="1"/>
  <c r="R457" i="1" s="1"/>
  <c r="N338" i="1"/>
  <c r="O338" i="1"/>
  <c r="R338" i="1" s="1"/>
  <c r="N317" i="1"/>
  <c r="O317" i="1"/>
  <c r="R317" i="1" s="1"/>
  <c r="N146" i="1"/>
  <c r="O146" i="1"/>
  <c r="R146" i="1" s="1"/>
  <c r="O400" i="1"/>
  <c r="R400" i="1" s="1"/>
  <c r="N400" i="1"/>
  <c r="N379" i="1"/>
  <c r="O379" i="1"/>
  <c r="R379" i="1" s="1"/>
  <c r="O370" i="1"/>
  <c r="R370" i="1" s="1"/>
  <c r="N370" i="1"/>
  <c r="N362" i="1"/>
  <c r="O362" i="1"/>
  <c r="R362" i="1" s="1"/>
  <c r="N355" i="1"/>
  <c r="O355" i="1"/>
  <c r="R355" i="1" s="1"/>
  <c r="O334" i="1"/>
  <c r="R334" i="1" s="1"/>
  <c r="N334" i="1"/>
  <c r="N312" i="1"/>
  <c r="O312" i="1"/>
  <c r="R312" i="1" s="1"/>
  <c r="N288" i="1"/>
  <c r="O288" i="1"/>
  <c r="R288" i="1" s="1"/>
  <c r="N269" i="1"/>
  <c r="O269" i="1"/>
  <c r="R269" i="1" s="1"/>
  <c r="N245" i="1"/>
  <c r="O245" i="1"/>
  <c r="R245" i="1" s="1"/>
  <c r="N238" i="1"/>
  <c r="O238" i="1"/>
  <c r="R238" i="1" s="1"/>
  <c r="N212" i="1"/>
  <c r="O212" i="1"/>
  <c r="R212" i="1" s="1"/>
  <c r="N176" i="1"/>
  <c r="O176" i="1"/>
  <c r="R176" i="1" s="1"/>
  <c r="N28" i="1"/>
  <c r="O28" i="1"/>
  <c r="R28" i="1" s="1"/>
  <c r="N434" i="1"/>
  <c r="N384" i="1"/>
  <c r="O384" i="1"/>
  <c r="R384" i="1" s="1"/>
  <c r="N351" i="1"/>
  <c r="Q351" i="1" s="1"/>
  <c r="O351" i="1"/>
  <c r="R351" i="1" s="1"/>
  <c r="N295" i="1"/>
  <c r="O295" i="1"/>
  <c r="R295" i="1" s="1"/>
  <c r="N68" i="1"/>
  <c r="O68" i="1"/>
  <c r="R68" i="1" s="1"/>
  <c r="N463" i="1"/>
  <c r="O463" i="1"/>
  <c r="R463" i="1" s="1"/>
  <c r="N413" i="1"/>
  <c r="Q413" i="1" s="1"/>
  <c r="O413" i="1"/>
  <c r="R413" i="1" s="1"/>
  <c r="N324" i="1"/>
  <c r="O324" i="1"/>
  <c r="R324" i="1" s="1"/>
  <c r="P97" i="1"/>
  <c r="Q97" i="1"/>
  <c r="N462" i="1"/>
  <c r="O462" i="1"/>
  <c r="R462" i="1" s="1"/>
  <c r="N399" i="1"/>
  <c r="Q399" i="1" s="1"/>
  <c r="O399" i="1"/>
  <c r="R399" i="1" s="1"/>
  <c r="N366" i="1"/>
  <c r="O366" i="1"/>
  <c r="R366" i="1" s="1"/>
  <c r="R303" i="1"/>
  <c r="N276" i="1"/>
  <c r="O276" i="1"/>
  <c r="R276" i="1" s="1"/>
  <c r="N237" i="1"/>
  <c r="Q237" i="1" s="1"/>
  <c r="O237" i="1"/>
  <c r="R237" i="1" s="1"/>
  <c r="N197" i="1"/>
  <c r="O197" i="1"/>
  <c r="R197" i="1" s="1"/>
  <c r="N159" i="1"/>
  <c r="O159" i="1"/>
  <c r="R159" i="1" s="1"/>
  <c r="N152" i="1"/>
  <c r="O152" i="1"/>
  <c r="R152" i="1" s="1"/>
  <c r="N137" i="1"/>
  <c r="O137" i="1"/>
  <c r="R137" i="1" s="1"/>
  <c r="O121" i="1"/>
  <c r="R121" i="1" s="1"/>
  <c r="N121" i="1"/>
  <c r="N53" i="1"/>
  <c r="O53" i="1"/>
  <c r="R53" i="1" s="1"/>
  <c r="N35" i="1"/>
  <c r="O35" i="1"/>
  <c r="R35" i="1" s="1"/>
  <c r="N20" i="1"/>
  <c r="O20" i="1"/>
  <c r="R20" i="1" s="1"/>
  <c r="N465" i="1"/>
  <c r="Q465" i="1" s="1"/>
  <c r="O427" i="1"/>
  <c r="R427" i="1" s="1"/>
  <c r="R24" i="1"/>
  <c r="N392" i="1"/>
  <c r="O392" i="1"/>
  <c r="R392" i="1" s="1"/>
  <c r="N233" i="1"/>
  <c r="O233" i="1"/>
  <c r="R233" i="1" s="1"/>
  <c r="O253" i="1"/>
  <c r="R253" i="1" s="1"/>
  <c r="N253" i="1"/>
  <c r="N161" i="1"/>
  <c r="O161" i="1"/>
  <c r="R161" i="1" s="1"/>
  <c r="N122" i="1"/>
  <c r="O122" i="1"/>
  <c r="R122" i="1" s="1"/>
  <c r="N435" i="1"/>
  <c r="O346" i="1"/>
  <c r="R346" i="1" s="1"/>
  <c r="N346" i="1"/>
  <c r="N461" i="1"/>
  <c r="Q461" i="1" s="1"/>
  <c r="O461" i="1"/>
  <c r="R461" i="1" s="1"/>
  <c r="N433" i="1"/>
  <c r="O433" i="1"/>
  <c r="R433" i="1" s="1"/>
  <c r="O412" i="1"/>
  <c r="R412" i="1" s="1"/>
  <c r="N412" i="1"/>
  <c r="N403" i="1"/>
  <c r="O403" i="1"/>
  <c r="R403" i="1" s="1"/>
  <c r="N391" i="1"/>
  <c r="O391" i="1"/>
  <c r="R391" i="1" s="1"/>
  <c r="N369" i="1"/>
  <c r="Q369" i="1" s="1"/>
  <c r="O369" i="1"/>
  <c r="O358" i="1"/>
  <c r="R358" i="1" s="1"/>
  <c r="N358" i="1"/>
  <c r="N350" i="1"/>
  <c r="O350" i="1"/>
  <c r="R350" i="1" s="1"/>
  <c r="N342" i="1"/>
  <c r="O342" i="1"/>
  <c r="R342" i="1" s="1"/>
  <c r="N293" i="1"/>
  <c r="Q293" i="1" s="1"/>
  <c r="O293" i="1"/>
  <c r="R293" i="1" s="1"/>
  <c r="N251" i="1"/>
  <c r="O251" i="1"/>
  <c r="R251" i="1" s="1"/>
  <c r="N225" i="1"/>
  <c r="Q225" i="1" s="1"/>
  <c r="O225" i="1"/>
  <c r="R225" i="1" s="1"/>
  <c r="N167" i="1"/>
  <c r="O167" i="1"/>
  <c r="R167" i="1" s="1"/>
  <c r="N43" i="1"/>
  <c r="O43" i="1"/>
  <c r="R43" i="1" s="1"/>
  <c r="N464" i="1"/>
  <c r="Q464" i="1" s="1"/>
  <c r="N426" i="1"/>
  <c r="N416" i="1"/>
  <c r="O416" i="1"/>
  <c r="R416" i="1" s="1"/>
  <c r="N407" i="1"/>
  <c r="O407" i="1"/>
  <c r="R407" i="1" s="1"/>
  <c r="O382" i="1"/>
  <c r="R382" i="1" s="1"/>
  <c r="N382" i="1"/>
  <c r="N378" i="1"/>
  <c r="O378" i="1"/>
  <c r="R378" i="1" s="1"/>
  <c r="N345" i="1"/>
  <c r="Q345" i="1" s="1"/>
  <c r="O345" i="1"/>
  <c r="R345" i="1" s="1"/>
  <c r="N341" i="1"/>
  <c r="Q341" i="1" s="1"/>
  <c r="O341" i="1"/>
  <c r="R341" i="1" s="1"/>
  <c r="N337" i="1"/>
  <c r="O337" i="1"/>
  <c r="R337" i="1" s="1"/>
  <c r="N323" i="1"/>
  <c r="O323" i="1"/>
  <c r="R323" i="1" s="1"/>
  <c r="N315" i="1"/>
  <c r="Q315" i="1" s="1"/>
  <c r="O315" i="1"/>
  <c r="R315" i="1" s="1"/>
  <c r="N310" i="1"/>
  <c r="O310" i="1"/>
  <c r="R310" i="1" s="1"/>
  <c r="N268" i="1"/>
  <c r="O268" i="1"/>
  <c r="R268" i="1" s="1"/>
  <c r="N244" i="1"/>
  <c r="O244" i="1"/>
  <c r="R244" i="1" s="1"/>
  <c r="N210" i="1"/>
  <c r="O210" i="1"/>
  <c r="R210" i="1" s="1"/>
  <c r="N158" i="1"/>
  <c r="O158" i="1"/>
  <c r="R158" i="1" s="1"/>
  <c r="N143" i="1"/>
  <c r="O143" i="1"/>
  <c r="R143" i="1" s="1"/>
  <c r="O127" i="1"/>
  <c r="R127" i="1" s="1"/>
  <c r="N127" i="1"/>
  <c r="N102" i="1"/>
  <c r="O102" i="1"/>
  <c r="R102" i="1" s="1"/>
  <c r="N59" i="1"/>
  <c r="O59" i="1"/>
  <c r="R59" i="1" s="1"/>
  <c r="N42" i="1"/>
  <c r="O42" i="1"/>
  <c r="R42" i="1" s="1"/>
  <c r="N459" i="1"/>
  <c r="Q459" i="1" s="1"/>
  <c r="N388" i="1"/>
  <c r="Q388" i="1" s="1"/>
  <c r="N444" i="1"/>
  <c r="O444" i="1"/>
  <c r="R444" i="1" s="1"/>
  <c r="O418" i="1"/>
  <c r="R418" i="1" s="1"/>
  <c r="N418" i="1"/>
  <c r="N359" i="1"/>
  <c r="O359" i="1"/>
  <c r="R359" i="1" s="1"/>
  <c r="O328" i="1"/>
  <c r="R328" i="1" s="1"/>
  <c r="N328" i="1"/>
  <c r="Q157" i="1"/>
  <c r="N443" i="1"/>
  <c r="Q443" i="1" s="1"/>
  <c r="O443" i="1"/>
  <c r="R443" i="1" s="1"/>
  <c r="N396" i="1"/>
  <c r="O396" i="1"/>
  <c r="R396" i="1" s="1"/>
  <c r="N331" i="1"/>
  <c r="O331" i="1"/>
  <c r="R331" i="1" s="1"/>
  <c r="N304" i="1"/>
  <c r="O304" i="1"/>
  <c r="R304" i="1" s="1"/>
  <c r="O259" i="1"/>
  <c r="R259" i="1" s="1"/>
  <c r="N259" i="1"/>
  <c r="N246" i="1"/>
  <c r="O246" i="1"/>
  <c r="R246" i="1" s="1"/>
  <c r="N428" i="1"/>
  <c r="O428" i="1"/>
  <c r="R428" i="1" s="1"/>
  <c r="N422" i="1"/>
  <c r="O422" i="1"/>
  <c r="R422" i="1" s="1"/>
  <c r="N408" i="1"/>
  <c r="O408" i="1"/>
  <c r="R408" i="1" s="1"/>
  <c r="N387" i="1"/>
  <c r="Q387" i="1" s="1"/>
  <c r="O387" i="1"/>
  <c r="R387" i="1" s="1"/>
  <c r="N383" i="1"/>
  <c r="O383" i="1"/>
  <c r="R383" i="1" s="1"/>
  <c r="N320" i="1"/>
  <c r="O320" i="1"/>
  <c r="R320" i="1" s="1"/>
  <c r="N456" i="1"/>
  <c r="O456" i="1"/>
  <c r="R456" i="1" s="1"/>
  <c r="N451" i="1"/>
  <c r="O451" i="1"/>
  <c r="R451" i="1" s="1"/>
  <c r="N437" i="1"/>
  <c r="Q437" i="1" s="1"/>
  <c r="O437" i="1"/>
  <c r="R437" i="1" s="1"/>
  <c r="N436" i="1"/>
  <c r="Q436" i="1" s="1"/>
  <c r="O436" i="1"/>
  <c r="R436" i="1" s="1"/>
  <c r="O432" i="1"/>
  <c r="R432" i="1" s="1"/>
  <c r="N432" i="1"/>
  <c r="Q432" i="1" s="1"/>
  <c r="N421" i="1"/>
  <c r="Q421" i="1" s="1"/>
  <c r="O421" i="1"/>
  <c r="R421" i="1" s="1"/>
  <c r="N411" i="1"/>
  <c r="Q411" i="1" s="1"/>
  <c r="O411" i="1"/>
  <c r="N386" i="1"/>
  <c r="O386" i="1"/>
  <c r="R386" i="1" s="1"/>
  <c r="N377" i="1"/>
  <c r="Q377" i="1" s="1"/>
  <c r="O377" i="1"/>
  <c r="R377" i="1" s="1"/>
  <c r="N373" i="1"/>
  <c r="O373" i="1"/>
  <c r="R373" i="1" s="1"/>
  <c r="N365" i="1"/>
  <c r="O365" i="1"/>
  <c r="R365" i="1" s="1"/>
  <c r="N361" i="1"/>
  <c r="O361" i="1"/>
  <c r="R361" i="1" s="1"/>
  <c r="N357" i="1"/>
  <c r="Q357" i="1" s="1"/>
  <c r="O357" i="1"/>
  <c r="R357" i="1" s="1"/>
  <c r="N354" i="1"/>
  <c r="O354" i="1"/>
  <c r="R354" i="1" s="1"/>
  <c r="N319" i="1"/>
  <c r="O319" i="1"/>
  <c r="R319" i="1" s="1"/>
  <c r="N306" i="1"/>
  <c r="O306" i="1"/>
  <c r="R306" i="1" s="1"/>
  <c r="N298" i="1"/>
  <c r="O298" i="1"/>
  <c r="R298" i="1" s="1"/>
  <c r="N273" i="1"/>
  <c r="Q273" i="1" s="1"/>
  <c r="O273" i="1"/>
  <c r="R273" i="1" s="1"/>
  <c r="O217" i="1"/>
  <c r="R217" i="1" s="1"/>
  <c r="N217" i="1"/>
  <c r="N182" i="1"/>
  <c r="O182" i="1"/>
  <c r="R182" i="1" s="1"/>
  <c r="N134" i="1"/>
  <c r="O134" i="1"/>
  <c r="R134" i="1" s="1"/>
  <c r="N50" i="1"/>
  <c r="O50" i="1"/>
  <c r="R50" i="1" s="1"/>
  <c r="N458" i="1"/>
  <c r="N376" i="1"/>
  <c r="N439" i="1"/>
  <c r="O439" i="1"/>
  <c r="R439" i="1" s="1"/>
  <c r="N347" i="1"/>
  <c r="Q347" i="1" s="1"/>
  <c r="O347" i="1"/>
  <c r="R347" i="1" s="1"/>
  <c r="N289" i="1"/>
  <c r="O289" i="1"/>
  <c r="R289" i="1" s="1"/>
  <c r="N270" i="1"/>
  <c r="O270" i="1"/>
  <c r="R270" i="1" s="1"/>
  <c r="N213" i="1"/>
  <c r="Q213" i="1" s="1"/>
  <c r="O213" i="1"/>
  <c r="R213" i="1" s="1"/>
  <c r="N29" i="1"/>
  <c r="O29" i="1"/>
  <c r="R29" i="1" s="1"/>
  <c r="N300" i="1"/>
  <c r="O300" i="1"/>
  <c r="R300" i="1" s="1"/>
  <c r="N460" i="1"/>
  <c r="Q460" i="1" s="1"/>
  <c r="O460" i="1"/>
  <c r="R460" i="1" s="1"/>
  <c r="N455" i="1"/>
  <c r="O455" i="1"/>
  <c r="R455" i="1" s="1"/>
  <c r="N431" i="1"/>
  <c r="Q431" i="1" s="1"/>
  <c r="O431" i="1"/>
  <c r="R431" i="1" s="1"/>
  <c r="N415" i="1"/>
  <c r="O415" i="1"/>
  <c r="R415" i="1" s="1"/>
  <c r="N398" i="1"/>
  <c r="O398" i="1"/>
  <c r="R398" i="1" s="1"/>
  <c r="O394" i="1"/>
  <c r="R394" i="1" s="1"/>
  <c r="N394" i="1"/>
  <c r="N390" i="1"/>
  <c r="O390" i="1"/>
  <c r="R390" i="1" s="1"/>
  <c r="N381" i="1"/>
  <c r="Q381" i="1" s="1"/>
  <c r="O381" i="1"/>
  <c r="N349" i="1"/>
  <c r="O349" i="1"/>
  <c r="R349" i="1" s="1"/>
  <c r="N302" i="1"/>
  <c r="O302" i="1"/>
  <c r="R302" i="1" s="1"/>
  <c r="N297" i="1"/>
  <c r="Q297" i="1" s="1"/>
  <c r="O297" i="1"/>
  <c r="R297" i="1" s="1"/>
  <c r="N280" i="1"/>
  <c r="O280" i="1"/>
  <c r="R280" i="1" s="1"/>
  <c r="N201" i="1"/>
  <c r="Q201" i="1" s="1"/>
  <c r="O201" i="1"/>
  <c r="R201" i="1" s="1"/>
  <c r="N164" i="1"/>
  <c r="O164" i="1"/>
  <c r="R164" i="1" s="1"/>
  <c r="N118" i="1"/>
  <c r="O118" i="1"/>
  <c r="R118" i="1" s="1"/>
  <c r="N110" i="1"/>
  <c r="O110" i="1"/>
  <c r="R110" i="1" s="1"/>
  <c r="N100" i="1"/>
  <c r="O100" i="1"/>
  <c r="R100" i="1" s="1"/>
  <c r="N453" i="1"/>
  <c r="Q453" i="1" s="1"/>
  <c r="N316" i="1"/>
  <c r="Q316" i="1" s="1"/>
  <c r="N367" i="1"/>
  <c r="O367" i="1"/>
  <c r="R367" i="1" s="1"/>
  <c r="N106" i="1"/>
  <c r="O106" i="1"/>
  <c r="R106" i="1" s="1"/>
  <c r="N448" i="1"/>
  <c r="O448" i="1"/>
  <c r="R448" i="1" s="1"/>
  <c r="N417" i="1"/>
  <c r="Q417" i="1" s="1"/>
  <c r="O417" i="1"/>
  <c r="R417" i="1" s="1"/>
  <c r="N327" i="1"/>
  <c r="Q327" i="1" s="1"/>
  <c r="O327" i="1"/>
  <c r="R327" i="1" s="1"/>
  <c r="N105" i="1"/>
  <c r="Q105" i="1" s="1"/>
  <c r="O105" i="1"/>
  <c r="R105" i="1" s="1"/>
  <c r="N445" i="1"/>
  <c r="O445" i="1"/>
  <c r="R445" i="1" s="1"/>
  <c r="N410" i="1"/>
  <c r="O410" i="1"/>
  <c r="R410" i="1" s="1"/>
  <c r="N402" i="1"/>
  <c r="O402" i="1"/>
  <c r="R402" i="1" s="1"/>
  <c r="N393" i="1"/>
  <c r="Q393" i="1" s="1"/>
  <c r="O393" i="1"/>
  <c r="R393" i="1" s="1"/>
  <c r="N385" i="1"/>
  <c r="O385" i="1"/>
  <c r="R385" i="1" s="1"/>
  <c r="N368" i="1"/>
  <c r="O368" i="1"/>
  <c r="R368" i="1" s="1"/>
  <c r="N344" i="1"/>
  <c r="O344" i="1"/>
  <c r="R344" i="1" s="1"/>
  <c r="O340" i="1"/>
  <c r="R340" i="1" s="1"/>
  <c r="N340" i="1"/>
  <c r="N336" i="1"/>
  <c r="O336" i="1"/>
  <c r="R336" i="1" s="1"/>
  <c r="N329" i="1"/>
  <c r="O329" i="1"/>
  <c r="R329" i="1" s="1"/>
  <c r="N314" i="1"/>
  <c r="O314" i="1"/>
  <c r="R314" i="1" s="1"/>
  <c r="O309" i="1"/>
  <c r="N309" i="1"/>
  <c r="Q309" i="1" s="1"/>
  <c r="N272" i="1"/>
  <c r="O272" i="1"/>
  <c r="R272" i="1" s="1"/>
  <c r="N249" i="1"/>
  <c r="Q249" i="1" s="1"/>
  <c r="O249" i="1"/>
  <c r="R249" i="1" s="1"/>
  <c r="N188" i="1"/>
  <c r="O188" i="1"/>
  <c r="R188" i="1" s="1"/>
  <c r="N180" i="1"/>
  <c r="O180" i="1"/>
  <c r="R180" i="1" s="1"/>
  <c r="N173" i="1"/>
  <c r="O173" i="1"/>
  <c r="R173" i="1" s="1"/>
  <c r="N140" i="1"/>
  <c r="O140" i="1"/>
  <c r="R140" i="1" s="1"/>
  <c r="O109" i="1"/>
  <c r="R109" i="1" s="1"/>
  <c r="N109" i="1"/>
  <c r="N452" i="1"/>
  <c r="Q452" i="1" s="1"/>
  <c r="N303" i="1"/>
  <c r="Q303" i="1" s="1"/>
  <c r="O406" i="1"/>
  <c r="R406" i="1" s="1"/>
  <c r="N406" i="1"/>
  <c r="O296" i="1"/>
  <c r="R296" i="1" s="1"/>
  <c r="N296" i="1"/>
  <c r="N291" i="1"/>
  <c r="Q291" i="1" s="1"/>
  <c r="O291" i="1"/>
  <c r="N260" i="1"/>
  <c r="O260" i="1"/>
  <c r="R260" i="1" s="1"/>
  <c r="N222" i="1"/>
  <c r="O222" i="1"/>
  <c r="R222" i="1" s="1"/>
  <c r="N200" i="1"/>
  <c r="O200" i="1"/>
  <c r="R200" i="1" s="1"/>
  <c r="N77" i="1"/>
  <c r="O77" i="1"/>
  <c r="R77" i="1" s="1"/>
  <c r="N40" i="1"/>
  <c r="O40" i="1"/>
  <c r="R40" i="1" s="1"/>
  <c r="N447" i="1"/>
  <c r="Q447" i="1" s="1"/>
  <c r="N241" i="1"/>
  <c r="N423" i="1"/>
  <c r="Q423" i="1" s="1"/>
  <c r="O423" i="1"/>
  <c r="R423" i="1" s="1"/>
  <c r="O283" i="1"/>
  <c r="R283" i="1" s="1"/>
  <c r="N283" i="1"/>
  <c r="N170" i="1"/>
  <c r="O170" i="1"/>
  <c r="R170" i="1" s="1"/>
  <c r="N454" i="1"/>
  <c r="Q454" i="1" s="1"/>
  <c r="O454" i="1"/>
  <c r="R454" i="1" s="1"/>
  <c r="N450" i="1"/>
  <c r="O450" i="1"/>
  <c r="R450" i="1" s="1"/>
  <c r="N425" i="1"/>
  <c r="Q425" i="1" s="1"/>
  <c r="O425" i="1"/>
  <c r="R425" i="1" s="1"/>
  <c r="N353" i="1"/>
  <c r="O353" i="1"/>
  <c r="R353" i="1" s="1"/>
  <c r="N332" i="1"/>
  <c r="O332" i="1"/>
  <c r="R332" i="1" s="1"/>
  <c r="N325" i="1"/>
  <c r="O325" i="1"/>
  <c r="R325" i="1" s="1"/>
  <c r="N449" i="1"/>
  <c r="O449" i="1"/>
  <c r="R449" i="1" s="1"/>
  <c r="O424" i="1"/>
  <c r="R424" i="1" s="1"/>
  <c r="N424" i="1"/>
  <c r="Q424" i="1" s="1"/>
  <c r="N420" i="1"/>
  <c r="O420" i="1"/>
  <c r="R420" i="1" s="1"/>
  <c r="N401" i="1"/>
  <c r="O401" i="1"/>
  <c r="R401" i="1" s="1"/>
  <c r="N397" i="1"/>
  <c r="O397" i="1"/>
  <c r="R397" i="1" s="1"/>
  <c r="N389" i="1"/>
  <c r="O389" i="1"/>
  <c r="R389" i="1" s="1"/>
  <c r="N372" i="1"/>
  <c r="O372" i="1"/>
  <c r="R372" i="1" s="1"/>
  <c r="O364" i="1"/>
  <c r="R364" i="1" s="1"/>
  <c r="N364" i="1"/>
  <c r="N360" i="1"/>
  <c r="O360" i="1"/>
  <c r="R360" i="1" s="1"/>
  <c r="O352" i="1"/>
  <c r="R352" i="1" s="1"/>
  <c r="N352" i="1"/>
  <c r="Q352" i="1" s="1"/>
  <c r="N348" i="1"/>
  <c r="O348" i="1"/>
  <c r="R348" i="1" s="1"/>
  <c r="N339" i="1"/>
  <c r="Q339" i="1" s="1"/>
  <c r="O339" i="1"/>
  <c r="N335" i="1"/>
  <c r="Q335" i="1" s="1"/>
  <c r="O335" i="1"/>
  <c r="R335" i="1" s="1"/>
  <c r="N301" i="1"/>
  <c r="O301" i="1"/>
  <c r="R301" i="1" s="1"/>
  <c r="N186" i="1"/>
  <c r="O186" i="1"/>
  <c r="R186" i="1" s="1"/>
  <c r="N148" i="1"/>
  <c r="O148" i="1"/>
  <c r="R148" i="1" s="1"/>
  <c r="O115" i="1"/>
  <c r="R115" i="1" s="1"/>
  <c r="N115" i="1"/>
  <c r="N63" i="1"/>
  <c r="Q63" i="1" s="1"/>
  <c r="O63" i="1"/>
  <c r="N47" i="1"/>
  <c r="O47" i="1"/>
  <c r="R47" i="1" s="1"/>
  <c r="N39" i="1"/>
  <c r="O39" i="1"/>
  <c r="R39" i="1" s="1"/>
  <c r="N446" i="1"/>
  <c r="O15" i="1"/>
  <c r="R15" i="1" s="1"/>
  <c r="N15" i="1"/>
  <c r="N430" i="1"/>
  <c r="O430" i="1"/>
  <c r="R430" i="1" s="1"/>
  <c r="N318" i="1"/>
  <c r="O318" i="1"/>
  <c r="R318" i="1" s="1"/>
  <c r="N429" i="1"/>
  <c r="Q429" i="1" s="1"/>
  <c r="O429" i="1"/>
  <c r="R429" i="1" s="1"/>
  <c r="N405" i="1"/>
  <c r="Q405" i="1" s="1"/>
  <c r="O405" i="1"/>
  <c r="R405" i="1" s="1"/>
  <c r="N414" i="1"/>
  <c r="O414" i="1"/>
  <c r="R414" i="1" s="1"/>
  <c r="N409" i="1"/>
  <c r="O409" i="1"/>
  <c r="R409" i="1" s="1"/>
  <c r="N380" i="1"/>
  <c r="O380" i="1"/>
  <c r="R380" i="1" s="1"/>
  <c r="N371" i="1"/>
  <c r="O371" i="1"/>
  <c r="R371" i="1" s="1"/>
  <c r="N363" i="1"/>
  <c r="Q363" i="1" s="1"/>
  <c r="O363" i="1"/>
  <c r="R363" i="1" s="1"/>
  <c r="N321" i="1"/>
  <c r="Q321" i="1" s="1"/>
  <c r="O321" i="1"/>
  <c r="R321" i="1" s="1"/>
  <c r="N313" i="1"/>
  <c r="O313" i="1"/>
  <c r="R313" i="1" s="1"/>
  <c r="N308" i="1"/>
  <c r="O308" i="1"/>
  <c r="R308" i="1" s="1"/>
  <c r="N254" i="1"/>
  <c r="O254" i="1"/>
  <c r="R254" i="1" s="1"/>
  <c r="O247" i="1"/>
  <c r="R247" i="1" s="1"/>
  <c r="N247" i="1"/>
  <c r="N234" i="1"/>
  <c r="O234" i="1"/>
  <c r="R234" i="1" s="1"/>
  <c r="N214" i="1"/>
  <c r="O214" i="1"/>
  <c r="R214" i="1" s="1"/>
  <c r="N131" i="1"/>
  <c r="O131" i="1"/>
  <c r="R131" i="1" s="1"/>
  <c r="N90" i="1"/>
  <c r="O90" i="1"/>
  <c r="R90" i="1" s="1"/>
  <c r="N76" i="1"/>
  <c r="O76" i="1"/>
  <c r="R76" i="1" s="1"/>
  <c r="N38" i="1"/>
  <c r="O38" i="1"/>
  <c r="R38" i="1" s="1"/>
  <c r="N30" i="1"/>
  <c r="O30" i="1"/>
  <c r="R30" i="1" s="1"/>
  <c r="N441" i="1"/>
  <c r="Q441" i="1" s="1"/>
  <c r="N250" i="1"/>
  <c r="O250" i="1"/>
  <c r="R250" i="1" s="1"/>
  <c r="N232" i="1"/>
  <c r="O232" i="1"/>
  <c r="R232" i="1" s="1"/>
  <c r="N219" i="1"/>
  <c r="Q219" i="1" s="1"/>
  <c r="O219" i="1"/>
  <c r="R219" i="1" s="1"/>
  <c r="N216" i="1"/>
  <c r="O216" i="1"/>
  <c r="R216" i="1" s="1"/>
  <c r="N207" i="1"/>
  <c r="Q207" i="1" s="1"/>
  <c r="O207" i="1"/>
  <c r="N204" i="1"/>
  <c r="O204" i="1"/>
  <c r="R204" i="1" s="1"/>
  <c r="N198" i="1"/>
  <c r="O198" i="1"/>
  <c r="R198" i="1" s="1"/>
  <c r="N195" i="1"/>
  <c r="Q195" i="1" s="1"/>
  <c r="O195" i="1"/>
  <c r="R195" i="1" s="1"/>
  <c r="N192" i="1"/>
  <c r="O192" i="1"/>
  <c r="R192" i="1" s="1"/>
  <c r="N112" i="1"/>
  <c r="O112" i="1"/>
  <c r="R112" i="1" s="1"/>
  <c r="N99" i="1"/>
  <c r="Q99" i="1" s="1"/>
  <c r="O99" i="1"/>
  <c r="N96" i="1"/>
  <c r="O96" i="1"/>
  <c r="R96" i="1" s="1"/>
  <c r="N74" i="1"/>
  <c r="O74" i="1"/>
  <c r="R74" i="1" s="1"/>
  <c r="N71" i="1"/>
  <c r="O71" i="1"/>
  <c r="R71" i="1" s="1"/>
  <c r="N65" i="1"/>
  <c r="O65" i="1"/>
  <c r="R65" i="1" s="1"/>
  <c r="N56" i="1"/>
  <c r="O56" i="1"/>
  <c r="R56" i="1" s="1"/>
  <c r="N26" i="1"/>
  <c r="O26" i="1"/>
  <c r="R26" i="1" s="1"/>
  <c r="N23" i="1"/>
  <c r="O23" i="1"/>
  <c r="R23" i="1" s="1"/>
  <c r="N17" i="1"/>
  <c r="O17" i="1"/>
  <c r="R17" i="1" s="1"/>
  <c r="N235" i="1"/>
  <c r="N163" i="1"/>
  <c r="N91" i="1"/>
  <c r="O18" i="1"/>
  <c r="R18" i="1" s="1"/>
  <c r="N374" i="1"/>
  <c r="O374" i="1"/>
  <c r="R374" i="1" s="1"/>
  <c r="N356" i="1"/>
  <c r="O356" i="1"/>
  <c r="R356" i="1" s="1"/>
  <c r="N333" i="1"/>
  <c r="Q333" i="1" s="1"/>
  <c r="O333" i="1"/>
  <c r="R333" i="1" s="1"/>
  <c r="N330" i="1"/>
  <c r="O330" i="1"/>
  <c r="R330" i="1" s="1"/>
  <c r="N326" i="1"/>
  <c r="O326" i="1"/>
  <c r="R326" i="1" s="1"/>
  <c r="N305" i="1"/>
  <c r="O305" i="1"/>
  <c r="R305" i="1" s="1"/>
  <c r="N279" i="1"/>
  <c r="Q279" i="1" s="1"/>
  <c r="O279" i="1"/>
  <c r="R279" i="1" s="1"/>
  <c r="N275" i="1"/>
  <c r="Q275" i="1" s="1"/>
  <c r="O275" i="1"/>
  <c r="R275" i="1" s="1"/>
  <c r="N262" i="1"/>
  <c r="O262" i="1"/>
  <c r="R262" i="1" s="1"/>
  <c r="N256" i="1"/>
  <c r="O256" i="1"/>
  <c r="R256" i="1" s="1"/>
  <c r="N231" i="1"/>
  <c r="Q231" i="1" s="1"/>
  <c r="O231" i="1"/>
  <c r="R231" i="1" s="1"/>
  <c r="N228" i="1"/>
  <c r="O228" i="1"/>
  <c r="R228" i="1" s="1"/>
  <c r="N155" i="1"/>
  <c r="O155" i="1"/>
  <c r="R155" i="1" s="1"/>
  <c r="N149" i="1"/>
  <c r="O149" i="1"/>
  <c r="R149" i="1" s="1"/>
  <c r="N124" i="1"/>
  <c r="O124" i="1"/>
  <c r="R124" i="1" s="1"/>
  <c r="N111" i="1"/>
  <c r="Q111" i="1" s="1"/>
  <c r="O111" i="1"/>
  <c r="R111" i="1" s="1"/>
  <c r="N92" i="1"/>
  <c r="O92" i="1"/>
  <c r="R92" i="1" s="1"/>
  <c r="N86" i="1"/>
  <c r="O86" i="1"/>
  <c r="R86" i="1" s="1"/>
  <c r="N79" i="1"/>
  <c r="O79" i="1"/>
  <c r="R79" i="1" s="1"/>
  <c r="N31" i="1"/>
  <c r="O31" i="1"/>
  <c r="R31" i="1" s="1"/>
  <c r="N223" i="1"/>
  <c r="N151" i="1"/>
  <c r="O78" i="1"/>
  <c r="R78" i="1" s="1"/>
  <c r="N294" i="1"/>
  <c r="O294" i="1"/>
  <c r="R294" i="1" s="1"/>
  <c r="N243" i="1"/>
  <c r="Q243" i="1" s="1"/>
  <c r="O243" i="1"/>
  <c r="R243" i="1" s="1"/>
  <c r="N240" i="1"/>
  <c r="O240" i="1"/>
  <c r="R240" i="1" s="1"/>
  <c r="N185" i="1"/>
  <c r="O185" i="1"/>
  <c r="R185" i="1" s="1"/>
  <c r="N179" i="1"/>
  <c r="O179" i="1"/>
  <c r="R179" i="1" s="1"/>
  <c r="N130" i="1"/>
  <c r="O130" i="1"/>
  <c r="R130" i="1" s="1"/>
  <c r="N117" i="1"/>
  <c r="Q117" i="1" s="1"/>
  <c r="O117" i="1"/>
  <c r="R117" i="1" s="1"/>
  <c r="N114" i="1"/>
  <c r="O114" i="1"/>
  <c r="R114" i="1" s="1"/>
  <c r="N108" i="1"/>
  <c r="O108" i="1"/>
  <c r="R108" i="1" s="1"/>
  <c r="N89" i="1"/>
  <c r="O89" i="1"/>
  <c r="R89" i="1" s="1"/>
  <c r="N67" i="1"/>
  <c r="O67" i="1"/>
  <c r="R67" i="1" s="1"/>
  <c r="N49" i="1"/>
  <c r="O49" i="1"/>
  <c r="R49" i="1" s="1"/>
  <c r="N46" i="1"/>
  <c r="O46" i="1"/>
  <c r="R46" i="1" s="1"/>
  <c r="N37" i="1"/>
  <c r="O37" i="1"/>
  <c r="R37" i="1" s="1"/>
  <c r="N34" i="1"/>
  <c r="O34" i="1"/>
  <c r="R34" i="1" s="1"/>
  <c r="N19" i="1"/>
  <c r="O19" i="1"/>
  <c r="R19" i="1" s="1"/>
  <c r="N290" i="1"/>
  <c r="O72" i="1"/>
  <c r="N286" i="1"/>
  <c r="O286" i="1"/>
  <c r="R286" i="1" s="1"/>
  <c r="N261" i="1"/>
  <c r="Q261" i="1" s="1"/>
  <c r="O261" i="1"/>
  <c r="R261" i="1" s="1"/>
  <c r="N255" i="1"/>
  <c r="Q255" i="1" s="1"/>
  <c r="O255" i="1"/>
  <c r="R255" i="1" s="1"/>
  <c r="N252" i="1"/>
  <c r="O252" i="1"/>
  <c r="R252" i="1" s="1"/>
  <c r="N218" i="1"/>
  <c r="O218" i="1"/>
  <c r="R218" i="1" s="1"/>
  <c r="N215" i="1"/>
  <c r="O215" i="1"/>
  <c r="R215" i="1" s="1"/>
  <c r="N206" i="1"/>
  <c r="O206" i="1"/>
  <c r="R206" i="1" s="1"/>
  <c r="N203" i="1"/>
  <c r="O203" i="1"/>
  <c r="R203" i="1" s="1"/>
  <c r="N194" i="1"/>
  <c r="O194" i="1"/>
  <c r="R194" i="1" s="1"/>
  <c r="N191" i="1"/>
  <c r="O191" i="1"/>
  <c r="R191" i="1" s="1"/>
  <c r="N123" i="1"/>
  <c r="Q123" i="1" s="1"/>
  <c r="O123" i="1"/>
  <c r="N98" i="1"/>
  <c r="O98" i="1"/>
  <c r="R98" i="1" s="1"/>
  <c r="N95" i="1"/>
  <c r="O95" i="1"/>
  <c r="R95" i="1" s="1"/>
  <c r="N82" i="1"/>
  <c r="O82" i="1"/>
  <c r="R82" i="1" s="1"/>
  <c r="N73" i="1"/>
  <c r="O73" i="1"/>
  <c r="R73" i="1" s="1"/>
  <c r="N70" i="1"/>
  <c r="O70" i="1"/>
  <c r="R70" i="1" s="1"/>
  <c r="N64" i="1"/>
  <c r="O64" i="1"/>
  <c r="R64" i="1" s="1"/>
  <c r="N55" i="1"/>
  <c r="O55" i="1"/>
  <c r="R55" i="1" s="1"/>
  <c r="N25" i="1"/>
  <c r="O25" i="1"/>
  <c r="R25" i="1" s="1"/>
  <c r="N22" i="1"/>
  <c r="O22" i="1"/>
  <c r="R22" i="1" s="1"/>
  <c r="N16" i="1"/>
  <c r="O16" i="1"/>
  <c r="R16" i="1" s="1"/>
  <c r="O438" i="1"/>
  <c r="N211" i="1"/>
  <c r="N139" i="1"/>
  <c r="O66" i="1"/>
  <c r="R66" i="1" s="1"/>
  <c r="N282" i="1"/>
  <c r="O282" i="1"/>
  <c r="R282" i="1" s="1"/>
  <c r="N258" i="1"/>
  <c r="O258" i="1"/>
  <c r="R258" i="1" s="1"/>
  <c r="N224" i="1"/>
  <c r="O224" i="1"/>
  <c r="R224" i="1" s="1"/>
  <c r="N221" i="1"/>
  <c r="O221" i="1"/>
  <c r="R221" i="1" s="1"/>
  <c r="N209" i="1"/>
  <c r="O209" i="1"/>
  <c r="R209" i="1" s="1"/>
  <c r="N166" i="1"/>
  <c r="O166" i="1"/>
  <c r="R166" i="1" s="1"/>
  <c r="N160" i="1"/>
  <c r="O160" i="1"/>
  <c r="R160" i="1" s="1"/>
  <c r="N142" i="1"/>
  <c r="O142" i="1"/>
  <c r="R142" i="1" s="1"/>
  <c r="N136" i="1"/>
  <c r="O136" i="1"/>
  <c r="R136" i="1" s="1"/>
  <c r="N129" i="1"/>
  <c r="Q129" i="1" s="1"/>
  <c r="O129" i="1"/>
  <c r="R129" i="1" s="1"/>
  <c r="N126" i="1"/>
  <c r="O126" i="1"/>
  <c r="R126" i="1" s="1"/>
  <c r="N120" i="1"/>
  <c r="O120" i="1"/>
  <c r="R120" i="1" s="1"/>
  <c r="N104" i="1"/>
  <c r="O104" i="1"/>
  <c r="R104" i="1" s="1"/>
  <c r="N101" i="1"/>
  <c r="O101" i="1"/>
  <c r="R101" i="1" s="1"/>
  <c r="Q66" i="1"/>
  <c r="N61" i="1"/>
  <c r="O61" i="1"/>
  <c r="R61" i="1" s="1"/>
  <c r="N58" i="1"/>
  <c r="O58" i="1"/>
  <c r="R58" i="1" s="1"/>
  <c r="N52" i="1"/>
  <c r="O52" i="1"/>
  <c r="R52" i="1" s="1"/>
  <c r="N45" i="1"/>
  <c r="Q45" i="1" s="1"/>
  <c r="O45" i="1"/>
  <c r="R45" i="1" s="1"/>
  <c r="N277" i="1"/>
  <c r="N205" i="1"/>
  <c r="N133" i="1"/>
  <c r="O60" i="1"/>
  <c r="N307" i="1"/>
  <c r="O307" i="1"/>
  <c r="R307" i="1" s="1"/>
  <c r="N285" i="1"/>
  <c r="Q285" i="1" s="1"/>
  <c r="O285" i="1"/>
  <c r="R285" i="1" s="1"/>
  <c r="N278" i="1"/>
  <c r="O278" i="1"/>
  <c r="R278" i="1" s="1"/>
  <c r="N274" i="1"/>
  <c r="O274" i="1"/>
  <c r="R274" i="1" s="1"/>
  <c r="N267" i="1"/>
  <c r="Q267" i="1" s="1"/>
  <c r="O267" i="1"/>
  <c r="R267" i="1" s="1"/>
  <c r="N264" i="1"/>
  <c r="O264" i="1"/>
  <c r="R264" i="1" s="1"/>
  <c r="N236" i="1"/>
  <c r="O236" i="1"/>
  <c r="R236" i="1" s="1"/>
  <c r="N230" i="1"/>
  <c r="O230" i="1"/>
  <c r="R230" i="1" s="1"/>
  <c r="N227" i="1"/>
  <c r="O227" i="1"/>
  <c r="R227" i="1" s="1"/>
  <c r="N154" i="1"/>
  <c r="O154" i="1"/>
  <c r="R154" i="1" s="1"/>
  <c r="N81" i="1"/>
  <c r="Q81" i="1" s="1"/>
  <c r="O81" i="1"/>
  <c r="R81" i="1" s="1"/>
  <c r="N33" i="1"/>
  <c r="O33" i="1"/>
  <c r="R33" i="1" s="1"/>
  <c r="N271" i="1"/>
  <c r="N199" i="1"/>
  <c r="O54" i="1"/>
  <c r="N248" i="1"/>
  <c r="O248" i="1"/>
  <c r="R248" i="1" s="1"/>
  <c r="N242" i="1"/>
  <c r="O242" i="1"/>
  <c r="R242" i="1" s="1"/>
  <c r="N239" i="1"/>
  <c r="O239" i="1"/>
  <c r="R239" i="1" s="1"/>
  <c r="N178" i="1"/>
  <c r="O178" i="1"/>
  <c r="R178" i="1" s="1"/>
  <c r="N172" i="1"/>
  <c r="O172" i="1"/>
  <c r="R172" i="1" s="1"/>
  <c r="N165" i="1"/>
  <c r="Q165" i="1" s="1"/>
  <c r="O165" i="1"/>
  <c r="R165" i="1" s="1"/>
  <c r="N141" i="1"/>
  <c r="Q141" i="1" s="1"/>
  <c r="O141" i="1"/>
  <c r="R141" i="1" s="1"/>
  <c r="N138" i="1"/>
  <c r="O138" i="1"/>
  <c r="R138" i="1" s="1"/>
  <c r="N135" i="1"/>
  <c r="Q135" i="1" s="1"/>
  <c r="O135" i="1"/>
  <c r="R135" i="1" s="1"/>
  <c r="N132" i="1"/>
  <c r="O132" i="1"/>
  <c r="R132" i="1" s="1"/>
  <c r="N116" i="1"/>
  <c r="O116" i="1"/>
  <c r="R116" i="1" s="1"/>
  <c r="N113" i="1"/>
  <c r="O113" i="1"/>
  <c r="R113" i="1" s="1"/>
  <c r="N107" i="1"/>
  <c r="O107" i="1"/>
  <c r="R107" i="1" s="1"/>
  <c r="N88" i="1"/>
  <c r="O88" i="1"/>
  <c r="R88" i="1" s="1"/>
  <c r="N75" i="1"/>
  <c r="O75" i="1"/>
  <c r="R75" i="1" s="1"/>
  <c r="N69" i="1"/>
  <c r="O69" i="1"/>
  <c r="R69" i="1" s="1"/>
  <c r="N51" i="1"/>
  <c r="Q51" i="1" s="1"/>
  <c r="O51" i="1"/>
  <c r="N27" i="1"/>
  <c r="Q27" i="1" s="1"/>
  <c r="O27" i="1"/>
  <c r="N21" i="1"/>
  <c r="O21" i="1"/>
  <c r="R21" i="1" s="1"/>
  <c r="N265" i="1"/>
  <c r="N193" i="1"/>
  <c r="O48" i="1"/>
  <c r="R48" i="1" s="1"/>
  <c r="O83" i="1"/>
  <c r="N202" i="1"/>
  <c r="O202" i="1"/>
  <c r="R202" i="1" s="1"/>
  <c r="N190" i="1"/>
  <c r="O190" i="1"/>
  <c r="R190" i="1" s="1"/>
  <c r="N184" i="1"/>
  <c r="O184" i="1"/>
  <c r="R184" i="1" s="1"/>
  <c r="N162" i="1"/>
  <c r="O162" i="1"/>
  <c r="R162" i="1" s="1"/>
  <c r="N94" i="1"/>
  <c r="O94" i="1"/>
  <c r="R94" i="1" s="1"/>
  <c r="N57" i="1"/>
  <c r="Q57" i="1" s="1"/>
  <c r="O57" i="1"/>
  <c r="O442" i="1"/>
  <c r="N187" i="1"/>
  <c r="N292" i="1"/>
  <c r="O292" i="1"/>
  <c r="R292" i="1" s="1"/>
  <c r="N284" i="1"/>
  <c r="O284" i="1"/>
  <c r="R284" i="1" s="1"/>
  <c r="N281" i="1"/>
  <c r="O281" i="1"/>
  <c r="R281" i="1" s="1"/>
  <c r="N257" i="1"/>
  <c r="O257" i="1"/>
  <c r="R257" i="1" s="1"/>
  <c r="N208" i="1"/>
  <c r="O208" i="1"/>
  <c r="R208" i="1" s="1"/>
  <c r="N196" i="1"/>
  <c r="O196" i="1"/>
  <c r="R196" i="1" s="1"/>
  <c r="N177" i="1"/>
  <c r="Q177" i="1" s="1"/>
  <c r="O177" i="1"/>
  <c r="R177" i="1" s="1"/>
  <c r="N174" i="1"/>
  <c r="O174" i="1"/>
  <c r="R174" i="1" s="1"/>
  <c r="N171" i="1"/>
  <c r="Q171" i="1" s="1"/>
  <c r="O171" i="1"/>
  <c r="R171" i="1" s="1"/>
  <c r="N168" i="1"/>
  <c r="O168" i="1"/>
  <c r="R168" i="1" s="1"/>
  <c r="N153" i="1"/>
  <c r="Q153" i="1" s="1"/>
  <c r="O153" i="1"/>
  <c r="N150" i="1"/>
  <c r="O150" i="1"/>
  <c r="R150" i="1" s="1"/>
  <c r="N147" i="1"/>
  <c r="Q147" i="1" s="1"/>
  <c r="O147" i="1"/>
  <c r="N144" i="1"/>
  <c r="O144" i="1"/>
  <c r="R144" i="1" s="1"/>
  <c r="N128" i="1"/>
  <c r="O128" i="1"/>
  <c r="R128" i="1" s="1"/>
  <c r="N125" i="1"/>
  <c r="O125" i="1"/>
  <c r="R125" i="1" s="1"/>
  <c r="N119" i="1"/>
  <c r="O119" i="1"/>
  <c r="R119" i="1" s="1"/>
  <c r="N44" i="1"/>
  <c r="O44" i="1"/>
  <c r="R44" i="1" s="1"/>
  <c r="N181" i="1"/>
  <c r="O36" i="1"/>
  <c r="R36" i="1" s="1"/>
  <c r="N266" i="1"/>
  <c r="O266" i="1"/>
  <c r="R266" i="1" s="1"/>
  <c r="N263" i="1"/>
  <c r="O263" i="1"/>
  <c r="R263" i="1" s="1"/>
  <c r="N226" i="1"/>
  <c r="O226" i="1"/>
  <c r="R226" i="1" s="1"/>
  <c r="N220" i="1"/>
  <c r="O220" i="1"/>
  <c r="R220" i="1" s="1"/>
  <c r="N189" i="1"/>
  <c r="Q189" i="1" s="1"/>
  <c r="O189" i="1"/>
  <c r="R189" i="1" s="1"/>
  <c r="N183" i="1"/>
  <c r="Q183" i="1" s="1"/>
  <c r="O183" i="1"/>
  <c r="N156" i="1"/>
  <c r="O156" i="1"/>
  <c r="R156" i="1" s="1"/>
  <c r="N93" i="1"/>
  <c r="Q93" i="1" s="1"/>
  <c r="O93" i="1"/>
  <c r="R93" i="1" s="1"/>
  <c r="N87" i="1"/>
  <c r="Q87" i="1" s="1"/>
  <c r="O87" i="1"/>
  <c r="R87" i="1" s="1"/>
  <c r="N84" i="1"/>
  <c r="O84" i="1"/>
  <c r="R84" i="1" s="1"/>
  <c r="N80" i="1"/>
  <c r="O80" i="1"/>
  <c r="R80" i="1" s="1"/>
  <c r="N41" i="1"/>
  <c r="O41" i="1"/>
  <c r="R41" i="1" s="1"/>
  <c r="N32" i="1"/>
  <c r="O32" i="1"/>
  <c r="R32" i="1" s="1"/>
  <c r="N322" i="1"/>
  <c r="N175" i="1"/>
  <c r="N103" i="1"/>
  <c r="Q287" i="1"/>
  <c r="Q311" i="1"/>
  <c r="Q299" i="1"/>
  <c r="O311" i="1"/>
  <c r="R311" i="1" s="1"/>
  <c r="O299" i="1"/>
  <c r="R299" i="1" s="1"/>
  <c r="O287" i="1"/>
  <c r="R287" i="1" s="1"/>
  <c r="Q451" i="1"/>
  <c r="P452" i="1"/>
  <c r="O45" i="2"/>
  <c r="R45" i="2" s="1"/>
  <c r="N45" i="2"/>
  <c r="N478" i="2"/>
  <c r="Q478" i="2" s="1"/>
  <c r="N331" i="2"/>
  <c r="Q331" i="2" s="1"/>
  <c r="N319" i="2"/>
  <c r="Q319" i="2" s="1"/>
  <c r="N330" i="2"/>
  <c r="Q330" i="2" s="1"/>
  <c r="N318" i="2"/>
  <c r="Q318" i="2" s="1"/>
  <c r="N306" i="2"/>
  <c r="Q306" i="2" s="1"/>
  <c r="N484" i="2"/>
  <c r="Q484" i="2" s="1"/>
  <c r="N493" i="2"/>
  <c r="Q493" i="2" s="1"/>
  <c r="N472" i="2"/>
  <c r="Q472" i="2" s="1"/>
  <c r="R465" i="2"/>
  <c r="Q458" i="2"/>
  <c r="Q307" i="2"/>
  <c r="Q343" i="2"/>
  <c r="O452" i="2"/>
  <c r="R452" i="2" s="1"/>
  <c r="O440" i="2"/>
  <c r="R440" i="2" s="1"/>
  <c r="O427" i="2"/>
  <c r="R427" i="2" s="1"/>
  <c r="O415" i="2"/>
  <c r="R415" i="2" s="1"/>
  <c r="O403" i="2"/>
  <c r="R403" i="2" s="1"/>
  <c r="O391" i="2"/>
  <c r="O379" i="2"/>
  <c r="R379" i="2" s="1"/>
  <c r="O367" i="2"/>
  <c r="R367" i="2" s="1"/>
  <c r="O355" i="2"/>
  <c r="P355" i="2" s="1"/>
  <c r="O343" i="2"/>
  <c r="R343" i="2" s="1"/>
  <c r="O331" i="2"/>
  <c r="R331" i="2" s="1"/>
  <c r="O319" i="2"/>
  <c r="R319" i="2" s="1"/>
  <c r="O307" i="2"/>
  <c r="R307" i="2" s="1"/>
  <c r="O464" i="2"/>
  <c r="R464" i="2" s="1"/>
  <c r="O330" i="2"/>
  <c r="R330" i="2" s="1"/>
  <c r="O318" i="2"/>
  <c r="R318" i="2" s="1"/>
  <c r="O306" i="2"/>
  <c r="R306" i="2" s="1"/>
  <c r="O494" i="2"/>
  <c r="R494" i="2" s="1"/>
  <c r="N494" i="2"/>
  <c r="N485" i="2"/>
  <c r="O485" i="2"/>
  <c r="R485" i="2" s="1"/>
  <c r="N476" i="2"/>
  <c r="O476" i="2"/>
  <c r="R476" i="2" s="1"/>
  <c r="N492" i="2"/>
  <c r="O492" i="2"/>
  <c r="R492" i="2" s="1"/>
  <c r="N483" i="2"/>
  <c r="O483" i="2"/>
  <c r="R483" i="2" s="1"/>
  <c r="N474" i="2"/>
  <c r="O474" i="2"/>
  <c r="R474" i="2" s="1"/>
  <c r="N491" i="2"/>
  <c r="O491" i="2"/>
  <c r="R491" i="2" s="1"/>
  <c r="O482" i="2"/>
  <c r="R482" i="2" s="1"/>
  <c r="N482" i="2"/>
  <c r="N473" i="2"/>
  <c r="O473" i="2"/>
  <c r="R473" i="2" s="1"/>
  <c r="N498" i="2"/>
  <c r="O498" i="2"/>
  <c r="R498" i="2" s="1"/>
  <c r="N489" i="2"/>
  <c r="O489" i="2"/>
  <c r="R489" i="2" s="1"/>
  <c r="N480" i="2"/>
  <c r="O480" i="2"/>
  <c r="R480" i="2" s="1"/>
  <c r="N471" i="2"/>
  <c r="O471" i="2"/>
  <c r="R471" i="2" s="1"/>
  <c r="N497" i="2"/>
  <c r="O497" i="2"/>
  <c r="R497" i="2" s="1"/>
  <c r="N488" i="2"/>
  <c r="O488" i="2"/>
  <c r="R488" i="2" s="1"/>
  <c r="N479" i="2"/>
  <c r="O479" i="2"/>
  <c r="R479" i="2" s="1"/>
  <c r="O470" i="2"/>
  <c r="R470" i="2" s="1"/>
  <c r="N470" i="2"/>
  <c r="N469" i="2"/>
  <c r="O469" i="2"/>
  <c r="R469" i="2" s="1"/>
  <c r="N468" i="2"/>
  <c r="O468" i="2"/>
  <c r="R468" i="2" s="1"/>
  <c r="N495" i="2"/>
  <c r="O495" i="2"/>
  <c r="R495" i="2" s="1"/>
  <c r="N486" i="2"/>
  <c r="O486" i="2"/>
  <c r="R486" i="2" s="1"/>
  <c r="N477" i="2"/>
  <c r="O477" i="2"/>
  <c r="R477" i="2" s="1"/>
  <c r="N467" i="2"/>
  <c r="O467" i="2"/>
  <c r="R467" i="2" s="1"/>
  <c r="O487" i="2"/>
  <c r="R487" i="2" s="1"/>
  <c r="O475" i="2"/>
  <c r="R475" i="2" s="1"/>
  <c r="O490" i="2"/>
  <c r="R490" i="2" s="1"/>
  <c r="O478" i="2"/>
  <c r="R478" i="2" s="1"/>
  <c r="O493" i="2"/>
  <c r="R493" i="2" s="1"/>
  <c r="O481" i="2"/>
  <c r="R481" i="2" s="1"/>
  <c r="O496" i="2"/>
  <c r="R496" i="2" s="1"/>
  <c r="O484" i="2"/>
  <c r="R484" i="2" s="1"/>
  <c r="O472" i="2"/>
  <c r="R472" i="2" s="1"/>
  <c r="R46" i="2"/>
  <c r="Q72" i="2"/>
  <c r="R38" i="2"/>
  <c r="Q55" i="2"/>
  <c r="R91" i="2"/>
  <c r="R285" i="2"/>
  <c r="R36" i="2"/>
  <c r="R126" i="2"/>
  <c r="R105" i="2"/>
  <c r="P113" i="2"/>
  <c r="R119" i="2"/>
  <c r="R122" i="2"/>
  <c r="R49" i="2"/>
  <c r="R114" i="2"/>
  <c r="R194" i="2"/>
  <c r="R128" i="2"/>
  <c r="R111" i="2"/>
  <c r="R17" i="2"/>
  <c r="P57" i="2"/>
  <c r="Q57" i="2"/>
  <c r="R98" i="2"/>
  <c r="R178" i="2"/>
  <c r="P90" i="2"/>
  <c r="Q253" i="2"/>
  <c r="P266" i="2"/>
  <c r="Q266" i="2"/>
  <c r="R123" i="2"/>
  <c r="R143" i="2"/>
  <c r="R133" i="2"/>
  <c r="R140" i="2"/>
  <c r="R144" i="2"/>
  <c r="P161" i="2"/>
  <c r="R99" i="2"/>
  <c r="Q137" i="2"/>
  <c r="R184" i="2"/>
  <c r="R227" i="2"/>
  <c r="R22" i="2"/>
  <c r="R173" i="2"/>
  <c r="Q217" i="2"/>
  <c r="Q186" i="2"/>
  <c r="Q240" i="2"/>
  <c r="R236" i="2"/>
  <c r="R272" i="2"/>
  <c r="Q218" i="2"/>
  <c r="R273" i="2"/>
  <c r="R162" i="2"/>
  <c r="R251" i="2"/>
  <c r="Q247" i="2"/>
  <c r="Q418" i="2"/>
  <c r="P418" i="2"/>
  <c r="P276" i="2"/>
  <c r="R274" i="2"/>
  <c r="R296" i="2"/>
  <c r="Q308" i="2"/>
  <c r="Q332" i="2"/>
  <c r="P332" i="2"/>
  <c r="R329" i="2"/>
  <c r="R323" i="2"/>
  <c r="R347" i="2"/>
  <c r="Q320" i="2"/>
  <c r="R365" i="2"/>
  <c r="Q352" i="2"/>
  <c r="Q361" i="2"/>
  <c r="Q428" i="2"/>
  <c r="Q324" i="2"/>
  <c r="Q391" i="2"/>
  <c r="R430" i="2"/>
  <c r="Q354" i="2"/>
  <c r="P354" i="2"/>
  <c r="Q441" i="2"/>
  <c r="R463" i="2"/>
  <c r="Q384" i="2"/>
  <c r="R408" i="2"/>
  <c r="R458" i="2"/>
  <c r="Q355" i="2"/>
  <c r="R384" i="2"/>
  <c r="Q393" i="2"/>
  <c r="R426" i="2"/>
  <c r="Q453" i="2"/>
  <c r="P453" i="2"/>
  <c r="P458" i="2"/>
  <c r="R438" i="2"/>
  <c r="R454" i="2"/>
  <c r="P364" i="2"/>
  <c r="R414" i="2"/>
  <c r="Q462" i="1"/>
  <c r="Q426" i="1"/>
  <c r="Q410" i="1"/>
  <c r="J13" i="1"/>
  <c r="P435" i="2" l="1"/>
  <c r="P210" i="2"/>
  <c r="P465" i="2"/>
  <c r="P72" i="2"/>
  <c r="P373" i="2"/>
  <c r="P270" i="2"/>
  <c r="P293" i="2"/>
  <c r="P265" i="2"/>
  <c r="P158" i="2"/>
  <c r="P93" i="2"/>
  <c r="P217" i="2"/>
  <c r="P209" i="2"/>
  <c r="P186" i="2"/>
  <c r="P337" i="2"/>
  <c r="Q93" i="2"/>
  <c r="P320" i="2"/>
  <c r="P356" i="2"/>
  <c r="Q286" i="2"/>
  <c r="P282" i="2"/>
  <c r="Q158" i="2"/>
  <c r="P201" i="2"/>
  <c r="P302" i="2"/>
  <c r="P258" i="2"/>
  <c r="P230" i="2"/>
  <c r="P321" i="2"/>
  <c r="P271" i="2"/>
  <c r="P308" i="2"/>
  <c r="P400" i="2"/>
  <c r="P138" i="2"/>
  <c r="P241" i="2"/>
  <c r="Q271" i="2"/>
  <c r="P416" i="2"/>
  <c r="P297" i="2"/>
  <c r="P74" i="2"/>
  <c r="P202" i="2"/>
  <c r="P190" i="2"/>
  <c r="P15" i="2"/>
  <c r="P108" i="2"/>
  <c r="P73" i="2"/>
  <c r="P61" i="2"/>
  <c r="P187" i="2"/>
  <c r="P56" i="2"/>
  <c r="P292" i="2"/>
  <c r="P220" i="2"/>
  <c r="R244" i="2"/>
  <c r="P70" i="2"/>
  <c r="P170" i="2"/>
  <c r="P53" i="2"/>
  <c r="P287" i="2"/>
  <c r="P120" i="2"/>
  <c r="P317" i="2"/>
  <c r="P100" i="2"/>
  <c r="P240" i="2"/>
  <c r="P388" i="2"/>
  <c r="P207" i="2"/>
  <c r="P55" i="2"/>
  <c r="P102" i="2"/>
  <c r="P219" i="2"/>
  <c r="P351" i="2"/>
  <c r="P288" i="2"/>
  <c r="P29" i="2"/>
  <c r="P228" i="2"/>
  <c r="P222" i="2"/>
  <c r="P218" i="2"/>
  <c r="P54" i="2"/>
  <c r="P65" i="2"/>
  <c r="P224" i="2"/>
  <c r="P154" i="2"/>
  <c r="P316" i="2"/>
  <c r="P81" i="2"/>
  <c r="P163" i="2"/>
  <c r="P392" i="2"/>
  <c r="R258" i="2"/>
  <c r="P131" i="2"/>
  <c r="Q154" i="2"/>
  <c r="P460" i="2"/>
  <c r="Q224" i="2"/>
  <c r="R187" i="2"/>
  <c r="P387" i="2"/>
  <c r="P359" i="2"/>
  <c r="Q219" i="2"/>
  <c r="P67" i="2"/>
  <c r="P278" i="2"/>
  <c r="P191" i="2"/>
  <c r="P254" i="2"/>
  <c r="P129" i="2"/>
  <c r="P305" i="2"/>
  <c r="P205" i="2"/>
  <c r="P253" i="2"/>
  <c r="P169" i="2"/>
  <c r="P121" i="2"/>
  <c r="P139" i="2"/>
  <c r="P412" i="2"/>
  <c r="P150" i="2"/>
  <c r="P134" i="2"/>
  <c r="P78" i="2"/>
  <c r="P159" i="2"/>
  <c r="P361" i="2"/>
  <c r="P399" i="2"/>
  <c r="P294" i="2"/>
  <c r="P283" i="2"/>
  <c r="P77" i="2"/>
  <c r="P391" i="2"/>
  <c r="P344" i="2"/>
  <c r="P203" i="2"/>
  <c r="Q131" i="2"/>
  <c r="P372" i="2"/>
  <c r="P141" i="2"/>
  <c r="P340" i="2"/>
  <c r="P324" i="2"/>
  <c r="P48" i="2"/>
  <c r="P393" i="2"/>
  <c r="P441" i="2"/>
  <c r="Q392" i="2"/>
  <c r="P267" i="2"/>
  <c r="Q278" i="2"/>
  <c r="P181" i="2"/>
  <c r="P376" i="2"/>
  <c r="P234" i="2"/>
  <c r="Q254" i="2"/>
  <c r="P264" i="2"/>
  <c r="P268" i="2"/>
  <c r="Q222" i="2"/>
  <c r="P97" i="2"/>
  <c r="P24" i="2"/>
  <c r="N385" i="2"/>
  <c r="O385" i="2"/>
  <c r="R385" i="2" s="1"/>
  <c r="P145" i="2"/>
  <c r="P330" i="2"/>
  <c r="P252" i="2"/>
  <c r="P107" i="2"/>
  <c r="P146" i="2"/>
  <c r="N433" i="2"/>
  <c r="O433" i="2"/>
  <c r="R433" i="2" s="1"/>
  <c r="N345" i="2"/>
  <c r="Q345" i="2" s="1"/>
  <c r="O345" i="2"/>
  <c r="P39" i="2"/>
  <c r="P352" i="2"/>
  <c r="P20" i="2"/>
  <c r="P300" i="2"/>
  <c r="Q288" i="2"/>
  <c r="P171" i="2"/>
  <c r="R129" i="2"/>
  <c r="N357" i="2"/>
  <c r="O357" i="2"/>
  <c r="R357" i="2" s="1"/>
  <c r="Q199" i="2"/>
  <c r="P199" i="2"/>
  <c r="P127" i="2"/>
  <c r="P448" i="2"/>
  <c r="P368" i="2"/>
  <c r="P328" i="2"/>
  <c r="P132" i="2"/>
  <c r="P94" i="2"/>
  <c r="N349" i="2"/>
  <c r="O349" i="2"/>
  <c r="R349" i="2" s="1"/>
  <c r="N421" i="2"/>
  <c r="O421" i="2"/>
  <c r="R421" i="2" s="1"/>
  <c r="P237" i="2"/>
  <c r="Q237" i="2"/>
  <c r="P249" i="2"/>
  <c r="Q249" i="2"/>
  <c r="N312" i="2"/>
  <c r="O312" i="2"/>
  <c r="R312" i="2" s="1"/>
  <c r="P335" i="2"/>
  <c r="Q125" i="2"/>
  <c r="P125" i="2"/>
  <c r="P314" i="2"/>
  <c r="Q193" i="2"/>
  <c r="P193" i="2"/>
  <c r="Q256" i="2"/>
  <c r="P256" i="2"/>
  <c r="P339" i="2"/>
  <c r="N325" i="2"/>
  <c r="O325" i="2"/>
  <c r="R325" i="2" s="1"/>
  <c r="N397" i="2"/>
  <c r="O397" i="2"/>
  <c r="R397" i="2" s="1"/>
  <c r="P92" i="2"/>
  <c r="P33" i="2"/>
  <c r="Q33" i="2"/>
  <c r="Q41" i="2"/>
  <c r="P41" i="2"/>
  <c r="P424" i="2"/>
  <c r="P85" i="2"/>
  <c r="P275" i="2"/>
  <c r="P246" i="2"/>
  <c r="Q141" i="2"/>
  <c r="P69" i="2"/>
  <c r="Q269" i="2"/>
  <c r="P269" i="2"/>
  <c r="R303" i="2"/>
  <c r="P303" i="2"/>
  <c r="P261" i="2"/>
  <c r="Q261" i="2"/>
  <c r="P404" i="2"/>
  <c r="Q189" i="2"/>
  <c r="P189" i="2"/>
  <c r="P80" i="2"/>
  <c r="Q80" i="2"/>
  <c r="Q262" i="2"/>
  <c r="P262" i="2"/>
  <c r="N301" i="2"/>
  <c r="Q301" i="2" s="1"/>
  <c r="O301" i="2"/>
  <c r="R301" i="2" s="1"/>
  <c r="N369" i="2"/>
  <c r="O369" i="2"/>
  <c r="R369" i="2" s="1"/>
  <c r="Q157" i="2"/>
  <c r="P157" i="2"/>
  <c r="P255" i="2"/>
  <c r="P60" i="2"/>
  <c r="Q60" i="2"/>
  <c r="P428" i="2"/>
  <c r="P279" i="2"/>
  <c r="Q279" i="2"/>
  <c r="N446" i="2"/>
  <c r="O446" i="2"/>
  <c r="R446" i="2" s="1"/>
  <c r="N333" i="2"/>
  <c r="Q333" i="2" s="1"/>
  <c r="O333" i="2"/>
  <c r="R333" i="2" s="1"/>
  <c r="N313" i="2"/>
  <c r="O313" i="2"/>
  <c r="R313" i="2" s="1"/>
  <c r="N409" i="2"/>
  <c r="Q409" i="2" s="1"/>
  <c r="O409" i="2"/>
  <c r="R409" i="2" s="1"/>
  <c r="P411" i="2"/>
  <c r="P341" i="1"/>
  <c r="P15" i="1"/>
  <c r="Q169" i="1"/>
  <c r="P83" i="1"/>
  <c r="P375" i="1"/>
  <c r="P421" i="1"/>
  <c r="P105" i="1"/>
  <c r="P369" i="1"/>
  <c r="R369" i="1"/>
  <c r="P117" i="1"/>
  <c r="P111" i="1"/>
  <c r="P327" i="1"/>
  <c r="P297" i="1"/>
  <c r="P447" i="1"/>
  <c r="P425" i="1"/>
  <c r="P85" i="1"/>
  <c r="P413" i="1"/>
  <c r="P381" i="1"/>
  <c r="P316" i="1"/>
  <c r="P453" i="1"/>
  <c r="P461" i="1"/>
  <c r="P424" i="1"/>
  <c r="P315" i="1"/>
  <c r="P225" i="1"/>
  <c r="P24" i="1"/>
  <c r="P371" i="1"/>
  <c r="P411" i="1"/>
  <c r="R381" i="1"/>
  <c r="P426" i="1"/>
  <c r="P333" i="1"/>
  <c r="P351" i="1"/>
  <c r="P449" i="1"/>
  <c r="P454" i="1"/>
  <c r="P339" i="1"/>
  <c r="P459" i="1"/>
  <c r="Q371" i="1"/>
  <c r="Q440" i="1"/>
  <c r="P419" i="1"/>
  <c r="P352" i="1"/>
  <c r="P189" i="1"/>
  <c r="P460" i="1"/>
  <c r="P457" i="1"/>
  <c r="P135" i="1"/>
  <c r="Q15" i="1"/>
  <c r="N12" i="1"/>
  <c r="P157" i="1"/>
  <c r="P357" i="1"/>
  <c r="Q419" i="1"/>
  <c r="P293" i="1"/>
  <c r="P465" i="1"/>
  <c r="P347" i="1"/>
  <c r="P273" i="1"/>
  <c r="P418" i="1"/>
  <c r="R411" i="1"/>
  <c r="P243" i="1"/>
  <c r="P219" i="1"/>
  <c r="P229" i="1"/>
  <c r="P443" i="1"/>
  <c r="P388" i="1"/>
  <c r="P183" i="1"/>
  <c r="P147" i="1"/>
  <c r="P51" i="1"/>
  <c r="P410" i="1"/>
  <c r="R339" i="1"/>
  <c r="P437" i="1"/>
  <c r="Q418" i="1"/>
  <c r="P177" i="1"/>
  <c r="R51" i="1"/>
  <c r="P363" i="1"/>
  <c r="R147" i="1"/>
  <c r="P377" i="1"/>
  <c r="P87" i="1"/>
  <c r="P36" i="1"/>
  <c r="P431" i="1"/>
  <c r="P18" i="1"/>
  <c r="P279" i="1"/>
  <c r="P237" i="1"/>
  <c r="P123" i="1"/>
  <c r="P99" i="1"/>
  <c r="P207" i="1"/>
  <c r="P48" i="1"/>
  <c r="P248" i="1"/>
  <c r="Q248" i="1"/>
  <c r="P179" i="1"/>
  <c r="Q179" i="1"/>
  <c r="P214" i="1"/>
  <c r="Q214" i="1"/>
  <c r="P68" i="1"/>
  <c r="Q68" i="1"/>
  <c r="Q149" i="1"/>
  <c r="P149" i="1"/>
  <c r="P144" i="1"/>
  <c r="Q144" i="1"/>
  <c r="P184" i="1"/>
  <c r="Q184" i="1"/>
  <c r="P113" i="1"/>
  <c r="Q113" i="1"/>
  <c r="P199" i="1"/>
  <c r="Q199" i="1"/>
  <c r="P52" i="1"/>
  <c r="Q52" i="1"/>
  <c r="P211" i="1"/>
  <c r="Q211" i="1"/>
  <c r="P19" i="1"/>
  <c r="Q19" i="1"/>
  <c r="P89" i="1"/>
  <c r="Q89" i="1"/>
  <c r="P185" i="1"/>
  <c r="Q185" i="1"/>
  <c r="P30" i="1"/>
  <c r="Q30" i="1"/>
  <c r="Q234" i="1"/>
  <c r="P234" i="1"/>
  <c r="P63" i="1"/>
  <c r="R63" i="1"/>
  <c r="P77" i="1"/>
  <c r="Q77" i="1"/>
  <c r="P50" i="1"/>
  <c r="Q50" i="1"/>
  <c r="P306" i="1"/>
  <c r="Q306" i="1"/>
  <c r="P373" i="1"/>
  <c r="Q373" i="1"/>
  <c r="Q304" i="1"/>
  <c r="P304" i="1"/>
  <c r="Q359" i="1"/>
  <c r="P359" i="1"/>
  <c r="P102" i="1"/>
  <c r="Q102" i="1"/>
  <c r="P268" i="1"/>
  <c r="Q268" i="1"/>
  <c r="P43" i="1"/>
  <c r="Q43" i="1"/>
  <c r="P350" i="1"/>
  <c r="Q350" i="1"/>
  <c r="P433" i="1"/>
  <c r="Q433" i="1"/>
  <c r="P197" i="1"/>
  <c r="Q197" i="1"/>
  <c r="Q295" i="1"/>
  <c r="P295" i="1"/>
  <c r="P176" i="1"/>
  <c r="Q176" i="1"/>
  <c r="Q312" i="1"/>
  <c r="P312" i="1"/>
  <c r="P343" i="1"/>
  <c r="Q343" i="1"/>
  <c r="P322" i="1"/>
  <c r="Q322" i="1"/>
  <c r="P107" i="1"/>
  <c r="Q107" i="1"/>
  <c r="P62" i="1"/>
  <c r="Q62" i="1"/>
  <c r="Q329" i="1"/>
  <c r="P329" i="1"/>
  <c r="Q400" i="1"/>
  <c r="P400" i="1"/>
  <c r="P393" i="1"/>
  <c r="P399" i="1"/>
  <c r="P429" i="1"/>
  <c r="P436" i="1"/>
  <c r="P32" i="1"/>
  <c r="Q32" i="1"/>
  <c r="P174" i="1"/>
  <c r="Q174" i="1"/>
  <c r="P345" i="1"/>
  <c r="P271" i="1"/>
  <c r="Q271" i="1"/>
  <c r="P236" i="1"/>
  <c r="Q236" i="1"/>
  <c r="Q307" i="1"/>
  <c r="P307" i="1"/>
  <c r="P126" i="1"/>
  <c r="Q126" i="1"/>
  <c r="P209" i="1"/>
  <c r="Q209" i="1"/>
  <c r="R438" i="1"/>
  <c r="P438" i="1"/>
  <c r="P70" i="1"/>
  <c r="Q70" i="1"/>
  <c r="P191" i="1"/>
  <c r="Q191" i="1"/>
  <c r="P252" i="1"/>
  <c r="Q252" i="1"/>
  <c r="Q79" i="1"/>
  <c r="P79" i="1"/>
  <c r="Q155" i="1"/>
  <c r="P155" i="1"/>
  <c r="Q374" i="1"/>
  <c r="P374" i="1"/>
  <c r="Q56" i="1"/>
  <c r="P56" i="1"/>
  <c r="Q112" i="1"/>
  <c r="P112" i="1"/>
  <c r="Q216" i="1"/>
  <c r="P216" i="1"/>
  <c r="P247" i="1"/>
  <c r="Q247" i="1"/>
  <c r="P389" i="1"/>
  <c r="Q389" i="1"/>
  <c r="P325" i="1"/>
  <c r="Q325" i="1"/>
  <c r="P170" i="1"/>
  <c r="Q170" i="1"/>
  <c r="Q188" i="1"/>
  <c r="P188" i="1"/>
  <c r="P336" i="1"/>
  <c r="Q336" i="1"/>
  <c r="P402" i="1"/>
  <c r="Q402" i="1"/>
  <c r="Q448" i="1"/>
  <c r="P448" i="1"/>
  <c r="P118" i="1"/>
  <c r="Q118" i="1"/>
  <c r="P349" i="1"/>
  <c r="Q349" i="1"/>
  <c r="Q270" i="1"/>
  <c r="P270" i="1"/>
  <c r="P127" i="1"/>
  <c r="Q127" i="1"/>
  <c r="P358" i="1"/>
  <c r="Q358" i="1"/>
  <c r="P233" i="1"/>
  <c r="Q233" i="1"/>
  <c r="P53" i="1"/>
  <c r="Q53" i="1"/>
  <c r="P334" i="1"/>
  <c r="Q334" i="1"/>
  <c r="P288" i="1"/>
  <c r="Q288" i="1"/>
  <c r="P27" i="1"/>
  <c r="R27" i="1"/>
  <c r="P120" i="1"/>
  <c r="Q120" i="1"/>
  <c r="P64" i="1"/>
  <c r="Q64" i="1"/>
  <c r="Q26" i="1"/>
  <c r="P26" i="1"/>
  <c r="Q415" i="1"/>
  <c r="P415" i="1"/>
  <c r="P266" i="1"/>
  <c r="Q266" i="1"/>
  <c r="P292" i="1"/>
  <c r="Q292" i="1"/>
  <c r="P190" i="1"/>
  <c r="Q190" i="1"/>
  <c r="P116" i="1"/>
  <c r="Q116" i="1"/>
  <c r="P172" i="1"/>
  <c r="Q172" i="1"/>
  <c r="P60" i="1"/>
  <c r="R60" i="1"/>
  <c r="P58" i="1"/>
  <c r="Q58" i="1"/>
  <c r="P129" i="1"/>
  <c r="P255" i="1"/>
  <c r="P34" i="1"/>
  <c r="Q34" i="1"/>
  <c r="P108" i="1"/>
  <c r="Q108" i="1"/>
  <c r="P240" i="1"/>
  <c r="Q240" i="1"/>
  <c r="P38" i="1"/>
  <c r="Q38" i="1"/>
  <c r="Q318" i="1"/>
  <c r="P318" i="1"/>
  <c r="P115" i="1"/>
  <c r="Q115" i="1"/>
  <c r="P283" i="1"/>
  <c r="Q283" i="1"/>
  <c r="P200" i="1"/>
  <c r="Q200" i="1"/>
  <c r="P249" i="1"/>
  <c r="Q340" i="1"/>
  <c r="P340" i="1"/>
  <c r="P134" i="1"/>
  <c r="Q134" i="1"/>
  <c r="Q319" i="1"/>
  <c r="P319" i="1"/>
  <c r="P408" i="1"/>
  <c r="Q408" i="1"/>
  <c r="Q331" i="1"/>
  <c r="P331" i="1"/>
  <c r="Q310" i="1"/>
  <c r="P310" i="1"/>
  <c r="Q378" i="1"/>
  <c r="P378" i="1"/>
  <c r="P167" i="1"/>
  <c r="Q167" i="1"/>
  <c r="P66" i="1"/>
  <c r="P212" i="1"/>
  <c r="Q212" i="1"/>
  <c r="P146" i="1"/>
  <c r="Q146" i="1"/>
  <c r="P281" i="1"/>
  <c r="Q281" i="1"/>
  <c r="P21" i="1"/>
  <c r="Q21" i="1"/>
  <c r="P298" i="1"/>
  <c r="Q298" i="1"/>
  <c r="P244" i="1"/>
  <c r="Q244" i="1"/>
  <c r="P54" i="1"/>
  <c r="R54" i="1"/>
  <c r="P35" i="1"/>
  <c r="Q35" i="1"/>
  <c r="P284" i="1"/>
  <c r="Q284" i="1"/>
  <c r="P171" i="1"/>
  <c r="P441" i="1"/>
  <c r="P41" i="1"/>
  <c r="Q41" i="1"/>
  <c r="P187" i="1"/>
  <c r="Q187" i="1"/>
  <c r="P264" i="1"/>
  <c r="Q264" i="1"/>
  <c r="P16" i="1"/>
  <c r="Q16" i="1"/>
  <c r="P194" i="1"/>
  <c r="Q194" i="1"/>
  <c r="Q86" i="1"/>
  <c r="P86" i="1"/>
  <c r="Q228" i="1"/>
  <c r="P228" i="1"/>
  <c r="P305" i="1"/>
  <c r="Q305" i="1"/>
  <c r="P91" i="1"/>
  <c r="Q91" i="1"/>
  <c r="Q65" i="1"/>
  <c r="P65" i="1"/>
  <c r="Q192" i="1"/>
  <c r="P192" i="1"/>
  <c r="Q348" i="1"/>
  <c r="P348" i="1"/>
  <c r="P397" i="1"/>
  <c r="Q397" i="1"/>
  <c r="P332" i="1"/>
  <c r="Q332" i="1"/>
  <c r="P78" i="1"/>
  <c r="P106" i="1"/>
  <c r="Q106" i="1"/>
  <c r="P164" i="1"/>
  <c r="Q164" i="1"/>
  <c r="Q455" i="1"/>
  <c r="P455" i="1"/>
  <c r="P289" i="1"/>
  <c r="Q289" i="1"/>
  <c r="Q382" i="1"/>
  <c r="P382" i="1"/>
  <c r="Q346" i="1"/>
  <c r="P346" i="1"/>
  <c r="P392" i="1"/>
  <c r="Q392" i="1"/>
  <c r="P121" i="1"/>
  <c r="Q121" i="1"/>
  <c r="P285" i="1"/>
  <c r="P162" i="1"/>
  <c r="Q162" i="1"/>
  <c r="P218" i="1"/>
  <c r="Q218" i="1"/>
  <c r="P110" i="1"/>
  <c r="Q110" i="1"/>
  <c r="P156" i="1"/>
  <c r="Q156" i="1"/>
  <c r="P335" i="1"/>
  <c r="P181" i="1"/>
  <c r="Q181" i="1"/>
  <c r="P165" i="1"/>
  <c r="P462" i="1"/>
  <c r="R99" i="1"/>
  <c r="R83" i="1"/>
  <c r="P464" i="1"/>
  <c r="P33" i="1"/>
  <c r="Q33" i="1"/>
  <c r="P133" i="1"/>
  <c r="Q133" i="1"/>
  <c r="P221" i="1"/>
  <c r="Q221" i="1"/>
  <c r="P73" i="1"/>
  <c r="Q73" i="1"/>
  <c r="R183" i="1"/>
  <c r="P45" i="1"/>
  <c r="P80" i="1"/>
  <c r="Q80" i="1"/>
  <c r="P44" i="1"/>
  <c r="Q44" i="1"/>
  <c r="P150" i="1"/>
  <c r="Q150" i="1"/>
  <c r="P196" i="1"/>
  <c r="Q196" i="1"/>
  <c r="R442" i="1"/>
  <c r="P442" i="1"/>
  <c r="P202" i="1"/>
  <c r="Q202" i="1"/>
  <c r="P69" i="1"/>
  <c r="Q69" i="1"/>
  <c r="P132" i="1"/>
  <c r="Q132" i="1"/>
  <c r="P178" i="1"/>
  <c r="Q178" i="1"/>
  <c r="P81" i="1"/>
  <c r="P267" i="1"/>
  <c r="P205" i="1"/>
  <c r="Q205" i="1"/>
  <c r="P61" i="1"/>
  <c r="Q61" i="1"/>
  <c r="P261" i="1"/>
  <c r="P37" i="1"/>
  <c r="Q37" i="1"/>
  <c r="P114" i="1"/>
  <c r="Q114" i="1"/>
  <c r="P231" i="1"/>
  <c r="P163" i="1"/>
  <c r="Q163" i="1"/>
  <c r="P195" i="1"/>
  <c r="P76" i="1"/>
  <c r="Q76" i="1"/>
  <c r="P254" i="1"/>
  <c r="Q254" i="1"/>
  <c r="P380" i="1"/>
  <c r="Q380" i="1"/>
  <c r="Q430" i="1"/>
  <c r="P430" i="1"/>
  <c r="P423" i="1"/>
  <c r="P222" i="1"/>
  <c r="Q222" i="1"/>
  <c r="P109" i="1"/>
  <c r="Q109" i="1"/>
  <c r="P201" i="1"/>
  <c r="Q182" i="1"/>
  <c r="P182" i="1"/>
  <c r="P354" i="1"/>
  <c r="Q354" i="1"/>
  <c r="Q386" i="1"/>
  <c r="P386" i="1"/>
  <c r="P451" i="1"/>
  <c r="Q422" i="1"/>
  <c r="P422" i="1"/>
  <c r="Q396" i="1"/>
  <c r="P396" i="1"/>
  <c r="P444" i="1"/>
  <c r="Q444" i="1"/>
  <c r="P143" i="1"/>
  <c r="Q143" i="1"/>
  <c r="Q276" i="1"/>
  <c r="P276" i="1"/>
  <c r="Q324" i="1"/>
  <c r="P324" i="1"/>
  <c r="P384" i="1"/>
  <c r="Q384" i="1"/>
  <c r="P238" i="1"/>
  <c r="Q238" i="1"/>
  <c r="Q355" i="1"/>
  <c r="P355" i="1"/>
  <c r="Q317" i="1"/>
  <c r="P317" i="1"/>
  <c r="Q404" i="1"/>
  <c r="P404" i="1"/>
  <c r="P365" i="1"/>
  <c r="Q365" i="1"/>
  <c r="P379" i="1"/>
  <c r="Q379" i="1"/>
  <c r="P356" i="1"/>
  <c r="Q356" i="1"/>
  <c r="P406" i="1"/>
  <c r="Q406" i="1"/>
  <c r="P57" i="1"/>
  <c r="R57" i="1"/>
  <c r="P277" i="1"/>
  <c r="Q277" i="1"/>
  <c r="P136" i="1"/>
  <c r="Q136" i="1"/>
  <c r="P224" i="1"/>
  <c r="Q224" i="1"/>
  <c r="P22" i="1"/>
  <c r="Q22" i="1"/>
  <c r="P82" i="1"/>
  <c r="Q82" i="1"/>
  <c r="P203" i="1"/>
  <c r="Q203" i="1"/>
  <c r="Q92" i="1"/>
  <c r="P92" i="1"/>
  <c r="P326" i="1"/>
  <c r="Q326" i="1"/>
  <c r="P235" i="1"/>
  <c r="Q235" i="1"/>
  <c r="Q71" i="1"/>
  <c r="P71" i="1"/>
  <c r="Q232" i="1"/>
  <c r="P232" i="1"/>
  <c r="P148" i="1"/>
  <c r="Q148" i="1"/>
  <c r="Q401" i="1"/>
  <c r="P401" i="1"/>
  <c r="P353" i="1"/>
  <c r="Q353" i="1"/>
  <c r="P272" i="1"/>
  <c r="Q272" i="1"/>
  <c r="P344" i="1"/>
  <c r="Q344" i="1"/>
  <c r="Q445" i="1"/>
  <c r="P445" i="1"/>
  <c r="P367" i="1"/>
  <c r="Q367" i="1"/>
  <c r="Q390" i="1"/>
  <c r="P390" i="1"/>
  <c r="P217" i="1"/>
  <c r="Q217" i="1"/>
  <c r="P435" i="1"/>
  <c r="Q435" i="1"/>
  <c r="P128" i="1"/>
  <c r="Q128" i="1"/>
  <c r="P275" i="1"/>
  <c r="P47" i="1"/>
  <c r="Q47" i="1"/>
  <c r="P302" i="1"/>
  <c r="Q302" i="1"/>
  <c r="Q449" i="1"/>
  <c r="P220" i="1"/>
  <c r="Q220" i="1"/>
  <c r="P119" i="1"/>
  <c r="Q119" i="1"/>
  <c r="P208" i="1"/>
  <c r="Q208" i="1"/>
  <c r="P75" i="1"/>
  <c r="Q75" i="1"/>
  <c r="P239" i="1"/>
  <c r="Q239" i="1"/>
  <c r="P46" i="1"/>
  <c r="Q46" i="1"/>
  <c r="P294" i="1"/>
  <c r="Q294" i="1"/>
  <c r="P90" i="1"/>
  <c r="Q90" i="1"/>
  <c r="P308" i="1"/>
  <c r="Q308" i="1"/>
  <c r="P409" i="1"/>
  <c r="Q409" i="1"/>
  <c r="P241" i="1"/>
  <c r="Q241" i="1"/>
  <c r="P260" i="1"/>
  <c r="Q260" i="1"/>
  <c r="P394" i="1"/>
  <c r="Q394" i="1"/>
  <c r="P456" i="1"/>
  <c r="Q456" i="1"/>
  <c r="Q428" i="1"/>
  <c r="P428" i="1"/>
  <c r="P158" i="1"/>
  <c r="Q158" i="1"/>
  <c r="P323" i="1"/>
  <c r="Q323" i="1"/>
  <c r="Q407" i="1"/>
  <c r="P407" i="1"/>
  <c r="P251" i="1"/>
  <c r="Q251" i="1"/>
  <c r="P391" i="1"/>
  <c r="Q391" i="1"/>
  <c r="Q137" i="1"/>
  <c r="P137" i="1"/>
  <c r="P303" i="1"/>
  <c r="P245" i="1"/>
  <c r="Q245" i="1"/>
  <c r="Q362" i="1"/>
  <c r="P362" i="1"/>
  <c r="Q338" i="1"/>
  <c r="P338" i="1"/>
  <c r="P395" i="1"/>
  <c r="Q395" i="1"/>
  <c r="P67" i="1"/>
  <c r="Q67" i="1"/>
  <c r="P342" i="1"/>
  <c r="Q342" i="1"/>
  <c r="P166" i="1"/>
  <c r="Q166" i="1"/>
  <c r="Q31" i="1"/>
  <c r="P31" i="1"/>
  <c r="P193" i="1"/>
  <c r="Q193" i="1"/>
  <c r="P154" i="1"/>
  <c r="Q154" i="1"/>
  <c r="P274" i="1"/>
  <c r="Q274" i="1"/>
  <c r="P101" i="1"/>
  <c r="Q101" i="1"/>
  <c r="P142" i="1"/>
  <c r="Q142" i="1"/>
  <c r="P258" i="1"/>
  <c r="Q258" i="1"/>
  <c r="P25" i="1"/>
  <c r="Q25" i="1"/>
  <c r="P95" i="1"/>
  <c r="Q95" i="1"/>
  <c r="P206" i="1"/>
  <c r="Q206" i="1"/>
  <c r="P286" i="1"/>
  <c r="Q286" i="1"/>
  <c r="P256" i="1"/>
  <c r="Q256" i="1"/>
  <c r="P330" i="1"/>
  <c r="Q330" i="1"/>
  <c r="Q17" i="1"/>
  <c r="P17" i="1"/>
  <c r="Q74" i="1"/>
  <c r="P74" i="1"/>
  <c r="Q198" i="1"/>
  <c r="P198" i="1"/>
  <c r="Q250" i="1"/>
  <c r="P250" i="1"/>
  <c r="P446" i="1"/>
  <c r="Q446" i="1"/>
  <c r="P186" i="1"/>
  <c r="Q186" i="1"/>
  <c r="P360" i="1"/>
  <c r="Q360" i="1"/>
  <c r="P420" i="1"/>
  <c r="Q420" i="1"/>
  <c r="P291" i="1"/>
  <c r="R291" i="1"/>
  <c r="P140" i="1"/>
  <c r="Q140" i="1"/>
  <c r="P309" i="1"/>
  <c r="R309" i="1"/>
  <c r="P368" i="1"/>
  <c r="Q368" i="1"/>
  <c r="P280" i="1"/>
  <c r="Q280" i="1"/>
  <c r="Q300" i="1"/>
  <c r="P300" i="1"/>
  <c r="P439" i="1"/>
  <c r="Q439" i="1"/>
  <c r="P122" i="1"/>
  <c r="Q122" i="1"/>
  <c r="Q434" i="1"/>
  <c r="P434" i="1"/>
  <c r="P370" i="1"/>
  <c r="Q370" i="1"/>
  <c r="P427" i="1"/>
  <c r="P263" i="1"/>
  <c r="Q263" i="1"/>
  <c r="P290" i="1"/>
  <c r="Q290" i="1"/>
  <c r="Q383" i="1"/>
  <c r="P383" i="1"/>
  <c r="Q253" i="1"/>
  <c r="P253" i="1"/>
  <c r="P139" i="1"/>
  <c r="Q139" i="1"/>
  <c r="P180" i="1"/>
  <c r="Q180" i="1"/>
  <c r="P213" i="1"/>
  <c r="P103" i="1"/>
  <c r="Q103" i="1"/>
  <c r="P226" i="1"/>
  <c r="Q226" i="1"/>
  <c r="P125" i="1"/>
  <c r="Q125" i="1"/>
  <c r="P168" i="1"/>
  <c r="Q168" i="1"/>
  <c r="Q257" i="1"/>
  <c r="P257" i="1"/>
  <c r="P94" i="1"/>
  <c r="Q94" i="1"/>
  <c r="P265" i="1"/>
  <c r="Q265" i="1"/>
  <c r="P88" i="1"/>
  <c r="Q88" i="1"/>
  <c r="P138" i="1"/>
  <c r="Q138" i="1"/>
  <c r="P242" i="1"/>
  <c r="Q242" i="1"/>
  <c r="P72" i="1"/>
  <c r="R72" i="1"/>
  <c r="P49" i="1"/>
  <c r="Q49" i="1"/>
  <c r="P130" i="1"/>
  <c r="Q130" i="1"/>
  <c r="P151" i="1"/>
  <c r="Q151" i="1"/>
  <c r="P131" i="1"/>
  <c r="Q131" i="1"/>
  <c r="P313" i="1"/>
  <c r="Q313" i="1"/>
  <c r="P414" i="1"/>
  <c r="Q414" i="1"/>
  <c r="P364" i="1"/>
  <c r="Q364" i="1"/>
  <c r="P376" i="1"/>
  <c r="Q376" i="1"/>
  <c r="P361" i="1"/>
  <c r="Q361" i="1"/>
  <c r="Q320" i="1"/>
  <c r="P320" i="1"/>
  <c r="P246" i="1"/>
  <c r="Q246" i="1"/>
  <c r="P42" i="1"/>
  <c r="Q42" i="1"/>
  <c r="Q210" i="1"/>
  <c r="P210" i="1"/>
  <c r="P337" i="1"/>
  <c r="Q337" i="1"/>
  <c r="Q416" i="1"/>
  <c r="P416" i="1"/>
  <c r="P403" i="1"/>
  <c r="Q403" i="1"/>
  <c r="P152" i="1"/>
  <c r="Q152" i="1"/>
  <c r="Q366" i="1"/>
  <c r="P366" i="1"/>
  <c r="Q463" i="1"/>
  <c r="P463" i="1"/>
  <c r="P269" i="1"/>
  <c r="Q269" i="1"/>
  <c r="P59" i="1"/>
  <c r="Q59" i="1"/>
  <c r="P159" i="1"/>
  <c r="Q159" i="1"/>
  <c r="P230" i="1"/>
  <c r="Q230" i="1"/>
  <c r="P372" i="1"/>
  <c r="Q372" i="1"/>
  <c r="P405" i="1"/>
  <c r="P153" i="1"/>
  <c r="R153" i="1"/>
  <c r="P84" i="1"/>
  <c r="Q84" i="1"/>
  <c r="P417" i="1"/>
  <c r="R207" i="1"/>
  <c r="P321" i="1"/>
  <c r="P387" i="1"/>
  <c r="R123" i="1"/>
  <c r="P175" i="1"/>
  <c r="Q175" i="1"/>
  <c r="P93" i="1"/>
  <c r="P141" i="1"/>
  <c r="P227" i="1"/>
  <c r="Q227" i="1"/>
  <c r="P278" i="1"/>
  <c r="Q278" i="1"/>
  <c r="P104" i="1"/>
  <c r="Q104" i="1"/>
  <c r="P160" i="1"/>
  <c r="Q160" i="1"/>
  <c r="P282" i="1"/>
  <c r="Q282" i="1"/>
  <c r="P55" i="1"/>
  <c r="Q55" i="1"/>
  <c r="P98" i="1"/>
  <c r="Q98" i="1"/>
  <c r="P215" i="1"/>
  <c r="Q215" i="1"/>
  <c r="P145" i="1"/>
  <c r="Q145" i="1"/>
  <c r="Q223" i="1"/>
  <c r="P223" i="1"/>
  <c r="Q124" i="1"/>
  <c r="P124" i="1"/>
  <c r="P262" i="1"/>
  <c r="Q262" i="1"/>
  <c r="Q23" i="1"/>
  <c r="P23" i="1"/>
  <c r="Q96" i="1"/>
  <c r="P96" i="1"/>
  <c r="Q204" i="1"/>
  <c r="P204" i="1"/>
  <c r="P39" i="1"/>
  <c r="Q39" i="1"/>
  <c r="Q301" i="1"/>
  <c r="P301" i="1"/>
  <c r="P450" i="1"/>
  <c r="Q450" i="1"/>
  <c r="Q40" i="1"/>
  <c r="P40" i="1"/>
  <c r="P296" i="1"/>
  <c r="Q296" i="1"/>
  <c r="Q173" i="1"/>
  <c r="P173" i="1"/>
  <c r="P314" i="1"/>
  <c r="Q314" i="1"/>
  <c r="Q385" i="1"/>
  <c r="P385" i="1"/>
  <c r="P100" i="1"/>
  <c r="Q100" i="1"/>
  <c r="P398" i="1"/>
  <c r="Q398" i="1"/>
  <c r="P29" i="1"/>
  <c r="Q29" i="1"/>
  <c r="P458" i="1"/>
  <c r="Q458" i="1"/>
  <c r="P432" i="1"/>
  <c r="Q259" i="1"/>
  <c r="P259" i="1"/>
  <c r="P328" i="1"/>
  <c r="Q328" i="1"/>
  <c r="Q412" i="1"/>
  <c r="P412" i="1"/>
  <c r="Q161" i="1"/>
  <c r="P161" i="1"/>
  <c r="P20" i="1"/>
  <c r="Q20" i="1"/>
  <c r="P28" i="1"/>
  <c r="Q28" i="1"/>
  <c r="P287" i="1"/>
  <c r="P299" i="1"/>
  <c r="P311" i="1"/>
  <c r="R355" i="2"/>
  <c r="P331" i="2"/>
  <c r="R391" i="2"/>
  <c r="P343" i="2"/>
  <c r="P307" i="2"/>
  <c r="P319" i="2"/>
  <c r="P477" i="2"/>
  <c r="Q477" i="2"/>
  <c r="P486" i="2"/>
  <c r="Q486" i="2"/>
  <c r="P478" i="2"/>
  <c r="Q480" i="2"/>
  <c r="P480" i="2"/>
  <c r="P473" i="2"/>
  <c r="Q473" i="2"/>
  <c r="P493" i="2"/>
  <c r="P470" i="2"/>
  <c r="Q470" i="2"/>
  <c r="P482" i="2"/>
  <c r="Q482" i="2"/>
  <c r="P495" i="2"/>
  <c r="Q495" i="2"/>
  <c r="P489" i="2"/>
  <c r="Q489" i="2"/>
  <c r="P484" i="2"/>
  <c r="P496" i="2"/>
  <c r="P479" i="2"/>
  <c r="Q479" i="2"/>
  <c r="P498" i="2"/>
  <c r="Q498" i="2"/>
  <c r="P491" i="2"/>
  <c r="Q491" i="2"/>
  <c r="P475" i="2"/>
  <c r="Q468" i="2"/>
  <c r="P468" i="2"/>
  <c r="P488" i="2"/>
  <c r="Q488" i="2"/>
  <c r="P490" i="2"/>
  <c r="P474" i="2"/>
  <c r="Q474" i="2"/>
  <c r="P476" i="2"/>
  <c r="Q476" i="2"/>
  <c r="P467" i="2"/>
  <c r="Q467" i="2"/>
  <c r="P487" i="2"/>
  <c r="P497" i="2"/>
  <c r="Q497" i="2"/>
  <c r="P481" i="2"/>
  <c r="P483" i="2"/>
  <c r="Q483" i="2"/>
  <c r="P485" i="2"/>
  <c r="Q485" i="2"/>
  <c r="P494" i="2"/>
  <c r="Q494" i="2"/>
  <c r="P469" i="2"/>
  <c r="Q469" i="2"/>
  <c r="P471" i="2"/>
  <c r="Q471" i="2"/>
  <c r="P472" i="2"/>
  <c r="Q492" i="2"/>
  <c r="P492" i="2"/>
  <c r="Q459" i="2"/>
  <c r="P459" i="2"/>
  <c r="Q423" i="2"/>
  <c r="P423" i="2"/>
  <c r="Q410" i="2"/>
  <c r="P410" i="2"/>
  <c r="Q405" i="2"/>
  <c r="P405" i="2"/>
  <c r="Q403" i="2"/>
  <c r="P403" i="2"/>
  <c r="Q386" i="2"/>
  <c r="P386" i="2"/>
  <c r="Q406" i="2"/>
  <c r="P406" i="2"/>
  <c r="Q362" i="2"/>
  <c r="P362" i="2"/>
  <c r="P306" i="2"/>
  <c r="Q295" i="2"/>
  <c r="P295" i="2"/>
  <c r="P260" i="2"/>
  <c r="Q260" i="2"/>
  <c r="P257" i="2"/>
  <c r="P273" i="2"/>
  <c r="Q273" i="2"/>
  <c r="P232" i="2"/>
  <c r="Q206" i="2"/>
  <c r="P206" i="2"/>
  <c r="Q188" i="2"/>
  <c r="P188" i="2"/>
  <c r="P47" i="2"/>
  <c r="Q47" i="2"/>
  <c r="Q76" i="2"/>
  <c r="P76" i="2"/>
  <c r="Q128" i="2"/>
  <c r="P128" i="2"/>
  <c r="P59" i="2"/>
  <c r="Q59" i="2"/>
  <c r="Q49" i="2"/>
  <c r="P49" i="2"/>
  <c r="Q19" i="2"/>
  <c r="P19" i="2"/>
  <c r="Q360" i="2"/>
  <c r="P360" i="2"/>
  <c r="Q422" i="2"/>
  <c r="P422" i="2"/>
  <c r="Q398" i="2"/>
  <c r="P398" i="2"/>
  <c r="Q438" i="2"/>
  <c r="P438" i="2"/>
  <c r="Q371" i="2"/>
  <c r="P371" i="2"/>
  <c r="Q420" i="2"/>
  <c r="P420" i="2"/>
  <c r="Q375" i="2"/>
  <c r="P375" i="2"/>
  <c r="P298" i="2"/>
  <c r="Q298" i="2"/>
  <c r="P284" i="2"/>
  <c r="Q284" i="2"/>
  <c r="P135" i="2"/>
  <c r="Q135" i="2"/>
  <c r="P242" i="2"/>
  <c r="Q242" i="2"/>
  <c r="Q198" i="2"/>
  <c r="P198" i="2"/>
  <c r="Q185" i="2"/>
  <c r="P185" i="2"/>
  <c r="Q124" i="2"/>
  <c r="P124" i="2"/>
  <c r="Q45" i="2"/>
  <c r="P45" i="2"/>
  <c r="Q118" i="2"/>
  <c r="P118" i="2"/>
  <c r="Q101" i="2"/>
  <c r="P101" i="2"/>
  <c r="Q98" i="2"/>
  <c r="P98" i="2"/>
  <c r="P79" i="2"/>
  <c r="Q194" i="2"/>
  <c r="P194" i="2"/>
  <c r="Q30" i="2"/>
  <c r="P30" i="2"/>
  <c r="P31" i="2"/>
  <c r="P22" i="2"/>
  <c r="Q310" i="2"/>
  <c r="P310" i="2"/>
  <c r="P383" i="2"/>
  <c r="Q383" i="2"/>
  <c r="P290" i="2"/>
  <c r="Q290" i="2"/>
  <c r="P248" i="2"/>
  <c r="Q248" i="2"/>
  <c r="Q341" i="2"/>
  <c r="P341" i="2"/>
  <c r="Q231" i="2"/>
  <c r="P231" i="2"/>
  <c r="P130" i="2"/>
  <c r="Q130" i="2"/>
  <c r="Q229" i="2"/>
  <c r="P229" i="2"/>
  <c r="Q167" i="2"/>
  <c r="P167" i="2"/>
  <c r="Q184" i="2"/>
  <c r="P184" i="2"/>
  <c r="P71" i="2"/>
  <c r="Q71" i="2"/>
  <c r="P82" i="2"/>
  <c r="R82" i="2"/>
  <c r="P204" i="2"/>
  <c r="Q204" i="2"/>
  <c r="P96" i="2"/>
  <c r="Q96" i="2"/>
  <c r="Q110" i="2"/>
  <c r="P110" i="2"/>
  <c r="P153" i="2"/>
  <c r="Q153" i="2"/>
  <c r="Q37" i="2"/>
  <c r="P37" i="2"/>
  <c r="P172" i="2"/>
  <c r="Q172" i="2"/>
  <c r="Q27" i="2"/>
  <c r="P27" i="2"/>
  <c r="Q52" i="2"/>
  <c r="P52" i="2"/>
  <c r="P40" i="2"/>
  <c r="Q385" i="2"/>
  <c r="Q451" i="2"/>
  <c r="P451" i="2"/>
  <c r="P456" i="2"/>
  <c r="Q456" i="2"/>
  <c r="Q221" i="2"/>
  <c r="P221" i="2"/>
  <c r="Q238" i="2"/>
  <c r="P238" i="2"/>
  <c r="P236" i="2"/>
  <c r="Q236" i="2"/>
  <c r="Q174" i="2"/>
  <c r="P174" i="2"/>
  <c r="Q173" i="2"/>
  <c r="P173" i="2"/>
  <c r="R89" i="2"/>
  <c r="P89" i="2"/>
  <c r="Q75" i="2"/>
  <c r="P75" i="2"/>
  <c r="Q84" i="2"/>
  <c r="P84" i="2"/>
  <c r="P117" i="2"/>
  <c r="Q117" i="2"/>
  <c r="Q112" i="2"/>
  <c r="P112" i="2"/>
  <c r="Q285" i="2"/>
  <c r="P285" i="2"/>
  <c r="Q21" i="2"/>
  <c r="P21" i="2"/>
  <c r="Q136" i="2"/>
  <c r="P136" i="2"/>
  <c r="Q432" i="2"/>
  <c r="P432" i="2"/>
  <c r="Q437" i="2"/>
  <c r="P437" i="2"/>
  <c r="P382" i="2"/>
  <c r="Q382" i="2"/>
  <c r="Q394" i="2"/>
  <c r="P394" i="2"/>
  <c r="Q449" i="2"/>
  <c r="P449" i="2"/>
  <c r="Q374" i="2"/>
  <c r="P374" i="2"/>
  <c r="Q426" i="2"/>
  <c r="P426" i="2"/>
  <c r="Q442" i="2"/>
  <c r="P442" i="2"/>
  <c r="Q429" i="2"/>
  <c r="P429" i="2"/>
  <c r="Q402" i="2"/>
  <c r="P402" i="2"/>
  <c r="Q350" i="2"/>
  <c r="P350" i="2"/>
  <c r="Q380" i="2"/>
  <c r="P380" i="2"/>
  <c r="P334" i="2"/>
  <c r="Q334" i="2"/>
  <c r="Q378" i="2"/>
  <c r="P378" i="2"/>
  <c r="Q289" i="2"/>
  <c r="P289" i="2"/>
  <c r="P250" i="2"/>
  <c r="Q322" i="2"/>
  <c r="P322" i="2"/>
  <c r="P247" i="2"/>
  <c r="P272" i="2"/>
  <c r="Q272" i="2"/>
  <c r="R58" i="2"/>
  <c r="P58" i="2"/>
  <c r="Q196" i="2"/>
  <c r="P196" i="2"/>
  <c r="P34" i="2"/>
  <c r="Q200" i="2"/>
  <c r="P200" i="2"/>
  <c r="Q66" i="2"/>
  <c r="P66" i="2"/>
  <c r="P68" i="2"/>
  <c r="Q68" i="2"/>
  <c r="Q106" i="2"/>
  <c r="P106" i="2"/>
  <c r="Q142" i="2"/>
  <c r="P142" i="2"/>
  <c r="Q28" i="2"/>
  <c r="P28" i="2"/>
  <c r="Q126" i="2"/>
  <c r="P126" i="2"/>
  <c r="Q18" i="2"/>
  <c r="P18" i="2"/>
  <c r="P379" i="2"/>
  <c r="Q379" i="2"/>
  <c r="Q363" i="2"/>
  <c r="P363" i="2"/>
  <c r="Q463" i="2"/>
  <c r="P463" i="2"/>
  <c r="Q243" i="2"/>
  <c r="P243" i="2"/>
  <c r="P215" i="2"/>
  <c r="Q215" i="2"/>
  <c r="Q179" i="2"/>
  <c r="P179" i="2"/>
  <c r="Q208" i="2"/>
  <c r="P208" i="2"/>
  <c r="Q103" i="2"/>
  <c r="P103" i="2"/>
  <c r="P26" i="2"/>
  <c r="Q26" i="2"/>
  <c r="Q122" i="2"/>
  <c r="P122" i="2"/>
  <c r="Q38" i="2"/>
  <c r="P38" i="2"/>
  <c r="Q396" i="2"/>
  <c r="P396" i="2"/>
  <c r="Q417" i="2"/>
  <c r="P417" i="2"/>
  <c r="Q366" i="2"/>
  <c r="P366" i="2"/>
  <c r="P444" i="2"/>
  <c r="Q444" i="2"/>
  <c r="P431" i="2"/>
  <c r="Q431" i="2"/>
  <c r="Q353" i="2"/>
  <c r="P353" i="2"/>
  <c r="Q457" i="2"/>
  <c r="P457" i="2"/>
  <c r="P367" i="2"/>
  <c r="Q367" i="2"/>
  <c r="Q365" i="2"/>
  <c r="P365" i="2"/>
  <c r="Q336" i="2"/>
  <c r="P336" i="2"/>
  <c r="P419" i="2"/>
  <c r="Q419" i="2"/>
  <c r="Q414" i="2"/>
  <c r="P414" i="2"/>
  <c r="P439" i="2"/>
  <c r="Q439" i="2"/>
  <c r="Q436" i="2"/>
  <c r="P436" i="2"/>
  <c r="Q415" i="2"/>
  <c r="P415" i="2"/>
  <c r="Q327" i="2"/>
  <c r="P327" i="2"/>
  <c r="Q329" i="2"/>
  <c r="P329" i="2"/>
  <c r="P263" i="2"/>
  <c r="Q413" i="2"/>
  <c r="P413" i="2"/>
  <c r="P346" i="2"/>
  <c r="Q346" i="2"/>
  <c r="Q239" i="2"/>
  <c r="P239" i="2"/>
  <c r="Q162" i="2"/>
  <c r="P162" i="2"/>
  <c r="Q291" i="2"/>
  <c r="P291" i="2"/>
  <c r="P225" i="2"/>
  <c r="Q225" i="2"/>
  <c r="Q212" i="2"/>
  <c r="P212" i="2"/>
  <c r="P180" i="2"/>
  <c r="P32" i="2"/>
  <c r="Q32" i="2"/>
  <c r="Q95" i="2"/>
  <c r="P95" i="2"/>
  <c r="Q64" i="2"/>
  <c r="P64" i="2"/>
  <c r="Q235" i="2"/>
  <c r="P235" i="2"/>
  <c r="Q466" i="2"/>
  <c r="P466" i="2"/>
  <c r="Q462" i="2"/>
  <c r="P462" i="2"/>
  <c r="Q440" i="2"/>
  <c r="P440" i="2"/>
  <c r="Q461" i="2"/>
  <c r="P461" i="2"/>
  <c r="Q455" i="2"/>
  <c r="P455" i="2"/>
  <c r="Q338" i="2"/>
  <c r="P338" i="2"/>
  <c r="P370" i="2"/>
  <c r="Q370" i="2"/>
  <c r="P407" i="2"/>
  <c r="Q407" i="2"/>
  <c r="Q443" i="2"/>
  <c r="P443" i="2"/>
  <c r="Q425" i="2"/>
  <c r="P425" i="2"/>
  <c r="Q452" i="2"/>
  <c r="P452" i="2"/>
  <c r="Q450" i="2"/>
  <c r="P450" i="2"/>
  <c r="Q342" i="2"/>
  <c r="P342" i="2"/>
  <c r="Q347" i="2"/>
  <c r="P347" i="2"/>
  <c r="P274" i="2"/>
  <c r="Q274" i="2"/>
  <c r="Q309" i="2"/>
  <c r="P309" i="2"/>
  <c r="P216" i="2"/>
  <c r="Q216" i="2"/>
  <c r="P223" i="2"/>
  <c r="Q223" i="2"/>
  <c r="Q233" i="2"/>
  <c r="P233" i="2"/>
  <c r="P152" i="2"/>
  <c r="Q152" i="2"/>
  <c r="P144" i="2"/>
  <c r="P165" i="2"/>
  <c r="Q165" i="2"/>
  <c r="Q195" i="2"/>
  <c r="P195" i="2"/>
  <c r="Q214" i="2"/>
  <c r="P214" i="2"/>
  <c r="Q17" i="2"/>
  <c r="P17" i="2"/>
  <c r="Q111" i="2"/>
  <c r="P111" i="2"/>
  <c r="Q62" i="2"/>
  <c r="P62" i="2"/>
  <c r="P87" i="2"/>
  <c r="Q87" i="2"/>
  <c r="P44" i="2"/>
  <c r="Q44" i="2"/>
  <c r="Q401" i="2"/>
  <c r="P401" i="2"/>
  <c r="P151" i="2"/>
  <c r="Q151" i="2"/>
  <c r="P164" i="2"/>
  <c r="Q164" i="2"/>
  <c r="Q116" i="2"/>
  <c r="P116" i="2"/>
  <c r="Q148" i="2"/>
  <c r="P148" i="2"/>
  <c r="Q227" i="2"/>
  <c r="P227" i="2"/>
  <c r="P115" i="2"/>
  <c r="Q115" i="2"/>
  <c r="Q155" i="2"/>
  <c r="P155" i="2"/>
  <c r="Q133" i="2"/>
  <c r="P133" i="2"/>
  <c r="P183" i="2"/>
  <c r="Q183" i="2"/>
  <c r="Q168" i="2"/>
  <c r="P168" i="2"/>
  <c r="Q86" i="2"/>
  <c r="P86" i="2"/>
  <c r="Q51" i="2"/>
  <c r="P51" i="2"/>
  <c r="P63" i="2"/>
  <c r="Q63" i="2"/>
  <c r="Q114" i="2"/>
  <c r="P114" i="2"/>
  <c r="P119" i="2"/>
  <c r="Q119" i="2"/>
  <c r="Q36" i="2"/>
  <c r="P36" i="2"/>
  <c r="P35" i="2"/>
  <c r="Q296" i="2"/>
  <c r="P296" i="2"/>
  <c r="P358" i="2"/>
  <c r="Q358" i="2"/>
  <c r="Q311" i="2"/>
  <c r="P311" i="2"/>
  <c r="Q447" i="2"/>
  <c r="P447" i="2"/>
  <c r="Q454" i="2"/>
  <c r="P454" i="2"/>
  <c r="Q464" i="2"/>
  <c r="P464" i="2"/>
  <c r="Q408" i="2"/>
  <c r="P408" i="2"/>
  <c r="Q430" i="2"/>
  <c r="P430" i="2"/>
  <c r="P299" i="2"/>
  <c r="Q299" i="2"/>
  <c r="P395" i="2"/>
  <c r="Q395" i="2"/>
  <c r="P315" i="2"/>
  <c r="Q315" i="2"/>
  <c r="Q277" i="2"/>
  <c r="P277" i="2"/>
  <c r="P213" i="2"/>
  <c r="Q226" i="2"/>
  <c r="P226" i="2"/>
  <c r="Q245" i="2"/>
  <c r="P245" i="2"/>
  <c r="Q197" i="2"/>
  <c r="P197" i="2"/>
  <c r="P178" i="2"/>
  <c r="Q178" i="2"/>
  <c r="P175" i="2"/>
  <c r="Q175" i="2"/>
  <c r="P43" i="2"/>
  <c r="Q43" i="2"/>
  <c r="P104" i="2"/>
  <c r="Q104" i="2"/>
  <c r="Q377" i="2"/>
  <c r="P377" i="2"/>
  <c r="Q427" i="2"/>
  <c r="P427" i="2"/>
  <c r="Q390" i="2"/>
  <c r="P390" i="2"/>
  <c r="Q348" i="2"/>
  <c r="P348" i="2"/>
  <c r="Q326" i="2"/>
  <c r="P326" i="2"/>
  <c r="Q445" i="2"/>
  <c r="P445" i="2"/>
  <c r="Q281" i="2"/>
  <c r="P281" i="2"/>
  <c r="Q182" i="2"/>
  <c r="P182" i="2"/>
  <c r="Q259" i="2"/>
  <c r="P259" i="2"/>
  <c r="P192" i="2"/>
  <c r="Q192" i="2"/>
  <c r="Q140" i="2"/>
  <c r="P140" i="2"/>
  <c r="Q109" i="2"/>
  <c r="P109" i="2"/>
  <c r="P176" i="2"/>
  <c r="Q176" i="2"/>
  <c r="P143" i="2"/>
  <c r="Q143" i="2"/>
  <c r="Q156" i="2"/>
  <c r="P156" i="2"/>
  <c r="P50" i="2"/>
  <c r="Q50" i="2"/>
  <c r="Q16" i="2"/>
  <c r="P16" i="2"/>
  <c r="Q42" i="2"/>
  <c r="P42" i="2"/>
  <c r="Q25" i="2"/>
  <c r="P25" i="2"/>
  <c r="P318" i="2"/>
  <c r="Q434" i="2"/>
  <c r="P434" i="2"/>
  <c r="Q381" i="2"/>
  <c r="P381" i="2"/>
  <c r="P304" i="2"/>
  <c r="Q304" i="2"/>
  <c r="Q389" i="2"/>
  <c r="P389" i="2"/>
  <c r="Q323" i="2"/>
  <c r="P323" i="2"/>
  <c r="Q280" i="2"/>
  <c r="P280" i="2"/>
  <c r="Q166" i="2"/>
  <c r="P166" i="2"/>
  <c r="P177" i="2"/>
  <c r="Q177" i="2"/>
  <c r="Q251" i="2"/>
  <c r="P251" i="2"/>
  <c r="Q211" i="2"/>
  <c r="P211" i="2"/>
  <c r="Q147" i="2"/>
  <c r="P147" i="2"/>
  <c r="P99" i="2"/>
  <c r="Q99" i="2"/>
  <c r="P137" i="2"/>
  <c r="P123" i="2"/>
  <c r="Q123" i="2"/>
  <c r="Q160" i="2"/>
  <c r="P160" i="2"/>
  <c r="Q83" i="2"/>
  <c r="P83" i="2"/>
  <c r="P23" i="2"/>
  <c r="Q23" i="2"/>
  <c r="Q149" i="2"/>
  <c r="P149" i="2"/>
  <c r="P105" i="2"/>
  <c r="Q105" i="2"/>
  <c r="Q91" i="2"/>
  <c r="P91" i="2"/>
  <c r="Q88" i="2"/>
  <c r="P88" i="2"/>
  <c r="Q46" i="2"/>
  <c r="P46" i="2"/>
  <c r="P385" i="2" l="1"/>
  <c r="N12" i="2"/>
  <c r="P301" i="2"/>
  <c r="P345" i="2"/>
  <c r="Q313" i="2"/>
  <c r="P313" i="2"/>
  <c r="P433" i="2"/>
  <c r="Q433" i="2"/>
  <c r="P421" i="2"/>
  <c r="Q421" i="2"/>
  <c r="P357" i="2"/>
  <c r="Q357" i="2"/>
  <c r="R345" i="2"/>
  <c r="Q369" i="2"/>
  <c r="P369" i="2"/>
  <c r="P349" i="2"/>
  <c r="Q349" i="2"/>
  <c r="Q446" i="2"/>
  <c r="P446" i="2"/>
  <c r="P409" i="2"/>
  <c r="P397" i="2"/>
  <c r="Q397" i="2"/>
  <c r="P333" i="2"/>
  <c r="Q312" i="2"/>
  <c r="P312" i="2"/>
  <c r="Q325" i="2"/>
  <c r="P325" i="2"/>
  <c r="P12" i="1"/>
  <c r="P12" i="2" l="1"/>
</calcChain>
</file>

<file path=xl/sharedStrings.xml><?xml version="1.0" encoding="utf-8"?>
<sst xmlns="http://schemas.openxmlformats.org/spreadsheetml/2006/main" count="22970" uniqueCount="546">
  <si>
    <r>
      <rPr>
        <b/>
        <sz val="14"/>
        <color rgb="FF000000"/>
        <rFont val="Segoe UI Light"/>
        <family val="2"/>
      </rPr>
      <t xml:space="preserve">CÔNG TY TNHH NÔNG SẢN THỰC PHẨM TRẦN GIA
</t>
    </r>
    <r>
      <rPr>
        <sz val="11"/>
        <color rgb="FF000000"/>
        <rFont val="Segoe UI Light"/>
        <family val="2"/>
      </rPr>
      <t xml:space="preserve">HTX: Ấp Lộc Tiến, Xã Mỹ Lộc, Huyện Cần Giuộc, Tỉnh Long An
</t>
    </r>
    <r>
      <rPr>
        <sz val="11"/>
        <color rgb="FF000000"/>
        <rFont val="Segoe UI Light"/>
        <family val="2"/>
      </rPr>
      <t xml:space="preserve">VP: Tòa nhà An Phú Plaza, 117-119 Lý Chính Thắng, P.7. Q.3, TP.HCM
</t>
    </r>
    <r>
      <rPr>
        <sz val="11"/>
        <color rgb="FF000000"/>
        <rFont val="Segoe UI Light"/>
        <family val="2"/>
      </rPr>
      <t xml:space="preserve">Kho sơ chế: 30 Kha Vạn Cân, P. Hiệp Bình Chánh, TP.Thủ Đức, TP.HCM
</t>
    </r>
    <r>
      <rPr>
        <sz val="11"/>
        <color rgb="FF000000"/>
        <rFont val="Segoe UI Light"/>
        <family val="2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  <family val="2"/>
      </rPr>
      <t>Website: rausachtrangia.com - Hotline: 090.245.8081</t>
    </r>
  </si>
  <si>
    <t>CHI TIẾT ĐỐI CHIẾU CÔNG NỢ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</si>
  <si>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LONGWANG 3</t>
    </r>
  </si>
  <si>
    <t xml:space="preserve">Địa chỉ: </t>
  </si>
  <si>
    <t>Người liên hệ:                                                                                              Email:</t>
  </si>
  <si>
    <t>MÃ ĐƠN HÀNG</t>
  </si>
  <si>
    <t>NGÀY</t>
  </si>
  <si>
    <t>MÃ HÀNG</t>
  </si>
  <si>
    <t>TÊN HÀNG</t>
  </si>
  <si>
    <t>ĐVT</t>
  </si>
  <si>
    <t>ĐƠN GIÁ</t>
  </si>
  <si>
    <t>THÀNH TIỀN</t>
  </si>
  <si>
    <t>GHI CHÚ</t>
  </si>
  <si>
    <t>LONGWANG 3</t>
  </si>
  <si>
    <t>I100151</t>
  </si>
  <si>
    <t>Mướp hương</t>
  </si>
  <si>
    <t>Kg</t>
  </si>
  <si>
    <t/>
  </si>
  <si>
    <t>I100253</t>
  </si>
  <si>
    <t>Bánh ướt</t>
  </si>
  <si>
    <t>I100003</t>
  </si>
  <si>
    <t>Bắp cải trắng</t>
  </si>
  <si>
    <t>I100012</t>
  </si>
  <si>
    <t>Bí đỏ hồ lô</t>
  </si>
  <si>
    <t>I100016</t>
  </si>
  <si>
    <t>Bí ngòi xanh</t>
  </si>
  <si>
    <t>I100040</t>
  </si>
  <si>
    <t>Cà rốt baby</t>
  </si>
  <si>
    <t>I100045</t>
  </si>
  <si>
    <t>Cải Hongkong(Cai ngong)</t>
  </si>
  <si>
    <t>I100097</t>
  </si>
  <si>
    <t>Củ Gừng</t>
  </si>
  <si>
    <t>I100072</t>
  </si>
  <si>
    <t>Củ riềng</t>
  </si>
  <si>
    <t>I100075</t>
  </si>
  <si>
    <t>Đậu bắp</t>
  </si>
  <si>
    <t>I100479</t>
  </si>
  <si>
    <t>Dưa hấu</t>
  </si>
  <si>
    <t>I100098</t>
  </si>
  <si>
    <t>Hành lá</t>
  </si>
  <si>
    <t>I100730</t>
  </si>
  <si>
    <t>Hành tím bắc lột</t>
  </si>
  <si>
    <t>I100133</t>
  </si>
  <si>
    <t>Lá chanh</t>
  </si>
  <si>
    <t>I100240</t>
  </si>
  <si>
    <t>Nấm kim châm tươi</t>
  </si>
  <si>
    <t>I100170</t>
  </si>
  <si>
    <t>Ớt sừng đỏ</t>
  </si>
  <si>
    <t>I100626</t>
  </si>
  <si>
    <t>Rau má nhỏ</t>
  </si>
  <si>
    <t>I100189</t>
  </si>
  <si>
    <t>Rau răm</t>
  </si>
  <si>
    <t>I100216</t>
  </si>
  <si>
    <t>Tắc trái</t>
  </si>
  <si>
    <t>I100209</t>
  </si>
  <si>
    <t>Xà lách romain</t>
  </si>
  <si>
    <t>I100008</t>
  </si>
  <si>
    <t>Bắp mỹ trái (Loại 1)</t>
  </si>
  <si>
    <t>Trái</t>
  </si>
  <si>
    <t>I100469</t>
  </si>
  <si>
    <t>Cam vàng</t>
  </si>
  <si>
    <t>I100060</t>
  </si>
  <si>
    <t>Chanh không hạt</t>
  </si>
  <si>
    <t>I100113</t>
  </si>
  <si>
    <t>Húng lũi</t>
  </si>
  <si>
    <t>I100121</t>
  </si>
  <si>
    <t>Khoai lang nhật</t>
  </si>
  <si>
    <t>I100136</t>
  </si>
  <si>
    <t>Lá dứa</t>
  </si>
  <si>
    <t>I100236</t>
  </si>
  <si>
    <t>Nấm đông cô tươi</t>
  </si>
  <si>
    <t>I100237</t>
  </si>
  <si>
    <t>Nấm đùi gà</t>
  </si>
  <si>
    <t>I100650</t>
  </si>
  <si>
    <t>Nấm đùi gà baby</t>
  </si>
  <si>
    <t>I100635</t>
  </si>
  <si>
    <t>Nấm linh chi nâu (kg)</t>
  </si>
  <si>
    <t>I100156</t>
  </si>
  <si>
    <t>Ngò rí</t>
  </si>
  <si>
    <t>I100160</t>
  </si>
  <si>
    <t>Ngò tây</t>
  </si>
  <si>
    <t>I100198</t>
  </si>
  <si>
    <t>Sả cây</t>
  </si>
  <si>
    <t>I100219</t>
  </si>
  <si>
    <t>Thì là</t>
  </si>
  <si>
    <t>I100229</t>
  </si>
  <si>
    <t>Tỏi lột</t>
  </si>
  <si>
    <t>I100212</t>
  </si>
  <si>
    <t>Xà lách Rocket</t>
  </si>
  <si>
    <t>I100057</t>
  </si>
  <si>
    <t>Cần tây</t>
  </si>
  <si>
    <t>I100474</t>
  </si>
  <si>
    <t>Chanh Dây</t>
  </si>
  <si>
    <t>I100062</t>
  </si>
  <si>
    <t>Chanh vàng</t>
  </si>
  <si>
    <t>I100074</t>
  </si>
  <si>
    <t>Củ sen</t>
  </si>
  <si>
    <t>I100883</t>
  </si>
  <si>
    <t>Đậu hủ trứng CP 220gr</t>
  </si>
  <si>
    <t>Cây</t>
  </si>
  <si>
    <t>I100634</t>
  </si>
  <si>
    <t>Nấm hải sản (kg)</t>
  </si>
  <si>
    <t>I100167</t>
  </si>
  <si>
    <t>Ớt hiểm đỏ</t>
  </si>
  <si>
    <t>I100222</t>
  </si>
  <si>
    <t>Tiêu xanh Tươi</t>
  </si>
  <si>
    <t>I100275</t>
  </si>
  <si>
    <t>Trứng vịt muối</t>
  </si>
  <si>
    <t>Quả</t>
  </si>
  <si>
    <t>I100970</t>
  </si>
  <si>
    <t>Nấm mối đen</t>
  </si>
  <si>
    <t>I100733</t>
  </si>
  <si>
    <t>Nấm mỡ nâu</t>
  </si>
  <si>
    <t>I100101</t>
  </si>
  <si>
    <t>Hành tây</t>
  </si>
  <si>
    <t>I100099</t>
  </si>
  <si>
    <t>Hành Paro</t>
  </si>
  <si>
    <t>LONGWANG 11</t>
  </si>
  <si>
    <t>Nấm linh chi trắng (kg)</t>
  </si>
  <si>
    <t>I100921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</si>
  <si>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LONGWANG 11</t>
    </r>
  </si>
  <si>
    <t>MÃ KHÁCH HÀNG</t>
  </si>
  <si>
    <t>TÊN KHÁCH HÀNG</t>
  </si>
  <si>
    <t>SỐ LƯỢNG</t>
  </si>
  <si>
    <t>TG-KS00286</t>
  </si>
  <si>
    <t>TG-KS00546</t>
  </si>
  <si>
    <t>I100024</t>
  </si>
  <si>
    <t>Bông cải xanh</t>
  </si>
  <si>
    <t>I100168</t>
  </si>
  <si>
    <t>Ớt hiểm xanh</t>
  </si>
  <si>
    <t>Từ ngày 1 tháng 01 đến ngày 15 tháng 01 năm 2026</t>
  </si>
  <si>
    <t>01/01/2026</t>
  </si>
  <si>
    <t>TG-AA20662</t>
  </si>
  <si>
    <t>I100194</t>
  </si>
  <si>
    <t>Rau tía tô</t>
  </si>
  <si>
    <t>I100270</t>
  </si>
  <si>
    <t>Trứng bắc thảo</t>
  </si>
  <si>
    <t>02/01/2026</t>
  </si>
  <si>
    <t>TG-AA20840</t>
  </si>
  <si>
    <t>TG-AA20923</t>
  </si>
  <si>
    <t>03/01/2026</t>
  </si>
  <si>
    <t>TG-AA20968</t>
  </si>
  <si>
    <t>04/01/2026</t>
  </si>
  <si>
    <t>TG-AA21188</t>
  </si>
  <si>
    <t>TG-AA21275</t>
  </si>
  <si>
    <t>I100182</t>
  </si>
  <si>
    <t>Rau má</t>
  </si>
  <si>
    <t>05/01/2026</t>
  </si>
  <si>
    <t>TG-AA21430</t>
  </si>
  <si>
    <t>TG-AA21345</t>
  </si>
  <si>
    <t>06/01/2026</t>
  </si>
  <si>
    <t>TG-AA21472</t>
  </si>
  <si>
    <t>07/01/2026</t>
  </si>
  <si>
    <t>TG-AA21626</t>
  </si>
  <si>
    <t>08/01/2026</t>
  </si>
  <si>
    <t>TG-AA21828</t>
  </si>
  <si>
    <t>09/01/2026</t>
  </si>
  <si>
    <t>TG-AA22098</t>
  </si>
  <si>
    <t>10/01/2026</t>
  </si>
  <si>
    <t>TG-AA22295</t>
  </si>
  <si>
    <t>11/01/2026</t>
  </si>
  <si>
    <t>TG-AA22386</t>
  </si>
  <si>
    <t>12/01/2026</t>
  </si>
  <si>
    <t>TG-AA22553</t>
  </si>
  <si>
    <t>TG-AA22682</t>
  </si>
  <si>
    <t>13/01/2026</t>
  </si>
  <si>
    <t>TG-AA22759</t>
  </si>
  <si>
    <t>14/01/2026</t>
  </si>
  <si>
    <t>TG-AA22929</t>
  </si>
  <si>
    <t>15/01/2026</t>
  </si>
  <si>
    <t>TG-AA23121</t>
  </si>
  <si>
    <t>TG-AA23222</t>
  </si>
  <si>
    <t>TG-AA20664</t>
  </si>
  <si>
    <t>TG-AA20842</t>
  </si>
  <si>
    <t>TG-AA20922</t>
  </si>
  <si>
    <t>TG-AA20970</t>
  </si>
  <si>
    <t>TG-AA21191</t>
  </si>
  <si>
    <t>TG-AA21328</t>
  </si>
  <si>
    <t>TG-AA21459</t>
  </si>
  <si>
    <t>TG-AA21629</t>
  </si>
  <si>
    <t>TG-AA21830</t>
  </si>
  <si>
    <t>TG-AA22100</t>
  </si>
  <si>
    <t>TG-AA22296</t>
  </si>
  <si>
    <t>TG-AA22388</t>
  </si>
  <si>
    <t>TG-AA22554</t>
  </si>
  <si>
    <t>TG-AA22741</t>
  </si>
  <si>
    <t>TG-AA22931</t>
  </si>
  <si>
    <t>TG-AA23124</t>
  </si>
  <si>
    <t>Row Labels</t>
  </si>
  <si>
    <t>Count of Mã hàng</t>
  </si>
  <si>
    <t>Bắp cải tím</t>
  </si>
  <si>
    <t>NL300003</t>
  </si>
  <si>
    <t>NL300004</t>
  </si>
  <si>
    <t>NL300107</t>
  </si>
  <si>
    <t>Bầu xanh</t>
  </si>
  <si>
    <t>NL300174</t>
  </si>
  <si>
    <t>NL300137</t>
  </si>
  <si>
    <t>Bún nhỏ</t>
  </si>
  <si>
    <t>NL300012</t>
  </si>
  <si>
    <t>Cà chua</t>
  </si>
  <si>
    <t>NL300013</t>
  </si>
  <si>
    <t>Cà chua bi</t>
  </si>
  <si>
    <t>NL300014</t>
  </si>
  <si>
    <t>Cà rốt</t>
  </si>
  <si>
    <t>NL300027</t>
  </si>
  <si>
    <t>Cải chua nguyên cây</t>
  </si>
  <si>
    <t>NL300155</t>
  </si>
  <si>
    <t>Cải thảo</t>
  </si>
  <si>
    <t>NL300022</t>
  </si>
  <si>
    <t>Cam tươi</t>
  </si>
  <si>
    <t>NL600002</t>
  </si>
  <si>
    <t>NL300025</t>
  </si>
  <si>
    <t>Chanh ko hạt</t>
  </si>
  <si>
    <t>NL300029</t>
  </si>
  <si>
    <t>Củ cải đỏ (Radis)</t>
  </si>
  <si>
    <t>NL300034</t>
  </si>
  <si>
    <t>NL300054</t>
  </si>
  <si>
    <t>NL300038</t>
  </si>
  <si>
    <t>Đậu cove Pháp (Nhật)</t>
  </si>
  <si>
    <t>NL300156</t>
  </si>
  <si>
    <t>Đậu hủ miếng trắng</t>
  </si>
  <si>
    <t>NL300037</t>
  </si>
  <si>
    <t>NL300041</t>
  </si>
  <si>
    <t>Đu đủ trái xanh</t>
  </si>
  <si>
    <t>NL300049</t>
  </si>
  <si>
    <t>NL600004</t>
  </si>
  <si>
    <t>Dưa leo</t>
  </si>
  <si>
    <t>NL300048</t>
  </si>
  <si>
    <t>NL300058</t>
  </si>
  <si>
    <t>NL300059</t>
  </si>
  <si>
    <t>NL300055</t>
  </si>
  <si>
    <t>Hành tím VN lột vỏ</t>
  </si>
  <si>
    <t>Hẹ lá</t>
  </si>
  <si>
    <t>NL300076</t>
  </si>
  <si>
    <t>Húng cây</t>
  </si>
  <si>
    <t>NL300063</t>
  </si>
  <si>
    <t>NL300062</t>
  </si>
  <si>
    <t>Khế xanh</t>
  </si>
  <si>
    <t>NL300068</t>
  </si>
  <si>
    <t>Lá cây nhíp</t>
  </si>
  <si>
    <t>NL300080</t>
  </si>
  <si>
    <t>NL300073</t>
  </si>
  <si>
    <t>Lá chuối</t>
  </si>
  <si>
    <t>NL300074</t>
  </si>
  <si>
    <t>Lá cóc</t>
  </si>
  <si>
    <t>NL300043</t>
  </si>
  <si>
    <t>Lá Giang (kg)</t>
  </si>
  <si>
    <t>NL300173</t>
  </si>
  <si>
    <t>Lá lốt</t>
  </si>
  <si>
    <t>NL300077</t>
  </si>
  <si>
    <t>Lá Trâm Ổi</t>
  </si>
  <si>
    <t>NL300044</t>
  </si>
  <si>
    <t>Mồng tơi</t>
  </si>
  <si>
    <t>NL300084</t>
  </si>
  <si>
    <t>NL300088</t>
  </si>
  <si>
    <t>NL300090</t>
  </si>
  <si>
    <t>NL300091</t>
  </si>
  <si>
    <t>NL300094</t>
  </si>
  <si>
    <t>NL300096</t>
  </si>
  <si>
    <t>Ngò gai</t>
  </si>
  <si>
    <t>NL300086</t>
  </si>
  <si>
    <t>Ngò om</t>
  </si>
  <si>
    <t>NL300128</t>
  </si>
  <si>
    <t>NL300085</t>
  </si>
  <si>
    <t>NL300126</t>
  </si>
  <si>
    <t>Ổi không hạt</t>
  </si>
  <si>
    <t>NL600006</t>
  </si>
  <si>
    <t>Ớt đà lạt (đỏ)</t>
  </si>
  <si>
    <t>NL300112</t>
  </si>
  <si>
    <t>Ớt đà lạt (vàng)</t>
  </si>
  <si>
    <t>NL300152</t>
  </si>
  <si>
    <t>NL300113</t>
  </si>
  <si>
    <t>Quế vị</t>
  </si>
  <si>
    <t>NL300120</t>
  </si>
  <si>
    <t>Quế vị (xá xị)</t>
  </si>
  <si>
    <t>Rau càng cua</t>
  </si>
  <si>
    <t>NL300122</t>
  </si>
  <si>
    <t>Rau kinh giới</t>
  </si>
  <si>
    <t>NL300072</t>
  </si>
  <si>
    <t>Rau muống bào</t>
  </si>
  <si>
    <t>NL300087</t>
  </si>
  <si>
    <t>NL300121</t>
  </si>
  <si>
    <t>NL300140</t>
  </si>
  <si>
    <t>Rose mary</t>
  </si>
  <si>
    <t>NL300066</t>
  </si>
  <si>
    <t>NL300132</t>
  </si>
  <si>
    <t>Tần ô</t>
  </si>
  <si>
    <t>NL300018</t>
  </si>
  <si>
    <t>Thơm trái xanh</t>
  </si>
  <si>
    <t>NL300047</t>
  </si>
  <si>
    <t>Tỏi Bắc lột</t>
  </si>
  <si>
    <t>NL300144</t>
  </si>
  <si>
    <t>Trứng gà</t>
  </si>
  <si>
    <t>NL100100</t>
  </si>
  <si>
    <t>Xà lách búp mỹ</t>
  </si>
  <si>
    <t>NL300146</t>
  </si>
  <si>
    <t>Xà lách lolo tím</t>
  </si>
  <si>
    <t>NL300148</t>
  </si>
  <si>
    <t>Xà lách lolo xanh</t>
  </si>
  <si>
    <t>NL300145</t>
  </si>
  <si>
    <t>NL300147</t>
  </si>
  <si>
    <t>Cần tàu</t>
  </si>
  <si>
    <t>NL300172</t>
  </si>
  <si>
    <t>Thơm trái hườm</t>
  </si>
  <si>
    <t>NL600020</t>
  </si>
  <si>
    <t>Củ cải trắng (Loại 1)</t>
  </si>
  <si>
    <t>NL300033</t>
  </si>
  <si>
    <t>Su Su</t>
  </si>
  <si>
    <t>NL300138</t>
  </si>
  <si>
    <t>NL300007</t>
  </si>
  <si>
    <t>NL300119</t>
  </si>
  <si>
    <t>Ớt đà lạt (xanh)</t>
  </si>
  <si>
    <t>NL300153</t>
  </si>
  <si>
    <t>NL300030</t>
  </si>
  <si>
    <t>Ổi trái</t>
  </si>
  <si>
    <t>NL300116</t>
  </si>
  <si>
    <t>Rosemary (Hương thảo)</t>
  </si>
  <si>
    <t>NL300142</t>
  </si>
  <si>
    <t>Sao Nhái</t>
  </si>
  <si>
    <t>NL300162</t>
  </si>
  <si>
    <t>NL300008</t>
  </si>
  <si>
    <t>Bí nụ</t>
  </si>
  <si>
    <t>NL300009</t>
  </si>
  <si>
    <t>Bông cải xanh Baby</t>
  </si>
  <si>
    <t>NL300015</t>
  </si>
  <si>
    <t>NL300028</t>
  </si>
  <si>
    <t>NL300020</t>
  </si>
  <si>
    <t>Nấm bào ngư trắng</t>
  </si>
  <si>
    <t>NL300103</t>
  </si>
  <si>
    <t>NL300092</t>
  </si>
  <si>
    <t>NL300098</t>
  </si>
  <si>
    <t>NL300097</t>
  </si>
  <si>
    <t>Đậu hủ trắng cây Ichiban 220gr</t>
  </si>
  <si>
    <t>Táo WOW</t>
  </si>
  <si>
    <t>NL600042</t>
  </si>
  <si>
    <t>Củ sắn</t>
  </si>
  <si>
    <t>NL300188</t>
  </si>
  <si>
    <t>NL300125</t>
  </si>
  <si>
    <t>Táo đỏ trái</t>
  </si>
  <si>
    <t>NL600008</t>
  </si>
  <si>
    <t>NL300131</t>
  </si>
  <si>
    <t>Xoài Keo</t>
  </si>
  <si>
    <t>NL600021</t>
  </si>
  <si>
    <t>NL300101</t>
  </si>
  <si>
    <t>NL100101</t>
  </si>
  <si>
    <t>NL300070</t>
  </si>
  <si>
    <t>Nấm bào ngư xám</t>
  </si>
  <si>
    <t>NL300102</t>
  </si>
  <si>
    <t>NL300139</t>
  </si>
  <si>
    <t>Khoai môn cao</t>
  </si>
  <si>
    <t>NL300157</t>
  </si>
  <si>
    <t>Lá cây nhíp (lá mè)</t>
  </si>
  <si>
    <t>NL300061</t>
  </si>
  <si>
    <t>Miến dong</t>
  </si>
  <si>
    <t>NL200324</t>
  </si>
  <si>
    <t>Chả lụa chay</t>
  </si>
  <si>
    <t>NL100153</t>
  </si>
  <si>
    <t>Nấm mèo</t>
  </si>
  <si>
    <t>NL200147</t>
  </si>
  <si>
    <t>Hành tím lột vỏ TQ</t>
  </si>
  <si>
    <t>Hành phi</t>
  </si>
  <si>
    <t>NL200008</t>
  </si>
  <si>
    <t>Thơm xanh (kg)</t>
  </si>
  <si>
    <t>Thơm hườm (kg)</t>
  </si>
  <si>
    <t>Me Vắt</t>
  </si>
  <si>
    <t>NL200143</t>
  </si>
  <si>
    <t>Tỏi lột sạch</t>
  </si>
  <si>
    <t>NL300158</t>
  </si>
  <si>
    <t>NL300184</t>
  </si>
  <si>
    <t>Ớt sừng xanh</t>
  </si>
  <si>
    <t>NL300117</t>
  </si>
  <si>
    <t>Bắp chuối bào</t>
  </si>
  <si>
    <t>NL300060</t>
  </si>
  <si>
    <t>Bánh phở</t>
  </si>
  <si>
    <t>NL300002</t>
  </si>
  <si>
    <t>NL300141</t>
  </si>
  <si>
    <t>NL600067</t>
  </si>
  <si>
    <t>NL600068</t>
  </si>
  <si>
    <t>NL300189</t>
  </si>
  <si>
    <t>NL300111</t>
  </si>
  <si>
    <t>NL300036</t>
  </si>
  <si>
    <t>Đậu Hà Lan</t>
  </si>
  <si>
    <t>NL200314</t>
  </si>
  <si>
    <t>NL300035</t>
  </si>
  <si>
    <t>Đậu hủ trứng cây Ichiban 220gr</t>
  </si>
  <si>
    <t>Nấm Mỡ trắng</t>
  </si>
  <si>
    <t>Thân chuối bào</t>
  </si>
  <si>
    <t>NL300214</t>
  </si>
  <si>
    <t>Bó xôi (Nhà Lồng)</t>
  </si>
  <si>
    <t>NL300203</t>
  </si>
  <si>
    <t>Khổ qua</t>
  </si>
  <si>
    <t>NL300089</t>
  </si>
  <si>
    <t>Bông súng</t>
  </si>
  <si>
    <t>NL300011</t>
  </si>
  <si>
    <t>Kèo nèo</t>
  </si>
  <si>
    <t>NL300067</t>
  </si>
  <si>
    <t>Rau đắng</t>
  </si>
  <si>
    <t>NL300123</t>
  </si>
  <si>
    <t>Mướp đắng</t>
  </si>
  <si>
    <t>Cà Chua Lớn</t>
  </si>
  <si>
    <t>Khoai Tây DL lớn</t>
  </si>
  <si>
    <t>NL300071</t>
  </si>
  <si>
    <t>Hành tím củ</t>
  </si>
  <si>
    <t>NL100279</t>
  </si>
  <si>
    <t>THỰC NHẬN</t>
  </si>
  <si>
    <t>LỆCH SL</t>
  </si>
  <si>
    <t>LỆCH ĐG</t>
  </si>
  <si>
    <t>NOTE</t>
  </si>
  <si>
    <t>Ngày ct</t>
  </si>
  <si>
    <t>Mã ct</t>
  </si>
  <si>
    <t>Số ct</t>
  </si>
  <si>
    <t>Số hđ</t>
  </si>
  <si>
    <t>Áp giá</t>
  </si>
  <si>
    <t>Mã ncc</t>
  </si>
  <si>
    <t>Tên ncc</t>
  </si>
  <si>
    <t>Diễn giải</t>
  </si>
  <si>
    <t>Mã hàng</t>
  </si>
  <si>
    <t>Tên mặt hàng</t>
  </si>
  <si>
    <t>Đvt</t>
  </si>
  <si>
    <t>Giá</t>
  </si>
  <si>
    <t>Giá báo</t>
  </si>
  <si>
    <t>Thuế suất</t>
  </si>
  <si>
    <t>Chênh lệch giá</t>
  </si>
  <si>
    <t>Kho hàng</t>
  </si>
  <si>
    <t>Mã nx</t>
  </si>
  <si>
    <t>Vụ việc</t>
  </si>
  <si>
    <t>Bộ phận</t>
  </si>
  <si>
    <t>Hợp đồng</t>
  </si>
  <si>
    <t>Người tạo</t>
  </si>
  <si>
    <t>Người sửa</t>
  </si>
  <si>
    <t>2601WSG03004</t>
  </si>
  <si>
    <t>1</t>
  </si>
  <si>
    <t>NCC100186</t>
  </si>
  <si>
    <t>CÔNG TY TNHH NÔNG SẢN THỰC PHẨM TRẦN GIA</t>
  </si>
  <si>
    <t>WSG03 - Nhập hàng mua ngày 01/01/2026</t>
  </si>
  <si>
    <t>quả</t>
  </si>
  <si>
    <t>WSG.03</t>
  </si>
  <si>
    <t>3311</t>
  </si>
  <si>
    <t>WSG03</t>
  </si>
  <si>
    <t>NHUNTQ</t>
  </si>
  <si>
    <t>Trứng Bắc Thảo</t>
  </si>
  <si>
    <t>Tỏi bóc</t>
  </si>
  <si>
    <t>kg</t>
  </si>
  <si>
    <t>Nấm Linh Chi nâu</t>
  </si>
  <si>
    <t>Bí đỏ</t>
  </si>
  <si>
    <t>Bí ngòi</t>
  </si>
  <si>
    <t>Cải ngồng</t>
  </si>
  <si>
    <t>Rau cần tây</t>
  </si>
  <si>
    <t>Riềng củ</t>
  </si>
  <si>
    <t>Đậu hủ non trứng</t>
  </si>
  <si>
    <t>Cái</t>
  </si>
  <si>
    <t>Gừng tàu</t>
  </si>
  <si>
    <t>Hành bóc</t>
  </si>
  <si>
    <t>Mùi ta ( Ngò rí )</t>
  </si>
  <si>
    <t>Nấm hải sản</t>
  </si>
  <si>
    <t>Ngô ngọt ( Bắp trái)</t>
  </si>
  <si>
    <t>Ớt sừng</t>
  </si>
  <si>
    <t>Rau mùi tây</t>
  </si>
  <si>
    <t>Súp lơ xanh</t>
  </si>
  <si>
    <t>Xà lách Roman</t>
  </si>
  <si>
    <t>Quất ( Tắc trái )</t>
  </si>
  <si>
    <t>Tía tô</t>
  </si>
  <si>
    <t>Lá Dứa (lá nếp)</t>
  </si>
  <si>
    <t>2601WSG03008</t>
  </si>
  <si>
    <t>WSG03 - Nhập hàng mua ngày 02/01/2026</t>
  </si>
  <si>
    <t>Khoai lang Nhật</t>
  </si>
  <si>
    <t>2601WSG03016</t>
  </si>
  <si>
    <t>WSG03 - Nhập hàng mua ngày 03/01/2026</t>
  </si>
  <si>
    <t>Nấm Linh Chi trắng</t>
  </si>
  <si>
    <t>Chanh</t>
  </si>
  <si>
    <t>Chanh dây (chanh leo)</t>
  </si>
  <si>
    <t>2601WSG03024</t>
  </si>
  <si>
    <t>WSG03 - Nhập hàng mua ngày 04/01/2026</t>
  </si>
  <si>
    <t>WSG032601017</t>
  </si>
  <si>
    <t>2601WSG03029</t>
  </si>
  <si>
    <t>WSG03 - Nhập hàng mua ngày 05/01/2026</t>
  </si>
  <si>
    <t>WSG032601022</t>
  </si>
  <si>
    <t>Hành Paro (Hành Baro)</t>
  </si>
  <si>
    <t>2601WSG03031</t>
  </si>
  <si>
    <t>WSG03 - Nhập hàng mua ngày 06/01/2026</t>
  </si>
  <si>
    <t>Nấm Mối</t>
  </si>
  <si>
    <t>Nấm mỡ đen</t>
  </si>
  <si>
    <t>Húng Bạc Hà</t>
  </si>
  <si>
    <t>2601WSG03038</t>
  </si>
  <si>
    <t>WSG03 - Nhập hàng mua ngày 07/01/2026</t>
  </si>
  <si>
    <t>Ớt chỉ thiên</t>
  </si>
  <si>
    <t>2601WSG03042</t>
  </si>
  <si>
    <t>WSG03 - Nhập hàng mua ngày 08/01/2026</t>
  </si>
  <si>
    <t>Tiêu xanh</t>
  </si>
  <si>
    <t>2601WSG03059</t>
  </si>
  <si>
    <t>WSG03 - Nhập hàng mua ngày 09/01/2026</t>
  </si>
  <si>
    <t>2601WSG03140</t>
  </si>
  <si>
    <t>WSG03 - Nhập hàng mua ngày 10/01/2026</t>
  </si>
  <si>
    <t>2601WSG03163</t>
  </si>
  <si>
    <t>WSG03 - Nhập hàng mua ngày 11/01/2026</t>
  </si>
  <si>
    <t>2601WSG03167</t>
  </si>
  <si>
    <t>WSG03 - Nhập hàng mua ngày 12/01/2026</t>
  </si>
  <si>
    <t>WSG032601039</t>
  </si>
  <si>
    <t>2601WSG03172</t>
  </si>
  <si>
    <t>WSG03 - Nhập hàng mua ngày 13/01/2026</t>
  </si>
  <si>
    <t>2601WSG03180</t>
  </si>
  <si>
    <t>WSG03 - Nhập hàng mua ngày 14/01/2026</t>
  </si>
  <si>
    <t>2601WSG03184</t>
  </si>
  <si>
    <t>WSG03 - Nhập hàng mua ngày 15/01/2026</t>
  </si>
  <si>
    <t>2601WSG11005</t>
  </si>
  <si>
    <t>WSG11 - Nhập hàng mua ngày 01/01/2026</t>
  </si>
  <si>
    <t>WSG.11</t>
  </si>
  <si>
    <t>WSG11</t>
  </si>
  <si>
    <t>WSG112601022</t>
  </si>
  <si>
    <t>2601WSG11014</t>
  </si>
  <si>
    <t>WSG11 - Nhập hàng mua ngày 02/01/2026</t>
  </si>
  <si>
    <t>WSG112601006</t>
  </si>
  <si>
    <t>2601WSG11021</t>
  </si>
  <si>
    <t>WSG11 - Nhập hàng mua ngày 03/01/2026</t>
  </si>
  <si>
    <t>2601WSG11026</t>
  </si>
  <si>
    <t>WSG11 - Nhập hàng mua ngày 04/01/2026</t>
  </si>
  <si>
    <t>2601WSG11032</t>
  </si>
  <si>
    <t>WSG11 - Nhập hàng mua ngày 05/01/2026</t>
  </si>
  <si>
    <t>2601WSG11037</t>
  </si>
  <si>
    <t>WSG11 - Nhập hàng mua ngày 06/01/2026</t>
  </si>
  <si>
    <t>2601WSG11041</t>
  </si>
  <si>
    <t>WSG11 - Nhập hàng mua ngày 07/01/2026</t>
  </si>
  <si>
    <t>WSG112601015</t>
  </si>
  <si>
    <t>2601WSG11049</t>
  </si>
  <si>
    <t>WSG11 - Nhập hàng mua ngày 08/01/2026</t>
  </si>
  <si>
    <t>2601WSG11056</t>
  </si>
  <si>
    <t>WSG11 - Nhập hàng mua ngày 09/01/2026</t>
  </si>
  <si>
    <t>2601WSG11101</t>
  </si>
  <si>
    <t>WSG11 - Nhập hàng mua ngày 10/01/2026</t>
  </si>
  <si>
    <t>2601WSG11126</t>
  </si>
  <si>
    <t>WSG11 - Nhập hàng mua ngày 11/01/2026</t>
  </si>
  <si>
    <t>2601WSG11132</t>
  </si>
  <si>
    <t>WSG11 - Nhập hàng mua ngày 12/01/2026</t>
  </si>
  <si>
    <t>2601WSG11138</t>
  </si>
  <si>
    <t>WSG11 - Nhập hàng mua ngày 13/01/2026</t>
  </si>
  <si>
    <t>2601WSG11143</t>
  </si>
  <si>
    <t>WSG11 - Nhập hàng mua ngày 14/01/2026</t>
  </si>
  <si>
    <t>2601WSG11148</t>
  </si>
  <si>
    <t>WSG11 - Nhập hàng mua ngày 15/01/2026</t>
  </si>
  <si>
    <t>WSG112601025</t>
  </si>
  <si>
    <t>ĐƠN KHÔNG NHẬN</t>
  </si>
  <si>
    <t>SAI ĐG</t>
  </si>
  <si>
    <t>NHẬN BS PHIẾU RIÊNG</t>
  </si>
  <si>
    <t>SAI SL</t>
  </si>
  <si>
    <t>ĐƠN CÓ NHẬN</t>
  </si>
  <si>
    <t>CAM VÀNG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</si>
</sst>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10409]dd/mm/yyyy"/>
    <numFmt numFmtId="166" formatCode="_(* #,##0.000_);_(* \(#,##0.000\);_(* &quot;-&quot;??_);_(@_)"/>
    <numFmt numFmtId="167" formatCode="0.000"/>
    <numFmt numFmtId="168" formatCode="_(* #,##0_);_(* \(#,##0\);_(* &quot;-&quot;??_);_(@_)"/>
    <numFmt numFmtId="169" formatCode="[$-10409]#,###,###,###.0000;\-#,###,###,###.0000;"/>
    <numFmt numFmtId="170" formatCode="[$-10409]###,###,###,###.00;\-###,###,###,###.00;"/>
    <numFmt numFmtId="171" formatCode="[$-10409]###,###,###,###,###;\-###,###,###,###,###;"/>
  </numFmts>
  <fonts count="1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Segoe UI Light"/>
      <family val="2"/>
    </font>
    <font>
      <b/>
      <sz val="16"/>
      <color rgb="FF000000"/>
      <name val="Segoe UI"/>
      <family val="2"/>
    </font>
    <font>
      <i/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 Light"/>
      <family val="2"/>
    </font>
    <font>
      <b/>
      <sz val="11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0000"/>
      <name val="Calibri"/>
      <family val="2"/>
    </font>
    <font>
      <sz val="11"/>
      <name val="Calibri"/>
    </font>
    <font>
      <sz val="8"/>
      <color rgb="FF000000"/>
      <name val="Verdana"/>
    </font>
    <font>
      <b/>
      <sz val="8"/>
      <color rgb="FF000000"/>
      <name val="Verdana"/>
    </font>
    <font>
      <sz val="8"/>
      <color rgb="FF000000"/>
      <name val="Calibri"/>
    </font>
    <font>
      <b/>
      <sz val="14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rgb="FFF0E68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0E68C"/>
      </patternFill>
    </fill>
    <fill>
      <patternFill patternType="solid">
        <fgColor rgb="FFEDF5FF"/>
        <bgColor rgb="FFEDF5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44">
    <xf numFmtId="0" fontId="1" fillId="0" borderId="0" xfId="0" applyFont="1"/>
    <xf numFmtId="0" fontId="9" fillId="2" borderId="5" xfId="0" applyFont="1" applyFill="1" applyBorder="1" applyAlignment="1">
      <alignment horizontal="center" vertical="center" wrapText="1" readingOrder="1"/>
    </xf>
    <xf numFmtId="0" fontId="7" fillId="2" borderId="5" xfId="0" applyFont="1" applyFill="1" applyBorder="1" applyAlignment="1">
      <alignment horizontal="center" vertical="center" wrapText="1" readingOrder="1"/>
    </xf>
    <xf numFmtId="166" fontId="9" fillId="2" borderId="5" xfId="1" applyNumberFormat="1" applyFont="1" applyFill="1" applyBorder="1" applyAlignment="1">
      <alignment horizontal="center" vertical="center" wrapText="1" readingOrder="1"/>
    </xf>
    <xf numFmtId="165" fontId="10" fillId="0" borderId="5" xfId="0" applyNumberFormat="1" applyFont="1" applyBorder="1" applyAlignment="1">
      <alignment vertical="center" wrapText="1" readingOrder="1"/>
    </xf>
    <xf numFmtId="0" fontId="10" fillId="0" borderId="5" xfId="0" applyFont="1" applyBorder="1" applyAlignment="1">
      <alignment vertical="center" wrapText="1" readingOrder="1"/>
    </xf>
    <xf numFmtId="167" fontId="10" fillId="0" borderId="5" xfId="0" applyNumberFormat="1" applyFont="1" applyBorder="1" applyAlignment="1">
      <alignment vertical="center" wrapText="1" readingOrder="1"/>
    </xf>
    <xf numFmtId="168" fontId="10" fillId="0" borderId="5" xfId="1" applyNumberFormat="1" applyFont="1" applyBorder="1" applyAlignment="1">
      <alignment vertical="center" wrapText="1" readingOrder="1"/>
    </xf>
    <xf numFmtId="0" fontId="10" fillId="0" borderId="5" xfId="0" applyFont="1" applyBorder="1" applyAlignment="1">
      <alignment vertical="top" wrapText="1" readingOrder="1"/>
    </xf>
    <xf numFmtId="168" fontId="11" fillId="0" borderId="0" xfId="1" applyNumberFormat="1" applyFont="1"/>
    <xf numFmtId="0" fontId="1" fillId="3" borderId="0" xfId="0" applyFont="1" applyFill="1"/>
    <xf numFmtId="166" fontId="9" fillId="4" borderId="5" xfId="1" applyNumberFormat="1" applyFont="1" applyFill="1" applyBorder="1" applyAlignment="1">
      <alignment horizontal="center" vertical="center" wrapText="1" readingOrder="1"/>
    </xf>
    <xf numFmtId="167" fontId="10" fillId="3" borderId="5" xfId="0" applyNumberFormat="1" applyFont="1" applyFill="1" applyBorder="1" applyAlignment="1">
      <alignment vertical="center" wrapText="1" readingOrder="1"/>
    </xf>
    <xf numFmtId="0" fontId="1" fillId="0" borderId="5" xfId="0" applyFont="1" applyBorder="1"/>
    <xf numFmtId="164" fontId="1" fillId="0" borderId="0" xfId="1" applyFont="1"/>
    <xf numFmtId="164" fontId="1" fillId="0" borderId="5" xfId="1" applyFont="1" applyBorder="1"/>
    <xf numFmtId="168" fontId="1" fillId="0" borderId="0" xfId="1" applyNumberFormat="1" applyFont="1"/>
    <xf numFmtId="168" fontId="1" fillId="0" borderId="5" xfId="1" applyNumberFormat="1" applyFont="1" applyBorder="1"/>
    <xf numFmtId="0" fontId="12" fillId="0" borderId="0" xfId="0" applyFont="1"/>
    <xf numFmtId="0" fontId="14" fillId="5" borderId="6" xfId="0" applyFont="1" applyFill="1" applyBorder="1" applyAlignment="1">
      <alignment horizontal="center" vertical="center" wrapText="1" readingOrder="1"/>
    </xf>
    <xf numFmtId="165" fontId="13" fillId="0" borderId="6" xfId="0" applyNumberFormat="1" applyFont="1" applyBorder="1" applyAlignment="1">
      <alignment horizontal="center" vertical="top" wrapText="1" readingOrder="1"/>
    </xf>
    <xf numFmtId="0" fontId="13" fillId="0" borderId="6" xfId="0" applyFont="1" applyBorder="1" applyAlignment="1">
      <alignment vertical="top" wrapText="1" readingOrder="1"/>
    </xf>
    <xf numFmtId="0" fontId="13" fillId="0" borderId="6" xfId="0" applyFont="1" applyBorder="1" applyAlignment="1">
      <alignment horizontal="right" vertical="top" wrapText="1" readingOrder="1"/>
    </xf>
    <xf numFmtId="169" fontId="13" fillId="0" borderId="6" xfId="0" applyNumberFormat="1" applyFont="1" applyBorder="1" applyAlignment="1">
      <alignment horizontal="right" vertical="top" wrapText="1" readingOrder="1"/>
    </xf>
    <xf numFmtId="170" fontId="13" fillId="0" borderId="6" xfId="0" applyNumberFormat="1" applyFont="1" applyBorder="1" applyAlignment="1">
      <alignment horizontal="right" vertical="top" wrapText="1" readingOrder="1"/>
    </xf>
    <xf numFmtId="171" fontId="13" fillId="0" borderId="6" xfId="0" applyNumberFormat="1" applyFont="1" applyBorder="1" applyAlignment="1">
      <alignment horizontal="right" vertical="top" wrapText="1" readingOrder="1"/>
    </xf>
    <xf numFmtId="0" fontId="15" fillId="0" borderId="7" xfId="0" applyFont="1" applyBorder="1" applyAlignment="1">
      <alignment vertical="top" wrapText="1" readingOrder="1"/>
    </xf>
    <xf numFmtId="164" fontId="16" fillId="6" borderId="0" xfId="1" applyFont="1" applyFill="1"/>
    <xf numFmtId="168" fontId="16" fillId="6" borderId="0" xfId="1" applyNumberFormat="1" applyFont="1" applyFill="1"/>
    <xf numFmtId="165" fontId="10" fillId="6" borderId="5" xfId="0" applyNumberFormat="1" applyFont="1" applyFill="1" applyBorder="1" applyAlignment="1">
      <alignment vertical="center" wrapText="1" readingOrder="1"/>
    </xf>
    <xf numFmtId="0" fontId="10" fillId="6" borderId="5" xfId="0" applyFont="1" applyFill="1" applyBorder="1" applyAlignment="1">
      <alignment vertical="center" wrapText="1" readingOrder="1"/>
    </xf>
    <xf numFmtId="167" fontId="10" fillId="6" borderId="5" xfId="0" applyNumberFormat="1" applyFont="1" applyFill="1" applyBorder="1" applyAlignment="1">
      <alignment vertical="center" wrapText="1" readingOrder="1"/>
    </xf>
    <xf numFmtId="168" fontId="10" fillId="6" borderId="5" xfId="1" applyNumberFormat="1" applyFont="1" applyFill="1" applyBorder="1" applyAlignment="1">
      <alignment vertical="center" wrapText="1" readingOrder="1"/>
    </xf>
    <xf numFmtId="0" fontId="1" fillId="6" borderId="0" xfId="0" applyFont="1" applyFill="1"/>
    <xf numFmtId="164" fontId="1" fillId="6" borderId="5" xfId="1" applyFont="1" applyFill="1" applyBorder="1"/>
    <xf numFmtId="168" fontId="1" fillId="6" borderId="5" xfId="1" applyNumberFormat="1" applyFont="1" applyFill="1" applyBorder="1"/>
    <xf numFmtId="0" fontId="1" fillId="6" borderId="5" xfId="0" applyFont="1" applyFill="1" applyBorder="1"/>
    <xf numFmtId="0" fontId="5" fillId="0" borderId="4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40E0D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0F314-BE28-4D97-A9AF-288EA596CF6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515" y="199567"/>
          <a:ext cx="1818970" cy="181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5"/>
  <sheetViews>
    <sheetView showGridLines="0" workbookViewId="0">
      <pane xSplit="1" topLeftCell="C1" activePane="topRight" state="frozen"/>
      <selection pane="topRight" activeCell="L1" sqref="L1:M1048576"/>
    </sheetView>
  </sheetViews>
  <sheetFormatPr defaultRowHeight="15" x14ac:dyDescent="0.25"/>
  <cols>
    <col min="1" max="1" width="11.28515625" bestFit="1" customWidth="1"/>
    <col min="2" max="2" width="45.28515625" customWidth="1"/>
    <col min="3" max="4" width="22.7109375" customWidth="1"/>
    <col min="5" max="5" width="12.28515625" bestFit="1" customWidth="1"/>
    <col min="6" max="6" width="17.7109375" customWidth="1"/>
    <col min="7" max="7" width="8" customWidth="1"/>
    <col min="8" max="8" width="13.7109375" style="10" bestFit="1" customWidth="1"/>
    <col min="9" max="9" width="11.140625" bestFit="1" customWidth="1"/>
    <col min="10" max="10" width="14.28515625" bestFit="1" customWidth="1"/>
    <col min="11" max="11" width="39" hidden="1" customWidth="1"/>
    <col min="12" max="13" width="0" hidden="1" customWidth="1"/>
    <col min="14" max="14" width="15.85546875" style="14" bestFit="1" customWidth="1"/>
    <col min="15" max="15" width="12.42578125" style="16" bestFit="1" customWidth="1"/>
    <col min="16" max="16" width="16" style="16" bestFit="1" customWidth="1"/>
    <col min="17" max="17" width="10" style="14" bestFit="1" customWidth="1"/>
    <col min="18" max="18" width="11.5703125" style="16" bestFit="1" customWidth="1"/>
    <col min="19" max="19" width="20.85546875" bestFit="1" customWidth="1"/>
  </cols>
  <sheetData>
    <row r="1" spans="1:19" ht="9.6" customHeight="1" x14ac:dyDescent="0.25"/>
    <row r="2" spans="1:19" ht="102.95" customHeight="1" x14ac:dyDescent="0.25">
      <c r="A2" s="40"/>
      <c r="B2" s="38"/>
      <c r="C2" s="39"/>
      <c r="D2" s="41" t="s">
        <v>0</v>
      </c>
      <c r="E2" s="38"/>
      <c r="F2" s="38"/>
      <c r="G2" s="38"/>
      <c r="H2" s="38"/>
      <c r="I2" s="38"/>
      <c r="J2" s="38"/>
      <c r="K2" s="39"/>
    </row>
    <row r="3" spans="1:19" ht="1.1499999999999999" customHeight="1" x14ac:dyDescent="0.25"/>
    <row r="4" spans="1:19" ht="24.75" customHeight="1" x14ac:dyDescent="0.25">
      <c r="A4" s="42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9"/>
    </row>
    <row r="5" spans="1:19" ht="2.1" customHeight="1" x14ac:dyDescent="0.25"/>
    <row r="6" spans="1:19" ht="22.5" customHeight="1" x14ac:dyDescent="0.25">
      <c r="A6" s="43" t="s">
        <v>130</v>
      </c>
      <c r="B6" s="38"/>
      <c r="C6" s="38"/>
      <c r="D6" s="38"/>
      <c r="E6" s="38"/>
      <c r="F6" s="38"/>
      <c r="G6" s="38"/>
      <c r="H6" s="38"/>
      <c r="I6" s="38"/>
      <c r="J6" s="38"/>
      <c r="K6" s="39"/>
    </row>
    <row r="7" spans="1:19" ht="3" customHeight="1" x14ac:dyDescent="0.25"/>
    <row r="8" spans="1:19" ht="24.95" customHeight="1" x14ac:dyDescent="0.25">
      <c r="A8" s="37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9"/>
    </row>
    <row r="9" spans="1:19" ht="4.1500000000000004" customHeight="1" x14ac:dyDescent="0.25"/>
    <row r="10" spans="1:19" ht="23.25" customHeight="1" x14ac:dyDescent="0.25">
      <c r="A10" s="37" t="s">
        <v>3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9" ht="3.95" customHeight="1" x14ac:dyDescent="0.25"/>
    <row r="12" spans="1:19" ht="23.85" customHeight="1" x14ac:dyDescent="0.3">
      <c r="A12" s="37" t="s">
        <v>4</v>
      </c>
      <c r="B12" s="38"/>
      <c r="C12" s="38"/>
      <c r="D12" s="38"/>
      <c r="E12" s="38"/>
      <c r="F12" s="38"/>
      <c r="G12" s="38"/>
      <c r="H12" s="38"/>
      <c r="I12" s="38"/>
      <c r="J12" s="38"/>
      <c r="K12" s="39"/>
      <c r="N12" s="27">
        <f>SUBTOTAL(9,N15:N465)</f>
        <v>1854.2199999999991</v>
      </c>
      <c r="O12" s="28"/>
      <c r="P12" s="28">
        <f>SUBTOTAL(9,P15:P465)</f>
        <v>45597950</v>
      </c>
    </row>
    <row r="13" spans="1:19" ht="27" customHeight="1" x14ac:dyDescent="0.25">
      <c r="J13" s="9">
        <f>SUBTOTAL(9,J15:J465)</f>
        <v>55453150</v>
      </c>
    </row>
    <row r="14" spans="1:19" ht="16.5" x14ac:dyDescent="0.25">
      <c r="A14" s="1" t="s">
        <v>6</v>
      </c>
      <c r="B14" s="1" t="s">
        <v>121</v>
      </c>
      <c r="C14" s="1" t="s">
        <v>122</v>
      </c>
      <c r="D14" s="1" t="s">
        <v>5</v>
      </c>
      <c r="E14" s="2" t="s">
        <v>7</v>
      </c>
      <c r="F14" s="2" t="s">
        <v>8</v>
      </c>
      <c r="G14" s="1" t="s">
        <v>9</v>
      </c>
      <c r="H14" s="11" t="s">
        <v>123</v>
      </c>
      <c r="I14" s="1" t="s">
        <v>10</v>
      </c>
      <c r="J14" s="1" t="s">
        <v>11</v>
      </c>
      <c r="K14" s="1" t="s">
        <v>12</v>
      </c>
      <c r="N14" s="15" t="s">
        <v>404</v>
      </c>
      <c r="O14" s="17" t="s">
        <v>10</v>
      </c>
      <c r="P14" s="17" t="s">
        <v>11</v>
      </c>
      <c r="Q14" s="15" t="s">
        <v>405</v>
      </c>
      <c r="R14" s="17" t="s">
        <v>406</v>
      </c>
      <c r="S14" s="13" t="s">
        <v>407</v>
      </c>
    </row>
    <row r="15" spans="1:19" ht="28.5" x14ac:dyDescent="0.25">
      <c r="A15" s="4" t="s">
        <v>131</v>
      </c>
      <c r="B15" s="5" t="s">
        <v>124</v>
      </c>
      <c r="C15" s="4" t="s">
        <v>13</v>
      </c>
      <c r="D15" s="5" t="s">
        <v>132</v>
      </c>
      <c r="E15" s="4" t="s">
        <v>56</v>
      </c>
      <c r="F15" s="4" t="s">
        <v>57</v>
      </c>
      <c r="G15" s="4" t="s">
        <v>58</v>
      </c>
      <c r="H15" s="12">
        <v>25</v>
      </c>
      <c r="I15" s="7">
        <v>8500</v>
      </c>
      <c r="J15" s="7">
        <f>H15*I15</f>
        <v>212500</v>
      </c>
      <c r="K15" s="8" t="s">
        <v>17</v>
      </c>
      <c r="L15" t="str">
        <f>IFERROR(VLOOKUP(F15,MÃ!$A:$B,2,0),0)</f>
        <v>NL300107</v>
      </c>
      <c r="M15" t="str">
        <f>"0"&amp;DAY(A15)&amp;"/01/2026"&amp;L15</f>
        <v>01/01/2026NL300107</v>
      </c>
      <c r="N15" s="15">
        <f>IFERROR(VLOOKUP(M15,'WS3'!$B$2:$Q$437,11,0),0)</f>
        <v>24</v>
      </c>
      <c r="O15" s="17">
        <f>IFERROR(VLOOKUP(M15,'WS3'!$B$2:$Q$437,12,0),0)</f>
        <v>8500</v>
      </c>
      <c r="P15" s="17">
        <f>N15*O15</f>
        <v>204000</v>
      </c>
      <c r="Q15" s="15">
        <f>H15-N15</f>
        <v>1</v>
      </c>
      <c r="R15" s="17">
        <f>I15-O15</f>
        <v>0</v>
      </c>
      <c r="S15" s="13" t="s">
        <v>543</v>
      </c>
    </row>
    <row r="16" spans="1:19" x14ac:dyDescent="0.25">
      <c r="A16" s="4" t="s">
        <v>131</v>
      </c>
      <c r="B16" s="5" t="s">
        <v>124</v>
      </c>
      <c r="C16" s="4" t="s">
        <v>13</v>
      </c>
      <c r="D16" s="5" t="s">
        <v>132</v>
      </c>
      <c r="E16" s="4" t="s">
        <v>22</v>
      </c>
      <c r="F16" s="4" t="s">
        <v>23</v>
      </c>
      <c r="G16" s="4" t="s">
        <v>16</v>
      </c>
      <c r="H16" s="12">
        <v>4.8</v>
      </c>
      <c r="I16" s="7">
        <v>30000</v>
      </c>
      <c r="J16" s="7">
        <f t="shared" ref="J16:J79" si="0">H16*I16</f>
        <v>144000</v>
      </c>
      <c r="K16" s="8" t="s">
        <v>17</v>
      </c>
      <c r="L16" t="str">
        <f>IFERROR(VLOOKUP(F16,MÃ!$A:$B,2,0),0)</f>
        <v>NL300007</v>
      </c>
      <c r="M16" t="str">
        <f t="shared" ref="M16:M79" si="1">"0"&amp;DAY(A16)&amp;"/01/2026"&amp;L16</f>
        <v>01/01/2026NL300007</v>
      </c>
      <c r="N16" s="15">
        <f>IFERROR(VLOOKUP(M16,'WS3'!$B$2:$Q$437,11,0),0)</f>
        <v>4.8</v>
      </c>
      <c r="O16" s="17">
        <f>IFERROR(VLOOKUP(M16,'WS3'!$B$2:$Q$437,12,0),0)</f>
        <v>30000</v>
      </c>
      <c r="P16" s="17">
        <f t="shared" ref="P16:P79" si="2">N16*O16</f>
        <v>144000</v>
      </c>
      <c r="Q16" s="15">
        <f t="shared" ref="Q16:Q79" si="3">H16-N16</f>
        <v>0</v>
      </c>
      <c r="R16" s="17">
        <f t="shared" ref="R16:R79" si="4">I16-O16</f>
        <v>0</v>
      </c>
      <c r="S16" s="13"/>
    </row>
    <row r="17" spans="1:19" x14ac:dyDescent="0.25">
      <c r="A17" s="4" t="s">
        <v>131</v>
      </c>
      <c r="B17" s="5" t="s">
        <v>124</v>
      </c>
      <c r="C17" s="4" t="s">
        <v>13</v>
      </c>
      <c r="D17" s="5" t="s">
        <v>132</v>
      </c>
      <c r="E17" s="4" t="s">
        <v>24</v>
      </c>
      <c r="F17" s="4" t="s">
        <v>25</v>
      </c>
      <c r="G17" s="4" t="s">
        <v>16</v>
      </c>
      <c r="H17" s="12">
        <v>15</v>
      </c>
      <c r="I17" s="7">
        <v>40000</v>
      </c>
      <c r="J17" s="7">
        <f t="shared" si="0"/>
        <v>600000</v>
      </c>
      <c r="K17" s="8" t="s">
        <v>17</v>
      </c>
      <c r="L17" t="str">
        <f>IFERROR(VLOOKUP(F17,MÃ!$A:$B,2,0),0)</f>
        <v>NL300008</v>
      </c>
      <c r="M17" t="str">
        <f t="shared" si="1"/>
        <v>01/01/2026NL300008</v>
      </c>
      <c r="N17" s="15">
        <f>IFERROR(VLOOKUP(M17,'WS3'!$B$2:$Q$437,11,0),0)</f>
        <v>10</v>
      </c>
      <c r="O17" s="17">
        <f>IFERROR(VLOOKUP(M17,'WS3'!$B$2:$Q$437,12,0),0)</f>
        <v>40000</v>
      </c>
      <c r="P17" s="17">
        <f t="shared" si="2"/>
        <v>400000</v>
      </c>
      <c r="Q17" s="15">
        <f t="shared" si="3"/>
        <v>5</v>
      </c>
      <c r="R17" s="17">
        <f t="shared" si="4"/>
        <v>0</v>
      </c>
      <c r="S17" s="13" t="s">
        <v>543</v>
      </c>
    </row>
    <row r="18" spans="1:19" x14ac:dyDescent="0.25">
      <c r="A18" s="4" t="s">
        <v>131</v>
      </c>
      <c r="B18" s="5" t="s">
        <v>124</v>
      </c>
      <c r="C18" s="4" t="s">
        <v>13</v>
      </c>
      <c r="D18" s="5" t="s">
        <v>132</v>
      </c>
      <c r="E18" s="4" t="s">
        <v>126</v>
      </c>
      <c r="F18" s="4" t="s">
        <v>127</v>
      </c>
      <c r="G18" s="4" t="s">
        <v>16</v>
      </c>
      <c r="H18" s="12">
        <v>7</v>
      </c>
      <c r="I18" s="7">
        <v>52000</v>
      </c>
      <c r="J18" s="7">
        <f t="shared" si="0"/>
        <v>364000</v>
      </c>
      <c r="K18" s="8" t="s">
        <v>17</v>
      </c>
      <c r="L18" t="str">
        <f>IFERROR(VLOOKUP(F18,MÃ!$A:$B,2,0),0)</f>
        <v>NL300137</v>
      </c>
      <c r="M18" t="str">
        <f t="shared" si="1"/>
        <v>01/01/2026NL300137</v>
      </c>
      <c r="N18" s="15">
        <f>IFERROR(VLOOKUP(M18,'WS3'!$B$2:$Q$437,11,0),0)</f>
        <v>5</v>
      </c>
      <c r="O18" s="17">
        <f>IFERROR(VLOOKUP(M18,'WS3'!$B$2:$Q$437,12,0),0)</f>
        <v>52000</v>
      </c>
      <c r="P18" s="17">
        <f t="shared" si="2"/>
        <v>260000</v>
      </c>
      <c r="Q18" s="15">
        <f t="shared" si="3"/>
        <v>2</v>
      </c>
      <c r="R18" s="17">
        <f t="shared" si="4"/>
        <v>0</v>
      </c>
      <c r="S18" s="13" t="s">
        <v>543</v>
      </c>
    </row>
    <row r="19" spans="1:19" x14ac:dyDescent="0.25">
      <c r="A19" s="4" t="s">
        <v>131</v>
      </c>
      <c r="B19" s="5" t="s">
        <v>124</v>
      </c>
      <c r="C19" s="4" t="s">
        <v>13</v>
      </c>
      <c r="D19" s="5" t="s">
        <v>132</v>
      </c>
      <c r="E19" s="4" t="s">
        <v>26</v>
      </c>
      <c r="F19" s="4" t="s">
        <v>27</v>
      </c>
      <c r="G19" s="4" t="s">
        <v>16</v>
      </c>
      <c r="H19" s="12">
        <v>0.5</v>
      </c>
      <c r="I19" s="7">
        <v>75000</v>
      </c>
      <c r="J19" s="7">
        <f t="shared" si="0"/>
        <v>37500</v>
      </c>
      <c r="K19" s="8" t="s">
        <v>17</v>
      </c>
      <c r="L19" t="str">
        <f>IFERROR(VLOOKUP(F19,MÃ!$A:$B,2,0),0)</f>
        <v>NL300028</v>
      </c>
      <c r="M19" t="str">
        <f t="shared" si="1"/>
        <v>01/01/2026NL300028</v>
      </c>
      <c r="N19" s="15">
        <f>IFERROR(VLOOKUP(M19,'WS3'!$B$2:$Q$437,11,0),0)</f>
        <v>0.5</v>
      </c>
      <c r="O19" s="17">
        <f>IFERROR(VLOOKUP(M19,'WS3'!$B$2:$Q$437,12,0),0)</f>
        <v>75000</v>
      </c>
      <c r="P19" s="17">
        <f t="shared" si="2"/>
        <v>37500</v>
      </c>
      <c r="Q19" s="15">
        <f t="shared" si="3"/>
        <v>0</v>
      </c>
      <c r="R19" s="17">
        <f t="shared" si="4"/>
        <v>0</v>
      </c>
      <c r="S19" s="13"/>
    </row>
    <row r="20" spans="1:19" ht="42.75" x14ac:dyDescent="0.25">
      <c r="A20" s="4" t="s">
        <v>131</v>
      </c>
      <c r="B20" s="5" t="s">
        <v>124</v>
      </c>
      <c r="C20" s="4" t="s">
        <v>13</v>
      </c>
      <c r="D20" s="5" t="s">
        <v>132</v>
      </c>
      <c r="E20" s="4" t="s">
        <v>28</v>
      </c>
      <c r="F20" s="4" t="s">
        <v>29</v>
      </c>
      <c r="G20" s="4" t="s">
        <v>16</v>
      </c>
      <c r="H20" s="12">
        <v>5</v>
      </c>
      <c r="I20" s="7">
        <v>30000</v>
      </c>
      <c r="J20" s="7">
        <f t="shared" si="0"/>
        <v>150000</v>
      </c>
      <c r="K20" s="8" t="s">
        <v>17</v>
      </c>
      <c r="L20" t="str">
        <f>IFERROR(VLOOKUP(F20,MÃ!$A:$B,2,0),0)</f>
        <v>NL300020</v>
      </c>
      <c r="M20" t="str">
        <f t="shared" si="1"/>
        <v>01/01/2026NL300020</v>
      </c>
      <c r="N20" s="15">
        <f>IFERROR(VLOOKUP(M20,'WS3'!$B$2:$Q$437,11,0),0)</f>
        <v>3</v>
      </c>
      <c r="O20" s="17">
        <f>IFERROR(VLOOKUP(M20,'WS3'!$B$2:$Q$437,12,0),0)</f>
        <v>30000</v>
      </c>
      <c r="P20" s="17">
        <f t="shared" si="2"/>
        <v>90000</v>
      </c>
      <c r="Q20" s="15">
        <f t="shared" si="3"/>
        <v>2</v>
      </c>
      <c r="R20" s="17">
        <f t="shared" si="4"/>
        <v>0</v>
      </c>
      <c r="S20" s="13" t="s">
        <v>543</v>
      </c>
    </row>
    <row r="21" spans="1:19" x14ac:dyDescent="0.25">
      <c r="A21" s="4" t="s">
        <v>131</v>
      </c>
      <c r="B21" s="5" t="s">
        <v>124</v>
      </c>
      <c r="C21" s="4" t="s">
        <v>13</v>
      </c>
      <c r="D21" s="5" t="s">
        <v>132</v>
      </c>
      <c r="E21" s="4" t="s">
        <v>89</v>
      </c>
      <c r="F21" s="4" t="s">
        <v>90</v>
      </c>
      <c r="G21" s="4" t="s">
        <v>16</v>
      </c>
      <c r="H21" s="12">
        <v>2.2000000000000002</v>
      </c>
      <c r="I21" s="7">
        <v>44000</v>
      </c>
      <c r="J21" s="7">
        <f t="shared" si="0"/>
        <v>96800.000000000015</v>
      </c>
      <c r="K21" s="8" t="s">
        <v>17</v>
      </c>
      <c r="L21" t="str">
        <f>IFERROR(VLOOKUP(F21,MÃ!$A:$B,2,0),0)</f>
        <v>NL300025</v>
      </c>
      <c r="M21" t="str">
        <f t="shared" si="1"/>
        <v>01/01/2026NL300025</v>
      </c>
      <c r="N21" s="15">
        <f>IFERROR(VLOOKUP(M21,'WS3'!$B$2:$Q$437,11,0),0)</f>
        <v>2.2000000000000002</v>
      </c>
      <c r="O21" s="17">
        <f>IFERROR(VLOOKUP(M21,'WS3'!$B$2:$Q$437,12,0),0)</f>
        <v>44000</v>
      </c>
      <c r="P21" s="17">
        <f t="shared" si="2"/>
        <v>96800.000000000015</v>
      </c>
      <c r="Q21" s="15">
        <f t="shared" si="3"/>
        <v>0</v>
      </c>
      <c r="R21" s="17">
        <f t="shared" si="4"/>
        <v>0</v>
      </c>
      <c r="S21" s="13"/>
    </row>
    <row r="22" spans="1:19" x14ac:dyDescent="0.25">
      <c r="A22" s="4" t="s">
        <v>131</v>
      </c>
      <c r="B22" s="5" t="s">
        <v>124</v>
      </c>
      <c r="C22" s="4" t="s">
        <v>13</v>
      </c>
      <c r="D22" s="5" t="s">
        <v>132</v>
      </c>
      <c r="E22" s="4" t="s">
        <v>30</v>
      </c>
      <c r="F22" s="4" t="s">
        <v>31</v>
      </c>
      <c r="G22" s="4" t="s">
        <v>16</v>
      </c>
      <c r="H22" s="12">
        <v>2</v>
      </c>
      <c r="I22" s="7">
        <v>38000</v>
      </c>
      <c r="J22" s="7">
        <f t="shared" si="0"/>
        <v>76000</v>
      </c>
      <c r="K22" s="8" t="s">
        <v>17</v>
      </c>
      <c r="L22" t="str">
        <f>IFERROR(VLOOKUP(F22,MÃ!$A:$B,2,0),0)</f>
        <v>NL300054</v>
      </c>
      <c r="M22" t="str">
        <f t="shared" si="1"/>
        <v>01/01/2026NL300054</v>
      </c>
      <c r="N22" s="15">
        <f>IFERROR(VLOOKUP(M22,'WS3'!$B$2:$Q$437,11,0),0)</f>
        <v>2</v>
      </c>
      <c r="O22" s="17">
        <f>IFERROR(VLOOKUP(M22,'WS3'!$B$2:$Q$437,12,0),0)</f>
        <v>38000</v>
      </c>
      <c r="P22" s="17">
        <f t="shared" si="2"/>
        <v>76000</v>
      </c>
      <c r="Q22" s="15">
        <f t="shared" si="3"/>
        <v>0</v>
      </c>
      <c r="R22" s="17">
        <f t="shared" si="4"/>
        <v>0</v>
      </c>
      <c r="S22" s="13"/>
    </row>
    <row r="23" spans="1:19" x14ac:dyDescent="0.25">
      <c r="A23" s="4" t="s">
        <v>131</v>
      </c>
      <c r="B23" s="5" t="s">
        <v>124</v>
      </c>
      <c r="C23" s="4" t="s">
        <v>13</v>
      </c>
      <c r="D23" s="5" t="s">
        <v>132</v>
      </c>
      <c r="E23" s="4" t="s">
        <v>32</v>
      </c>
      <c r="F23" s="4" t="s">
        <v>33</v>
      </c>
      <c r="G23" s="4" t="s">
        <v>16</v>
      </c>
      <c r="H23" s="12">
        <v>0.15</v>
      </c>
      <c r="I23" s="7">
        <v>25000</v>
      </c>
      <c r="J23" s="7">
        <f t="shared" si="0"/>
        <v>3750</v>
      </c>
      <c r="K23" s="8" t="s">
        <v>17</v>
      </c>
      <c r="L23" t="str">
        <f>IFERROR(VLOOKUP(F23,MÃ!$A:$B,2,0),0)</f>
        <v>NL300035</v>
      </c>
      <c r="M23" t="str">
        <f t="shared" si="1"/>
        <v>01/01/2026NL300035</v>
      </c>
      <c r="N23" s="15">
        <f>IFERROR(VLOOKUP(M23,'WS3'!$B$2:$Q$437,11,0),0)</f>
        <v>0.15</v>
      </c>
      <c r="O23" s="17">
        <f>IFERROR(VLOOKUP(M23,'WS3'!$B$2:$Q$437,12,0),0)</f>
        <v>25000</v>
      </c>
      <c r="P23" s="17">
        <f t="shared" si="2"/>
        <v>3750</v>
      </c>
      <c r="Q23" s="15">
        <f t="shared" si="3"/>
        <v>0</v>
      </c>
      <c r="R23" s="17">
        <f t="shared" si="4"/>
        <v>0</v>
      </c>
      <c r="S23" s="13"/>
    </row>
    <row r="24" spans="1:19" x14ac:dyDescent="0.25">
      <c r="A24" s="4" t="s">
        <v>131</v>
      </c>
      <c r="B24" s="5" t="s">
        <v>124</v>
      </c>
      <c r="C24" s="4" t="s">
        <v>13</v>
      </c>
      <c r="D24" s="5" t="s">
        <v>132</v>
      </c>
      <c r="E24" s="4" t="s">
        <v>95</v>
      </c>
      <c r="F24" s="4" t="s">
        <v>96</v>
      </c>
      <c r="G24" s="4" t="s">
        <v>16</v>
      </c>
      <c r="H24" s="12">
        <v>1</v>
      </c>
      <c r="I24" s="7">
        <v>47000</v>
      </c>
      <c r="J24" s="7">
        <f t="shared" si="0"/>
        <v>47000</v>
      </c>
      <c r="K24" s="8" t="s">
        <v>17</v>
      </c>
      <c r="L24" t="str">
        <f>IFERROR(VLOOKUP(F24,MÃ!$A:$B,2,0),0)</f>
        <v>NL300036</v>
      </c>
      <c r="M24" t="str">
        <f t="shared" si="1"/>
        <v>01/01/2026NL300036</v>
      </c>
      <c r="N24" s="15">
        <f>IFERROR(VLOOKUP(M24,'WS3'!$B$2:$Q$437,11,0),0)</f>
        <v>1</v>
      </c>
      <c r="O24" s="17">
        <f>IFERROR(VLOOKUP(M24,'WS3'!$B$2:$Q$437,12,0),0)</f>
        <v>47000</v>
      </c>
      <c r="P24" s="17">
        <f t="shared" si="2"/>
        <v>47000</v>
      </c>
      <c r="Q24" s="15">
        <f t="shared" si="3"/>
        <v>0</v>
      </c>
      <c r="R24" s="17">
        <f t="shared" si="4"/>
        <v>0</v>
      </c>
      <c r="S24" s="13"/>
    </row>
    <row r="25" spans="1:19" x14ac:dyDescent="0.25">
      <c r="A25" s="4" t="s">
        <v>131</v>
      </c>
      <c r="B25" s="5" t="s">
        <v>124</v>
      </c>
      <c r="C25" s="4" t="s">
        <v>13</v>
      </c>
      <c r="D25" s="5" t="s">
        <v>132</v>
      </c>
      <c r="E25" s="4" t="s">
        <v>34</v>
      </c>
      <c r="F25" s="4" t="s">
        <v>35</v>
      </c>
      <c r="G25" s="4" t="s">
        <v>16</v>
      </c>
      <c r="H25" s="12">
        <v>5</v>
      </c>
      <c r="I25" s="7">
        <v>32000</v>
      </c>
      <c r="J25" s="7">
        <f t="shared" si="0"/>
        <v>160000</v>
      </c>
      <c r="K25" s="8" t="s">
        <v>17</v>
      </c>
      <c r="L25" t="str">
        <f>IFERROR(VLOOKUP(F25,MÃ!$A:$B,2,0),0)</f>
        <v>NL300038</v>
      </c>
      <c r="M25" t="str">
        <f t="shared" si="1"/>
        <v>01/01/2026NL300038</v>
      </c>
      <c r="N25" s="15">
        <f>IFERROR(VLOOKUP(M25,'WS3'!$B$2:$Q$437,11,0),0)</f>
        <v>5</v>
      </c>
      <c r="O25" s="17">
        <f>IFERROR(VLOOKUP(M25,'WS3'!$B$2:$Q$437,12,0),0)</f>
        <v>32000</v>
      </c>
      <c r="P25" s="17">
        <f t="shared" si="2"/>
        <v>160000</v>
      </c>
      <c r="Q25" s="15">
        <f t="shared" si="3"/>
        <v>0</v>
      </c>
      <c r="R25" s="17">
        <f t="shared" si="4"/>
        <v>0</v>
      </c>
      <c r="S25" s="13"/>
    </row>
    <row r="26" spans="1:19" ht="28.5" x14ac:dyDescent="0.25">
      <c r="A26" s="4" t="s">
        <v>131</v>
      </c>
      <c r="B26" s="5" t="s">
        <v>124</v>
      </c>
      <c r="C26" s="4" t="s">
        <v>13</v>
      </c>
      <c r="D26" s="5" t="s">
        <v>132</v>
      </c>
      <c r="E26" s="4" t="s">
        <v>97</v>
      </c>
      <c r="F26" s="4" t="s">
        <v>98</v>
      </c>
      <c r="G26" s="4" t="s">
        <v>99</v>
      </c>
      <c r="H26" s="12">
        <v>9</v>
      </c>
      <c r="I26" s="7">
        <v>15000</v>
      </c>
      <c r="J26" s="7">
        <f t="shared" si="0"/>
        <v>135000</v>
      </c>
      <c r="K26" s="8" t="s">
        <v>17</v>
      </c>
      <c r="L26" t="str">
        <f>IFERROR(VLOOKUP(F26,MÃ!$A:$B,2,0),0)</f>
        <v>NL300041</v>
      </c>
      <c r="M26" t="str">
        <f t="shared" si="1"/>
        <v>01/01/2026NL300041</v>
      </c>
      <c r="N26" s="15">
        <f>IFERROR(VLOOKUP(M26,'WS3'!$B$2:$Q$437,11,0),0)</f>
        <v>9</v>
      </c>
      <c r="O26" s="17">
        <f>IFERROR(VLOOKUP(M26,'WS3'!$B$2:$Q$437,12,0),0)</f>
        <v>15000</v>
      </c>
      <c r="P26" s="17">
        <f t="shared" si="2"/>
        <v>135000</v>
      </c>
      <c r="Q26" s="15">
        <f t="shared" si="3"/>
        <v>0</v>
      </c>
      <c r="R26" s="17">
        <f t="shared" si="4"/>
        <v>0</v>
      </c>
      <c r="S26" s="13"/>
    </row>
    <row r="27" spans="1:19" x14ac:dyDescent="0.25">
      <c r="A27" s="4" t="s">
        <v>131</v>
      </c>
      <c r="B27" s="5" t="s">
        <v>124</v>
      </c>
      <c r="C27" s="4" t="s">
        <v>13</v>
      </c>
      <c r="D27" s="5" t="s">
        <v>132</v>
      </c>
      <c r="E27" s="4" t="s">
        <v>36</v>
      </c>
      <c r="F27" s="4" t="s">
        <v>37</v>
      </c>
      <c r="G27" s="4" t="s">
        <v>16</v>
      </c>
      <c r="H27" s="12">
        <v>47</v>
      </c>
      <c r="I27" s="7">
        <v>18000</v>
      </c>
      <c r="J27" s="7">
        <f t="shared" si="0"/>
        <v>846000</v>
      </c>
      <c r="K27" s="8" t="s">
        <v>17</v>
      </c>
      <c r="L27" t="str">
        <f>IFERROR(VLOOKUP(F27,MÃ!$A:$B,2,0),0)</f>
        <v>NL600004</v>
      </c>
      <c r="M27" t="str">
        <f t="shared" si="1"/>
        <v>01/01/2026NL600004</v>
      </c>
      <c r="N27" s="15">
        <f>IFERROR(VLOOKUP(M27,'WS3'!$B$2:$Q$437,11,0),0)</f>
        <v>47</v>
      </c>
      <c r="O27" s="17">
        <f>IFERROR(VLOOKUP(M27,'WS3'!$B$2:$Q$437,12,0),0)</f>
        <v>18000</v>
      </c>
      <c r="P27" s="17">
        <f t="shared" si="2"/>
        <v>846000</v>
      </c>
      <c r="Q27" s="15">
        <f t="shared" si="3"/>
        <v>0</v>
      </c>
      <c r="R27" s="17">
        <f t="shared" si="4"/>
        <v>0</v>
      </c>
      <c r="S27" s="13"/>
    </row>
    <row r="28" spans="1:19" x14ac:dyDescent="0.25">
      <c r="A28" s="4" t="s">
        <v>131</v>
      </c>
      <c r="B28" s="5" t="s">
        <v>124</v>
      </c>
      <c r="C28" s="4" t="s">
        <v>13</v>
      </c>
      <c r="D28" s="5" t="s">
        <v>132</v>
      </c>
      <c r="E28" s="4" t="s">
        <v>38</v>
      </c>
      <c r="F28" s="4" t="s">
        <v>39</v>
      </c>
      <c r="G28" s="4" t="s">
        <v>16</v>
      </c>
      <c r="H28" s="12">
        <v>6</v>
      </c>
      <c r="I28" s="7">
        <v>55000</v>
      </c>
      <c r="J28" s="7">
        <f t="shared" si="0"/>
        <v>330000</v>
      </c>
      <c r="K28" s="8" t="s">
        <v>17</v>
      </c>
      <c r="L28" t="str">
        <f>IFERROR(VLOOKUP(F28,MÃ!$A:$B,2,0),0)</f>
        <v>NL300058</v>
      </c>
      <c r="M28" t="str">
        <f t="shared" si="1"/>
        <v>01/01/2026NL300058</v>
      </c>
      <c r="N28" s="15">
        <f>IFERROR(VLOOKUP(M28,'WS3'!$B$2:$Q$437,11,0),0)</f>
        <v>4.5</v>
      </c>
      <c r="O28" s="17">
        <f>IFERROR(VLOOKUP(M28,'WS3'!$B$2:$Q$437,12,0),0)</f>
        <v>55000</v>
      </c>
      <c r="P28" s="17">
        <f t="shared" si="2"/>
        <v>247500</v>
      </c>
      <c r="Q28" s="15">
        <f t="shared" si="3"/>
        <v>1.5</v>
      </c>
      <c r="R28" s="17">
        <f t="shared" si="4"/>
        <v>0</v>
      </c>
      <c r="S28" s="13" t="s">
        <v>543</v>
      </c>
    </row>
    <row r="29" spans="1:19" x14ac:dyDescent="0.25">
      <c r="A29" s="4" t="s">
        <v>131</v>
      </c>
      <c r="B29" s="5" t="s">
        <v>124</v>
      </c>
      <c r="C29" s="4" t="s">
        <v>13</v>
      </c>
      <c r="D29" s="5" t="s">
        <v>132</v>
      </c>
      <c r="E29" s="4" t="s">
        <v>113</v>
      </c>
      <c r="F29" s="4" t="s">
        <v>114</v>
      </c>
      <c r="G29" s="4" t="s">
        <v>16</v>
      </c>
      <c r="H29" s="12">
        <v>0.6</v>
      </c>
      <c r="I29" s="7">
        <v>13000</v>
      </c>
      <c r="J29" s="7">
        <f t="shared" si="0"/>
        <v>7800</v>
      </c>
      <c r="K29" s="8" t="s">
        <v>17</v>
      </c>
      <c r="L29" t="str">
        <f>IFERROR(VLOOKUP(F29,MÃ!$A:$B,2,0),0)</f>
        <v>NL300059</v>
      </c>
      <c r="M29" t="str">
        <f t="shared" si="1"/>
        <v>01/01/2026NL300059</v>
      </c>
      <c r="N29" s="15">
        <f>IFERROR(VLOOKUP(M29,'WS3'!$B$2:$Q$437,11,0),0)</f>
        <v>0.6</v>
      </c>
      <c r="O29" s="17">
        <f>IFERROR(VLOOKUP(M29,'WS3'!$B$2:$Q$437,12,0),0)</f>
        <v>13000</v>
      </c>
      <c r="P29" s="17">
        <f t="shared" si="2"/>
        <v>7800</v>
      </c>
      <c r="Q29" s="15">
        <f t="shared" si="3"/>
        <v>0</v>
      </c>
      <c r="R29" s="17">
        <f t="shared" si="4"/>
        <v>0</v>
      </c>
      <c r="S29" s="13"/>
    </row>
    <row r="30" spans="1:19" x14ac:dyDescent="0.25">
      <c r="A30" s="4" t="s">
        <v>131</v>
      </c>
      <c r="B30" s="5" t="s">
        <v>124</v>
      </c>
      <c r="C30" s="4" t="s">
        <v>13</v>
      </c>
      <c r="D30" s="5" t="s">
        <v>132</v>
      </c>
      <c r="E30" s="4" t="s">
        <v>40</v>
      </c>
      <c r="F30" s="4" t="s">
        <v>41</v>
      </c>
      <c r="G30" s="4" t="s">
        <v>16</v>
      </c>
      <c r="H30" s="12">
        <v>0.5</v>
      </c>
      <c r="I30" s="7">
        <v>80000</v>
      </c>
      <c r="J30" s="7">
        <f t="shared" si="0"/>
        <v>40000</v>
      </c>
      <c r="K30" s="8" t="s">
        <v>17</v>
      </c>
      <c r="L30" t="str">
        <f>IFERROR(VLOOKUP(F30,MÃ!$A:$B,2,0),0)</f>
        <v>NL300055</v>
      </c>
      <c r="M30" t="str">
        <f t="shared" si="1"/>
        <v>01/01/2026NL300055</v>
      </c>
      <c r="N30" s="15">
        <f>IFERROR(VLOOKUP(M30,'WS3'!$B$2:$Q$437,11,0),0)</f>
        <v>0.5</v>
      </c>
      <c r="O30" s="17">
        <f>IFERROR(VLOOKUP(M30,'WS3'!$B$2:$Q$437,12,0),0)</f>
        <v>80000</v>
      </c>
      <c r="P30" s="17">
        <f t="shared" si="2"/>
        <v>40000</v>
      </c>
      <c r="Q30" s="15">
        <f t="shared" si="3"/>
        <v>0</v>
      </c>
      <c r="R30" s="17">
        <f t="shared" si="4"/>
        <v>0</v>
      </c>
      <c r="S30" s="13"/>
    </row>
    <row r="31" spans="1:19" x14ac:dyDescent="0.25">
      <c r="A31" s="4" t="s">
        <v>131</v>
      </c>
      <c r="B31" s="5" t="s">
        <v>124</v>
      </c>
      <c r="C31" s="4" t="s">
        <v>13</v>
      </c>
      <c r="D31" s="5" t="s">
        <v>132</v>
      </c>
      <c r="E31" s="4" t="s">
        <v>67</v>
      </c>
      <c r="F31" s="4" t="s">
        <v>68</v>
      </c>
      <c r="G31" s="4" t="s">
        <v>16</v>
      </c>
      <c r="H31" s="12">
        <v>0.5</v>
      </c>
      <c r="I31" s="7">
        <v>18000</v>
      </c>
      <c r="J31" s="7">
        <f t="shared" si="0"/>
        <v>9000</v>
      </c>
      <c r="K31" s="8" t="s">
        <v>17</v>
      </c>
      <c r="L31" t="str">
        <f>IFERROR(VLOOKUP(F31,MÃ!$A:$B,2,0),0)</f>
        <v>NL300184</v>
      </c>
      <c r="M31" t="str">
        <f t="shared" si="1"/>
        <v>01/01/2026NL300184</v>
      </c>
      <c r="N31" s="15">
        <f>IFERROR(VLOOKUP(M31,'WS3'!$B$2:$Q$437,11,0),0)</f>
        <v>0.5</v>
      </c>
      <c r="O31" s="17">
        <f>IFERROR(VLOOKUP(M31,'WS3'!$B$2:$Q$437,12,0),0)</f>
        <v>18000</v>
      </c>
      <c r="P31" s="17">
        <f t="shared" si="2"/>
        <v>9000</v>
      </c>
      <c r="Q31" s="15">
        <f t="shared" si="3"/>
        <v>0</v>
      </c>
      <c r="R31" s="17">
        <f t="shared" si="4"/>
        <v>0</v>
      </c>
      <c r="S31" s="13"/>
    </row>
    <row r="32" spans="1:19" x14ac:dyDescent="0.25">
      <c r="A32" s="4" t="s">
        <v>131</v>
      </c>
      <c r="B32" s="5" t="s">
        <v>124</v>
      </c>
      <c r="C32" s="4" t="s">
        <v>13</v>
      </c>
      <c r="D32" s="5" t="s">
        <v>132</v>
      </c>
      <c r="E32" s="4" t="s">
        <v>14</v>
      </c>
      <c r="F32" s="4" t="s">
        <v>15</v>
      </c>
      <c r="G32" s="4" t="s">
        <v>16</v>
      </c>
      <c r="H32" s="12">
        <v>14</v>
      </c>
      <c r="I32" s="7">
        <v>27000</v>
      </c>
      <c r="J32" s="7">
        <f t="shared" si="0"/>
        <v>378000</v>
      </c>
      <c r="K32" s="8" t="s">
        <v>17</v>
      </c>
      <c r="L32" t="str">
        <f>IFERROR(VLOOKUP(F32,MÃ!$A:$B,2,0),0)</f>
        <v>NL300088</v>
      </c>
      <c r="M32" t="str">
        <f t="shared" si="1"/>
        <v>01/01/2026NL300088</v>
      </c>
      <c r="N32" s="15">
        <f>IFERROR(VLOOKUP(M32,'WS3'!$B$2:$Q$437,11,0),0)</f>
        <v>7</v>
      </c>
      <c r="O32" s="17">
        <f>IFERROR(VLOOKUP(M32,'WS3'!$B$2:$Q$437,12,0),0)</f>
        <v>27000</v>
      </c>
      <c r="P32" s="17">
        <f t="shared" si="2"/>
        <v>189000</v>
      </c>
      <c r="Q32" s="15">
        <f t="shared" si="3"/>
        <v>7</v>
      </c>
      <c r="R32" s="17">
        <f t="shared" si="4"/>
        <v>0</v>
      </c>
      <c r="S32" s="13" t="s">
        <v>543</v>
      </c>
    </row>
    <row r="33" spans="1:19" ht="28.5" x14ac:dyDescent="0.25">
      <c r="A33" s="4" t="s">
        <v>131</v>
      </c>
      <c r="B33" s="5" t="s">
        <v>124</v>
      </c>
      <c r="C33" s="4" t="s">
        <v>13</v>
      </c>
      <c r="D33" s="5" t="s">
        <v>132</v>
      </c>
      <c r="E33" s="4" t="s">
        <v>69</v>
      </c>
      <c r="F33" s="4" t="s">
        <v>70</v>
      </c>
      <c r="G33" s="4" t="s">
        <v>16</v>
      </c>
      <c r="H33" s="12">
        <v>7</v>
      </c>
      <c r="I33" s="7">
        <v>145000</v>
      </c>
      <c r="J33" s="7">
        <f t="shared" si="0"/>
        <v>1015000</v>
      </c>
      <c r="K33" s="8" t="s">
        <v>17</v>
      </c>
      <c r="L33" t="str">
        <f>IFERROR(VLOOKUP(F33,MÃ!$A:$B,2,0),0)</f>
        <v>NL300090</v>
      </c>
      <c r="M33" t="str">
        <f t="shared" si="1"/>
        <v>01/01/2026NL300090</v>
      </c>
      <c r="N33" s="15">
        <f>IFERROR(VLOOKUP(M33,'WS3'!$B$2:$Q$437,11,0),0)</f>
        <v>6.7</v>
      </c>
      <c r="O33" s="17">
        <f>IFERROR(VLOOKUP(M33,'WS3'!$B$2:$Q$437,12,0),0)</f>
        <v>145000</v>
      </c>
      <c r="P33" s="17">
        <f t="shared" si="2"/>
        <v>971500</v>
      </c>
      <c r="Q33" s="15">
        <f t="shared" si="3"/>
        <v>0.29999999999999982</v>
      </c>
      <c r="R33" s="17">
        <f t="shared" si="4"/>
        <v>0</v>
      </c>
      <c r="S33" s="13" t="s">
        <v>543</v>
      </c>
    </row>
    <row r="34" spans="1:19" x14ac:dyDescent="0.25">
      <c r="A34" s="4" t="s">
        <v>131</v>
      </c>
      <c r="B34" s="5" t="s">
        <v>124</v>
      </c>
      <c r="C34" s="4" t="s">
        <v>13</v>
      </c>
      <c r="D34" s="5" t="s">
        <v>132</v>
      </c>
      <c r="E34" s="4" t="s">
        <v>71</v>
      </c>
      <c r="F34" s="4" t="s">
        <v>72</v>
      </c>
      <c r="G34" s="4" t="s">
        <v>16</v>
      </c>
      <c r="H34" s="12">
        <v>5</v>
      </c>
      <c r="I34" s="7">
        <v>47000</v>
      </c>
      <c r="J34" s="7">
        <f t="shared" si="0"/>
        <v>235000</v>
      </c>
      <c r="K34" s="8" t="s">
        <v>17</v>
      </c>
      <c r="L34" t="str">
        <f>IFERROR(VLOOKUP(F34,MÃ!$A:$B,2,0),0)</f>
        <v>NL300091</v>
      </c>
      <c r="M34" t="str">
        <f t="shared" si="1"/>
        <v>01/01/2026NL300091</v>
      </c>
      <c r="N34" s="15">
        <f>IFERROR(VLOOKUP(M34,'WS3'!$B$2:$Q$437,11,0),0)</f>
        <v>5</v>
      </c>
      <c r="O34" s="17">
        <f>IFERROR(VLOOKUP(M34,'WS3'!$B$2:$Q$437,12,0),0)</f>
        <v>47000</v>
      </c>
      <c r="P34" s="17">
        <f t="shared" si="2"/>
        <v>235000</v>
      </c>
      <c r="Q34" s="15">
        <f t="shared" si="3"/>
        <v>0</v>
      </c>
      <c r="R34" s="17">
        <f t="shared" si="4"/>
        <v>0</v>
      </c>
      <c r="S34" s="13"/>
    </row>
    <row r="35" spans="1:19" x14ac:dyDescent="0.25">
      <c r="A35" s="4" t="s">
        <v>131</v>
      </c>
      <c r="B35" s="5" t="s">
        <v>124</v>
      </c>
      <c r="C35" s="4" t="s">
        <v>13</v>
      </c>
      <c r="D35" s="5" t="s">
        <v>132</v>
      </c>
      <c r="E35" s="4" t="s">
        <v>73</v>
      </c>
      <c r="F35" s="4" t="s">
        <v>74</v>
      </c>
      <c r="G35" s="4" t="s">
        <v>16</v>
      </c>
      <c r="H35" s="12">
        <v>3</v>
      </c>
      <c r="I35" s="7">
        <v>90000</v>
      </c>
      <c r="J35" s="7">
        <f t="shared" si="0"/>
        <v>270000</v>
      </c>
      <c r="K35" s="8" t="s">
        <v>17</v>
      </c>
      <c r="L35" t="str">
        <f>IFERROR(VLOOKUP(F35,MÃ!$A:$B,2,0),0)</f>
        <v>NL300092</v>
      </c>
      <c r="M35" t="str">
        <f t="shared" si="1"/>
        <v>01/01/2026NL300092</v>
      </c>
      <c r="N35" s="15">
        <f>IFERROR(VLOOKUP(M35,'WS3'!$B$2:$Q$437,11,0),0)</f>
        <v>2.8</v>
      </c>
      <c r="O35" s="17">
        <f>IFERROR(VLOOKUP(M35,'WS3'!$B$2:$Q$437,12,0),0)</f>
        <v>90000</v>
      </c>
      <c r="P35" s="17">
        <f t="shared" si="2"/>
        <v>251999.99999999997</v>
      </c>
      <c r="Q35" s="15">
        <f t="shared" si="3"/>
        <v>0.20000000000000018</v>
      </c>
      <c r="R35" s="17">
        <f t="shared" si="4"/>
        <v>0</v>
      </c>
      <c r="S35" s="13" t="s">
        <v>543</v>
      </c>
    </row>
    <row r="36" spans="1:19" x14ac:dyDescent="0.25">
      <c r="A36" s="4" t="s">
        <v>131</v>
      </c>
      <c r="B36" s="5" t="s">
        <v>124</v>
      </c>
      <c r="C36" s="4" t="s">
        <v>13</v>
      </c>
      <c r="D36" s="5" t="s">
        <v>132</v>
      </c>
      <c r="E36" s="4" t="s">
        <v>100</v>
      </c>
      <c r="F36" s="4" t="s">
        <v>101</v>
      </c>
      <c r="G36" s="4" t="s">
        <v>16</v>
      </c>
      <c r="H36" s="12">
        <v>1</v>
      </c>
      <c r="I36" s="7">
        <v>80000</v>
      </c>
      <c r="J36" s="7">
        <f t="shared" si="0"/>
        <v>80000</v>
      </c>
      <c r="K36" s="8" t="s">
        <v>17</v>
      </c>
      <c r="L36" t="str">
        <f>IFERROR(VLOOKUP(F36,MÃ!$A:$B,2,0),0)</f>
        <v>NL300094</v>
      </c>
      <c r="M36" t="str">
        <f t="shared" si="1"/>
        <v>01/01/2026NL300094</v>
      </c>
      <c r="N36" s="15">
        <f>IFERROR(VLOOKUP(M36,'WS3'!$B$2:$Q$437,11,0),0)</f>
        <v>0.8</v>
      </c>
      <c r="O36" s="17">
        <f>IFERROR(VLOOKUP(M36,'WS3'!$B$2:$Q$437,12,0),0)</f>
        <v>80000</v>
      </c>
      <c r="P36" s="17">
        <f t="shared" si="2"/>
        <v>64000</v>
      </c>
      <c r="Q36" s="15">
        <f t="shared" si="3"/>
        <v>0.19999999999999996</v>
      </c>
      <c r="R36" s="17">
        <f t="shared" si="4"/>
        <v>0</v>
      </c>
      <c r="S36" s="13" t="s">
        <v>543</v>
      </c>
    </row>
    <row r="37" spans="1:19" ht="28.5" x14ac:dyDescent="0.25">
      <c r="A37" s="4" t="s">
        <v>131</v>
      </c>
      <c r="B37" s="5" t="s">
        <v>124</v>
      </c>
      <c r="C37" s="4" t="s">
        <v>13</v>
      </c>
      <c r="D37" s="5" t="s">
        <v>132</v>
      </c>
      <c r="E37" s="4" t="s">
        <v>44</v>
      </c>
      <c r="F37" s="4" t="s">
        <v>45</v>
      </c>
      <c r="G37" s="4" t="s">
        <v>16</v>
      </c>
      <c r="H37" s="12">
        <v>8</v>
      </c>
      <c r="I37" s="7">
        <v>45000</v>
      </c>
      <c r="J37" s="7">
        <f t="shared" si="0"/>
        <v>360000</v>
      </c>
      <c r="K37" s="8" t="s">
        <v>17</v>
      </c>
      <c r="L37" t="str">
        <f>IFERROR(VLOOKUP(F37,MÃ!$A:$B,2,0),0)</f>
        <v>NL300096</v>
      </c>
      <c r="M37" t="str">
        <f t="shared" si="1"/>
        <v>01/01/2026NL300096</v>
      </c>
      <c r="N37" s="15">
        <f>IFERROR(VLOOKUP(M37,'WS3'!$B$2:$Q$437,11,0),0)</f>
        <v>7.6</v>
      </c>
      <c r="O37" s="17">
        <f>IFERROR(VLOOKUP(M37,'WS3'!$B$2:$Q$437,12,0),0)</f>
        <v>45000</v>
      </c>
      <c r="P37" s="17">
        <f t="shared" si="2"/>
        <v>342000</v>
      </c>
      <c r="Q37" s="15">
        <f t="shared" si="3"/>
        <v>0.40000000000000036</v>
      </c>
      <c r="R37" s="17">
        <f t="shared" si="4"/>
        <v>0</v>
      </c>
      <c r="S37" s="13" t="s">
        <v>543</v>
      </c>
    </row>
    <row r="38" spans="1:19" ht="28.5" x14ac:dyDescent="0.25">
      <c r="A38" s="4" t="s">
        <v>131</v>
      </c>
      <c r="B38" s="5" t="s">
        <v>124</v>
      </c>
      <c r="C38" s="4" t="s">
        <v>13</v>
      </c>
      <c r="D38" s="5" t="s">
        <v>132</v>
      </c>
      <c r="E38" s="4" t="s">
        <v>75</v>
      </c>
      <c r="F38" s="4" t="s">
        <v>76</v>
      </c>
      <c r="G38" s="4" t="s">
        <v>16</v>
      </c>
      <c r="H38" s="12">
        <v>1</v>
      </c>
      <c r="I38" s="7">
        <v>90000</v>
      </c>
      <c r="J38" s="7">
        <f t="shared" si="0"/>
        <v>90000</v>
      </c>
      <c r="K38" s="8" t="s">
        <v>17</v>
      </c>
      <c r="L38" t="str">
        <f>IFERROR(VLOOKUP(F38,MÃ!$A:$B,2,0),0)</f>
        <v>NL300097</v>
      </c>
      <c r="M38" t="str">
        <f t="shared" si="1"/>
        <v>01/01/2026NL300097</v>
      </c>
      <c r="N38" s="15">
        <f>IFERROR(VLOOKUP(M38,'WS3'!$B$2:$Q$437,11,0),0)</f>
        <v>1</v>
      </c>
      <c r="O38" s="17">
        <f>IFERROR(VLOOKUP(M38,'WS3'!$B$2:$Q$437,12,0),0)</f>
        <v>90000</v>
      </c>
      <c r="P38" s="17">
        <f t="shared" si="2"/>
        <v>90000</v>
      </c>
      <c r="Q38" s="15">
        <f t="shared" si="3"/>
        <v>0</v>
      </c>
      <c r="R38" s="17">
        <f t="shared" si="4"/>
        <v>0</v>
      </c>
      <c r="S38" s="13"/>
    </row>
    <row r="39" spans="1:19" x14ac:dyDescent="0.25">
      <c r="A39" s="4" t="s">
        <v>131</v>
      </c>
      <c r="B39" s="5" t="s">
        <v>124</v>
      </c>
      <c r="C39" s="4" t="s">
        <v>13</v>
      </c>
      <c r="D39" s="5" t="s">
        <v>132</v>
      </c>
      <c r="E39" s="4" t="s">
        <v>77</v>
      </c>
      <c r="F39" s="4" t="s">
        <v>78</v>
      </c>
      <c r="G39" s="4" t="s">
        <v>16</v>
      </c>
      <c r="H39" s="12">
        <v>4</v>
      </c>
      <c r="I39" s="7">
        <v>45000</v>
      </c>
      <c r="J39" s="7">
        <f t="shared" si="0"/>
        <v>180000</v>
      </c>
      <c r="K39" s="8" t="s">
        <v>17</v>
      </c>
      <c r="L39" t="str">
        <f>IFERROR(VLOOKUP(F39,MÃ!$A:$B,2,0),0)</f>
        <v>NL300085</v>
      </c>
      <c r="M39" t="str">
        <f t="shared" si="1"/>
        <v>01/01/2026NL300085</v>
      </c>
      <c r="N39" s="15">
        <f>IFERROR(VLOOKUP(M39,'WS3'!$B$2:$Q$437,11,0),0)</f>
        <v>2.5</v>
      </c>
      <c r="O39" s="17">
        <f>IFERROR(VLOOKUP(M39,'WS3'!$B$2:$Q$437,12,0),0)</f>
        <v>45000</v>
      </c>
      <c r="P39" s="17">
        <f t="shared" si="2"/>
        <v>112500</v>
      </c>
      <c r="Q39" s="15">
        <f t="shared" si="3"/>
        <v>1.5</v>
      </c>
      <c r="R39" s="17">
        <f t="shared" si="4"/>
        <v>0</v>
      </c>
      <c r="S39" s="13" t="s">
        <v>543</v>
      </c>
    </row>
    <row r="40" spans="1:19" x14ac:dyDescent="0.25">
      <c r="A40" s="4" t="s">
        <v>131</v>
      </c>
      <c r="B40" s="5" t="s">
        <v>124</v>
      </c>
      <c r="C40" s="4" t="s">
        <v>13</v>
      </c>
      <c r="D40" s="5" t="s">
        <v>132</v>
      </c>
      <c r="E40" s="4" t="s">
        <v>79</v>
      </c>
      <c r="F40" s="4" t="s">
        <v>80</v>
      </c>
      <c r="G40" s="4" t="s">
        <v>16</v>
      </c>
      <c r="H40" s="12">
        <v>0.1</v>
      </c>
      <c r="I40" s="7">
        <v>70000</v>
      </c>
      <c r="J40" s="7">
        <f t="shared" si="0"/>
        <v>7000</v>
      </c>
      <c r="K40" s="8" t="s">
        <v>17</v>
      </c>
      <c r="L40" t="str">
        <f>IFERROR(VLOOKUP(F40,MÃ!$A:$B,2,0),0)</f>
        <v>NL300126</v>
      </c>
      <c r="M40" t="str">
        <f t="shared" si="1"/>
        <v>01/01/2026NL300126</v>
      </c>
      <c r="N40" s="15">
        <f>IFERROR(VLOOKUP(M40,'WS3'!$B$2:$Q$437,11,0),0)</f>
        <v>0.1</v>
      </c>
      <c r="O40" s="17">
        <f>IFERROR(VLOOKUP(M40,'WS3'!$B$2:$Q$437,12,0),0)</f>
        <v>70000</v>
      </c>
      <c r="P40" s="17">
        <f t="shared" si="2"/>
        <v>7000</v>
      </c>
      <c r="Q40" s="15">
        <f t="shared" si="3"/>
        <v>0</v>
      </c>
      <c r="R40" s="17">
        <f t="shared" si="4"/>
        <v>0</v>
      </c>
      <c r="S40" s="13"/>
    </row>
    <row r="41" spans="1:19" x14ac:dyDescent="0.25">
      <c r="A41" s="4" t="s">
        <v>131</v>
      </c>
      <c r="B41" s="5" t="s">
        <v>124</v>
      </c>
      <c r="C41" s="4" t="s">
        <v>13</v>
      </c>
      <c r="D41" s="5" t="s">
        <v>132</v>
      </c>
      <c r="E41" s="4" t="s">
        <v>102</v>
      </c>
      <c r="F41" s="4" t="s">
        <v>103</v>
      </c>
      <c r="G41" s="4" t="s">
        <v>16</v>
      </c>
      <c r="H41" s="12">
        <v>2</v>
      </c>
      <c r="I41" s="7">
        <v>145000</v>
      </c>
      <c r="J41" s="7">
        <f t="shared" si="0"/>
        <v>290000</v>
      </c>
      <c r="K41" s="8" t="s">
        <v>17</v>
      </c>
      <c r="L41" t="str">
        <f>IFERROR(VLOOKUP(F41,MÃ!$A:$B,2,0),0)</f>
        <v>NL300113</v>
      </c>
      <c r="M41" t="str">
        <f t="shared" si="1"/>
        <v>01/01/2026NL300113</v>
      </c>
      <c r="N41" s="15">
        <f>IFERROR(VLOOKUP(M41,'WS3'!$B$2:$Q$437,11,0),0)</f>
        <v>2</v>
      </c>
      <c r="O41" s="17">
        <f>IFERROR(VLOOKUP(M41,'WS3'!$B$2:$Q$437,12,0),0)</f>
        <v>145000</v>
      </c>
      <c r="P41" s="17">
        <f t="shared" si="2"/>
        <v>290000</v>
      </c>
      <c r="Q41" s="15">
        <f t="shared" si="3"/>
        <v>0</v>
      </c>
      <c r="R41" s="17">
        <f t="shared" si="4"/>
        <v>0</v>
      </c>
      <c r="S41" s="13"/>
    </row>
    <row r="42" spans="1:19" x14ac:dyDescent="0.25">
      <c r="A42" s="4" t="s">
        <v>131</v>
      </c>
      <c r="B42" s="5" t="s">
        <v>124</v>
      </c>
      <c r="C42" s="4" t="s">
        <v>13</v>
      </c>
      <c r="D42" s="5" t="s">
        <v>132</v>
      </c>
      <c r="E42" s="4" t="s">
        <v>46</v>
      </c>
      <c r="F42" s="4" t="s">
        <v>47</v>
      </c>
      <c r="G42" s="4" t="s">
        <v>16</v>
      </c>
      <c r="H42" s="12">
        <v>0.3</v>
      </c>
      <c r="I42" s="7">
        <v>148000</v>
      </c>
      <c r="J42" s="7">
        <f t="shared" si="0"/>
        <v>44400</v>
      </c>
      <c r="K42" s="8" t="s">
        <v>17</v>
      </c>
      <c r="L42" t="str">
        <f>IFERROR(VLOOKUP(F42,MÃ!$A:$B,2,0),0)</f>
        <v>NL300116</v>
      </c>
      <c r="M42" t="str">
        <f t="shared" si="1"/>
        <v>01/01/2026NL300116</v>
      </c>
      <c r="N42" s="15">
        <f>IFERROR(VLOOKUP(M42,'WS3'!$B$2:$Q$437,11,0),0)</f>
        <v>0.3</v>
      </c>
      <c r="O42" s="17">
        <f>IFERROR(VLOOKUP(M42,'WS3'!$B$2:$Q$437,12,0),0)</f>
        <v>148000</v>
      </c>
      <c r="P42" s="17">
        <f t="shared" si="2"/>
        <v>44400</v>
      </c>
      <c r="Q42" s="15">
        <f t="shared" si="3"/>
        <v>0</v>
      </c>
      <c r="R42" s="17">
        <f t="shared" si="4"/>
        <v>0</v>
      </c>
      <c r="S42" s="13"/>
    </row>
    <row r="43" spans="1:19" x14ac:dyDescent="0.25">
      <c r="A43" s="4" t="s">
        <v>131</v>
      </c>
      <c r="B43" s="5" t="s">
        <v>124</v>
      </c>
      <c r="C43" s="4" t="s">
        <v>13</v>
      </c>
      <c r="D43" s="5" t="s">
        <v>132</v>
      </c>
      <c r="E43" s="4" t="s">
        <v>48</v>
      </c>
      <c r="F43" s="4" t="s">
        <v>49</v>
      </c>
      <c r="G43" s="4" t="s">
        <v>16</v>
      </c>
      <c r="H43" s="12">
        <v>1</v>
      </c>
      <c r="I43" s="7">
        <v>42000</v>
      </c>
      <c r="J43" s="7">
        <f t="shared" si="0"/>
        <v>42000</v>
      </c>
      <c r="K43" s="8" t="s">
        <v>17</v>
      </c>
      <c r="L43" t="str">
        <f>IFERROR(VLOOKUP(F43,MÃ!$A:$B,2,0),0)</f>
        <v>NL300125</v>
      </c>
      <c r="M43" t="str">
        <f t="shared" si="1"/>
        <v>01/01/2026NL300125</v>
      </c>
      <c r="N43" s="15">
        <f>IFERROR(VLOOKUP(M43,'WS3'!$B$2:$Q$437,11,0),0)</f>
        <v>1</v>
      </c>
      <c r="O43" s="17">
        <f>IFERROR(VLOOKUP(M43,'WS3'!$B$2:$Q$437,12,0),0)</f>
        <v>42000</v>
      </c>
      <c r="P43" s="17">
        <f t="shared" si="2"/>
        <v>42000</v>
      </c>
      <c r="Q43" s="15">
        <f t="shared" si="3"/>
        <v>0</v>
      </c>
      <c r="R43" s="17">
        <f t="shared" si="4"/>
        <v>0</v>
      </c>
      <c r="S43" s="13"/>
    </row>
    <row r="44" spans="1:19" x14ac:dyDescent="0.25">
      <c r="A44" s="4" t="s">
        <v>131</v>
      </c>
      <c r="B44" s="5" t="s">
        <v>124</v>
      </c>
      <c r="C44" s="4" t="s">
        <v>13</v>
      </c>
      <c r="D44" s="5" t="s">
        <v>132</v>
      </c>
      <c r="E44" s="4" t="s">
        <v>50</v>
      </c>
      <c r="F44" s="4" t="s">
        <v>51</v>
      </c>
      <c r="G44" s="4" t="s">
        <v>16</v>
      </c>
      <c r="H44" s="12">
        <v>0.1</v>
      </c>
      <c r="I44" s="7">
        <v>22000</v>
      </c>
      <c r="J44" s="7">
        <f t="shared" si="0"/>
        <v>2200</v>
      </c>
      <c r="K44" s="8" t="s">
        <v>17</v>
      </c>
      <c r="L44" t="str">
        <f>IFERROR(VLOOKUP(F44,MÃ!$A:$B,2,0),0)</f>
        <v>NL300121</v>
      </c>
      <c r="M44" t="str">
        <f t="shared" si="1"/>
        <v>01/01/2026NL300121</v>
      </c>
      <c r="N44" s="15">
        <f>IFERROR(VLOOKUP(M44,'WS3'!$B$2:$Q$437,11,0),0)</f>
        <v>0.1</v>
      </c>
      <c r="O44" s="17">
        <f>IFERROR(VLOOKUP(M44,'WS3'!$B$2:$Q$437,12,0),0)</f>
        <v>22000</v>
      </c>
      <c r="P44" s="17">
        <f t="shared" si="2"/>
        <v>2200</v>
      </c>
      <c r="Q44" s="15">
        <f t="shared" si="3"/>
        <v>0</v>
      </c>
      <c r="R44" s="17">
        <f t="shared" si="4"/>
        <v>0</v>
      </c>
      <c r="S44" s="13"/>
    </row>
    <row r="45" spans="1:19" x14ac:dyDescent="0.25">
      <c r="A45" s="4" t="s">
        <v>131</v>
      </c>
      <c r="B45" s="5" t="s">
        <v>124</v>
      </c>
      <c r="C45" s="4" t="s">
        <v>13</v>
      </c>
      <c r="D45" s="5" t="s">
        <v>132</v>
      </c>
      <c r="E45" s="4" t="s">
        <v>133</v>
      </c>
      <c r="F45" s="4" t="s">
        <v>134</v>
      </c>
      <c r="G45" s="4" t="s">
        <v>16</v>
      </c>
      <c r="H45" s="12">
        <v>1</v>
      </c>
      <c r="I45" s="7">
        <v>36000</v>
      </c>
      <c r="J45" s="7">
        <f t="shared" si="0"/>
        <v>36000</v>
      </c>
      <c r="K45" s="8" t="s">
        <v>17</v>
      </c>
      <c r="L45" t="str">
        <f>IFERROR(VLOOKUP(F45,MÃ!$A:$B,2,0),0)</f>
        <v>NL300140</v>
      </c>
      <c r="M45" t="str">
        <f t="shared" si="1"/>
        <v>01/01/2026NL300140</v>
      </c>
      <c r="N45" s="15">
        <f>IFERROR(VLOOKUP(M45,'WS3'!$B$2:$Q$437,11,0),0)</f>
        <v>1</v>
      </c>
      <c r="O45" s="17">
        <f>IFERROR(VLOOKUP(M45,'WS3'!$B$2:$Q$437,12,0),0)</f>
        <v>36000</v>
      </c>
      <c r="P45" s="17">
        <f t="shared" si="2"/>
        <v>36000</v>
      </c>
      <c r="Q45" s="15">
        <f t="shared" si="3"/>
        <v>0</v>
      </c>
      <c r="R45" s="17">
        <f t="shared" si="4"/>
        <v>0</v>
      </c>
      <c r="S45" s="13"/>
    </row>
    <row r="46" spans="1:19" x14ac:dyDescent="0.25">
      <c r="A46" s="4" t="s">
        <v>131</v>
      </c>
      <c r="B46" s="5" t="s">
        <v>124</v>
      </c>
      <c r="C46" s="4" t="s">
        <v>13</v>
      </c>
      <c r="D46" s="5" t="s">
        <v>132</v>
      </c>
      <c r="E46" s="4" t="s">
        <v>81</v>
      </c>
      <c r="F46" s="4" t="s">
        <v>82</v>
      </c>
      <c r="G46" s="4" t="s">
        <v>16</v>
      </c>
      <c r="H46" s="12">
        <v>1</v>
      </c>
      <c r="I46" s="7">
        <v>12000</v>
      </c>
      <c r="J46" s="7">
        <f t="shared" si="0"/>
        <v>12000</v>
      </c>
      <c r="K46" s="8" t="s">
        <v>17</v>
      </c>
      <c r="L46" t="str">
        <f>IFERROR(VLOOKUP(F46,MÃ!$A:$B,2,0),0)</f>
        <v>NL300132</v>
      </c>
      <c r="M46" t="str">
        <f t="shared" si="1"/>
        <v>01/01/2026NL300132</v>
      </c>
      <c r="N46" s="15">
        <f>IFERROR(VLOOKUP(M46,'WS3'!$B$2:$Q$437,11,0),0)</f>
        <v>1</v>
      </c>
      <c r="O46" s="17">
        <f>IFERROR(VLOOKUP(M46,'WS3'!$B$2:$Q$437,12,0),0)</f>
        <v>12000</v>
      </c>
      <c r="P46" s="17">
        <f t="shared" si="2"/>
        <v>12000</v>
      </c>
      <c r="Q46" s="15">
        <f t="shared" si="3"/>
        <v>0</v>
      </c>
      <c r="R46" s="17">
        <f t="shared" si="4"/>
        <v>0</v>
      </c>
      <c r="S46" s="13"/>
    </row>
    <row r="47" spans="1:19" x14ac:dyDescent="0.25">
      <c r="A47" s="4" t="s">
        <v>131</v>
      </c>
      <c r="B47" s="5" t="s">
        <v>124</v>
      </c>
      <c r="C47" s="4" t="s">
        <v>13</v>
      </c>
      <c r="D47" s="5" t="s">
        <v>132</v>
      </c>
      <c r="E47" s="4" t="s">
        <v>52</v>
      </c>
      <c r="F47" s="4" t="s">
        <v>53</v>
      </c>
      <c r="G47" s="4" t="s">
        <v>16</v>
      </c>
      <c r="H47" s="12">
        <v>3</v>
      </c>
      <c r="I47" s="7">
        <v>21000</v>
      </c>
      <c r="J47" s="7">
        <f t="shared" si="0"/>
        <v>63000</v>
      </c>
      <c r="K47" s="8" t="s">
        <v>17</v>
      </c>
      <c r="L47" t="str">
        <f>IFERROR(VLOOKUP(F47,MÃ!$A:$B,2,0),0)</f>
        <v>NL300119</v>
      </c>
      <c r="M47" t="str">
        <f t="shared" si="1"/>
        <v>01/01/2026NL300119</v>
      </c>
      <c r="N47" s="15">
        <f>IFERROR(VLOOKUP(M47,'WS3'!$B$2:$Q$437,11,0),0)</f>
        <v>3</v>
      </c>
      <c r="O47" s="17">
        <f>IFERROR(VLOOKUP(M47,'WS3'!$B$2:$Q$437,12,0),0)</f>
        <v>21000</v>
      </c>
      <c r="P47" s="17">
        <f t="shared" si="2"/>
        <v>63000</v>
      </c>
      <c r="Q47" s="15">
        <f t="shared" si="3"/>
        <v>0</v>
      </c>
      <c r="R47" s="17">
        <f t="shared" si="4"/>
        <v>0</v>
      </c>
      <c r="S47" s="13"/>
    </row>
    <row r="48" spans="1:19" x14ac:dyDescent="0.25">
      <c r="A48" s="4" t="s">
        <v>131</v>
      </c>
      <c r="B48" s="5" t="s">
        <v>124</v>
      </c>
      <c r="C48" s="4" t="s">
        <v>13</v>
      </c>
      <c r="D48" s="5" t="s">
        <v>132</v>
      </c>
      <c r="E48" s="4" t="s">
        <v>85</v>
      </c>
      <c r="F48" s="4" t="s">
        <v>86</v>
      </c>
      <c r="G48" s="4" t="s">
        <v>16</v>
      </c>
      <c r="H48" s="12">
        <v>2</v>
      </c>
      <c r="I48" s="7">
        <v>50000</v>
      </c>
      <c r="J48" s="7">
        <f t="shared" si="0"/>
        <v>100000</v>
      </c>
      <c r="K48" s="8" t="s">
        <v>17</v>
      </c>
      <c r="L48" t="str">
        <f>IFERROR(VLOOKUP(F48,MÃ!$A:$B,2,0),0)</f>
        <v>NL300142</v>
      </c>
      <c r="M48" t="str">
        <f t="shared" si="1"/>
        <v>01/01/2026NL300142</v>
      </c>
      <c r="N48" s="15">
        <f>IFERROR(VLOOKUP(M48,'WS3'!$B$2:$Q$437,11,0),0)</f>
        <v>2</v>
      </c>
      <c r="O48" s="17">
        <f>IFERROR(VLOOKUP(M48,'WS3'!$B$2:$Q$437,12,0),0)</f>
        <v>50000</v>
      </c>
      <c r="P48" s="17">
        <f t="shared" si="2"/>
        <v>100000</v>
      </c>
      <c r="Q48" s="15">
        <f t="shared" si="3"/>
        <v>0</v>
      </c>
      <c r="R48" s="17">
        <f t="shared" si="4"/>
        <v>0</v>
      </c>
      <c r="S48" s="13"/>
    </row>
    <row r="49" spans="1:19" x14ac:dyDescent="0.25">
      <c r="A49" s="4" t="s">
        <v>131</v>
      </c>
      <c r="B49" s="5" t="s">
        <v>124</v>
      </c>
      <c r="C49" s="4" t="s">
        <v>13</v>
      </c>
      <c r="D49" s="5" t="s">
        <v>132</v>
      </c>
      <c r="E49" s="4" t="s">
        <v>135</v>
      </c>
      <c r="F49" s="4" t="s">
        <v>136</v>
      </c>
      <c r="G49" s="4" t="s">
        <v>108</v>
      </c>
      <c r="H49" s="12">
        <v>50</v>
      </c>
      <c r="I49" s="7">
        <v>9000</v>
      </c>
      <c r="J49" s="7">
        <f t="shared" si="0"/>
        <v>450000</v>
      </c>
      <c r="K49" s="8" t="s">
        <v>17</v>
      </c>
      <c r="L49" t="str">
        <f>IFERROR(VLOOKUP(F49,MÃ!$A:$B,2,0),0)</f>
        <v>NL100279</v>
      </c>
      <c r="M49" t="str">
        <f t="shared" si="1"/>
        <v>01/01/2026NL100279</v>
      </c>
      <c r="N49" s="15">
        <f>IFERROR(VLOOKUP(M49,'WS3'!$B$2:$Q$437,11,0),0)</f>
        <v>50</v>
      </c>
      <c r="O49" s="17">
        <f>IFERROR(VLOOKUP(M49,'WS3'!$B$2:$Q$437,12,0),0)</f>
        <v>9000</v>
      </c>
      <c r="P49" s="17">
        <f t="shared" si="2"/>
        <v>450000</v>
      </c>
      <c r="Q49" s="15">
        <f t="shared" si="3"/>
        <v>0</v>
      </c>
      <c r="R49" s="17">
        <f t="shared" si="4"/>
        <v>0</v>
      </c>
      <c r="S49" s="13"/>
    </row>
    <row r="50" spans="1:19" x14ac:dyDescent="0.25">
      <c r="A50" s="4" t="s">
        <v>131</v>
      </c>
      <c r="B50" s="5" t="s">
        <v>124</v>
      </c>
      <c r="C50" s="4" t="s">
        <v>13</v>
      </c>
      <c r="D50" s="5" t="s">
        <v>132</v>
      </c>
      <c r="E50" s="4" t="s">
        <v>106</v>
      </c>
      <c r="F50" s="4" t="s">
        <v>107</v>
      </c>
      <c r="G50" s="4" t="s">
        <v>108</v>
      </c>
      <c r="H50" s="12">
        <v>50</v>
      </c>
      <c r="I50" s="7">
        <v>5000</v>
      </c>
      <c r="J50" s="7">
        <f t="shared" si="0"/>
        <v>250000</v>
      </c>
      <c r="K50" s="8" t="s">
        <v>17</v>
      </c>
      <c r="L50" t="str">
        <f>IFERROR(VLOOKUP(F50,MÃ!$A:$B,2,0),0)</f>
        <v>NL100101</v>
      </c>
      <c r="M50" t="str">
        <f t="shared" si="1"/>
        <v>01/01/2026NL100101</v>
      </c>
      <c r="N50" s="15">
        <f>IFERROR(VLOOKUP(M50,'WS3'!$B$2:$Q$437,11,0),0)</f>
        <v>35</v>
      </c>
      <c r="O50" s="17">
        <f>IFERROR(VLOOKUP(M50,'WS3'!$B$2:$Q$437,12,0),0)</f>
        <v>5000</v>
      </c>
      <c r="P50" s="17">
        <f t="shared" si="2"/>
        <v>175000</v>
      </c>
      <c r="Q50" s="15">
        <f t="shared" si="3"/>
        <v>15</v>
      </c>
      <c r="R50" s="17">
        <f t="shared" si="4"/>
        <v>0</v>
      </c>
      <c r="S50" s="13" t="s">
        <v>543</v>
      </c>
    </row>
    <row r="51" spans="1:19" x14ac:dyDescent="0.25">
      <c r="A51" s="4" t="s">
        <v>131</v>
      </c>
      <c r="B51" s="5" t="s">
        <v>124</v>
      </c>
      <c r="C51" s="4" t="s">
        <v>13</v>
      </c>
      <c r="D51" s="5" t="s">
        <v>132</v>
      </c>
      <c r="E51" s="4" t="s">
        <v>87</v>
      </c>
      <c r="F51" s="4" t="s">
        <v>88</v>
      </c>
      <c r="G51" s="4" t="s">
        <v>16</v>
      </c>
      <c r="H51" s="12">
        <v>0.3</v>
      </c>
      <c r="I51" s="7">
        <v>220000</v>
      </c>
      <c r="J51" s="7">
        <f t="shared" si="0"/>
        <v>66000</v>
      </c>
      <c r="K51" s="8" t="s">
        <v>17</v>
      </c>
      <c r="L51" t="str">
        <f>IFERROR(VLOOKUP(F51,MÃ!$A:$B,2,0),0)</f>
        <v>NL300131</v>
      </c>
      <c r="M51" t="str">
        <f t="shared" si="1"/>
        <v>01/01/2026NL300131</v>
      </c>
      <c r="N51" s="15">
        <f>IFERROR(VLOOKUP(M51,'WS3'!$B$2:$Q$437,11,0),0)</f>
        <v>0.3</v>
      </c>
      <c r="O51" s="17">
        <f>IFERROR(VLOOKUP(M51,'WS3'!$B$2:$Q$437,12,0),0)</f>
        <v>220000</v>
      </c>
      <c r="P51" s="17">
        <f t="shared" si="2"/>
        <v>66000</v>
      </c>
      <c r="Q51" s="15">
        <f t="shared" si="3"/>
        <v>0</v>
      </c>
      <c r="R51" s="17">
        <f t="shared" si="4"/>
        <v>0</v>
      </c>
      <c r="S51" s="13"/>
    </row>
    <row r="52" spans="1:19" x14ac:dyDescent="0.25">
      <c r="A52" s="4" t="s">
        <v>131</v>
      </c>
      <c r="B52" s="5" t="s">
        <v>124</v>
      </c>
      <c r="C52" s="4" t="s">
        <v>13</v>
      </c>
      <c r="D52" s="5" t="s">
        <v>132</v>
      </c>
      <c r="E52" s="4" t="s">
        <v>54</v>
      </c>
      <c r="F52" s="4" t="s">
        <v>55</v>
      </c>
      <c r="G52" s="4" t="s">
        <v>16</v>
      </c>
      <c r="H52" s="12">
        <v>8</v>
      </c>
      <c r="I52" s="7">
        <v>62000</v>
      </c>
      <c r="J52" s="7">
        <f t="shared" si="0"/>
        <v>496000</v>
      </c>
      <c r="K52" s="8" t="s">
        <v>17</v>
      </c>
      <c r="L52" t="str">
        <f>IFERROR(VLOOKUP(F52,MÃ!$A:$B,2,0),0)</f>
        <v>NL300147</v>
      </c>
      <c r="M52" t="str">
        <f t="shared" si="1"/>
        <v>01/01/2026NL300147</v>
      </c>
      <c r="N52" s="15">
        <f>IFERROR(VLOOKUP(M52,'WS3'!$B$2:$Q$437,11,0),0)</f>
        <v>5</v>
      </c>
      <c r="O52" s="17">
        <f>IFERROR(VLOOKUP(M52,'WS3'!$B$2:$Q$437,12,0),0)</f>
        <v>62000</v>
      </c>
      <c r="P52" s="17">
        <f t="shared" si="2"/>
        <v>310000</v>
      </c>
      <c r="Q52" s="15">
        <f t="shared" si="3"/>
        <v>3</v>
      </c>
      <c r="R52" s="17">
        <f t="shared" si="4"/>
        <v>0</v>
      </c>
      <c r="S52" s="13" t="s">
        <v>543</v>
      </c>
    </row>
    <row r="53" spans="1:19" x14ac:dyDescent="0.25">
      <c r="A53" s="4" t="s">
        <v>137</v>
      </c>
      <c r="B53" s="5" t="s">
        <v>124</v>
      </c>
      <c r="C53" s="4" t="s">
        <v>13</v>
      </c>
      <c r="D53" s="5" t="s">
        <v>138</v>
      </c>
      <c r="E53" s="4" t="s">
        <v>18</v>
      </c>
      <c r="F53" s="4" t="s">
        <v>19</v>
      </c>
      <c r="G53" s="4" t="s">
        <v>16</v>
      </c>
      <c r="H53" s="12">
        <v>3</v>
      </c>
      <c r="I53" s="7">
        <v>15000</v>
      </c>
      <c r="J53" s="7">
        <f t="shared" si="0"/>
        <v>45000</v>
      </c>
      <c r="K53" s="8" t="s">
        <v>17</v>
      </c>
      <c r="L53" t="str">
        <f>IFERROR(VLOOKUP(F53,MÃ!$A:$B,2,0),0)</f>
        <v>NL300189</v>
      </c>
      <c r="M53" t="str">
        <f t="shared" si="1"/>
        <v>02/01/2026NL300189</v>
      </c>
      <c r="N53" s="15">
        <f>IFERROR(VLOOKUP(M53,'WS3'!$B$2:$Q$437,11,0),0)</f>
        <v>3</v>
      </c>
      <c r="O53" s="17">
        <f>IFERROR(VLOOKUP(M53,'WS3'!$B$2:$Q$437,12,0),0)</f>
        <v>15000</v>
      </c>
      <c r="P53" s="17">
        <f t="shared" si="2"/>
        <v>45000</v>
      </c>
      <c r="Q53" s="15">
        <f t="shared" si="3"/>
        <v>0</v>
      </c>
      <c r="R53" s="17">
        <f t="shared" si="4"/>
        <v>0</v>
      </c>
      <c r="S53" s="13"/>
    </row>
    <row r="54" spans="1:19" ht="28.5" x14ac:dyDescent="0.25">
      <c r="A54" s="4" t="s">
        <v>137</v>
      </c>
      <c r="B54" s="5" t="s">
        <v>124</v>
      </c>
      <c r="C54" s="4" t="s">
        <v>13</v>
      </c>
      <c r="D54" s="5" t="s">
        <v>138</v>
      </c>
      <c r="E54" s="4" t="s">
        <v>56</v>
      </c>
      <c r="F54" s="4" t="s">
        <v>57</v>
      </c>
      <c r="G54" s="4" t="s">
        <v>58</v>
      </c>
      <c r="H54" s="12">
        <v>25</v>
      </c>
      <c r="I54" s="7">
        <v>8500</v>
      </c>
      <c r="J54" s="7">
        <f t="shared" si="0"/>
        <v>212500</v>
      </c>
      <c r="K54" s="8" t="s">
        <v>17</v>
      </c>
      <c r="L54" t="str">
        <f>IFERROR(VLOOKUP(F54,MÃ!$A:$B,2,0),0)</f>
        <v>NL300107</v>
      </c>
      <c r="M54" t="str">
        <f t="shared" si="1"/>
        <v>02/01/2026NL300107</v>
      </c>
      <c r="N54" s="15">
        <f>IFERROR(VLOOKUP(M54,'WS3'!$B$2:$Q$437,11,0),0)</f>
        <v>23</v>
      </c>
      <c r="O54" s="17">
        <f>IFERROR(VLOOKUP(M54,'WS3'!$B$2:$Q$437,12,0),0)</f>
        <v>8500</v>
      </c>
      <c r="P54" s="17">
        <f t="shared" si="2"/>
        <v>195500</v>
      </c>
      <c r="Q54" s="15">
        <f t="shared" si="3"/>
        <v>2</v>
      </c>
      <c r="R54" s="17">
        <f t="shared" si="4"/>
        <v>0</v>
      </c>
      <c r="S54" s="13" t="s">
        <v>543</v>
      </c>
    </row>
    <row r="55" spans="1:19" x14ac:dyDescent="0.25">
      <c r="A55" s="4" t="s">
        <v>137</v>
      </c>
      <c r="B55" s="5" t="s">
        <v>124</v>
      </c>
      <c r="C55" s="4" t="s">
        <v>13</v>
      </c>
      <c r="D55" s="5" t="s">
        <v>138</v>
      </c>
      <c r="E55" s="4" t="s">
        <v>22</v>
      </c>
      <c r="F55" s="4" t="s">
        <v>23</v>
      </c>
      <c r="G55" s="4" t="s">
        <v>16</v>
      </c>
      <c r="H55" s="12">
        <v>5.5</v>
      </c>
      <c r="I55" s="7">
        <v>30000</v>
      </c>
      <c r="J55" s="7">
        <f t="shared" si="0"/>
        <v>165000</v>
      </c>
      <c r="K55" s="8" t="s">
        <v>17</v>
      </c>
      <c r="L55" t="str">
        <f>IFERROR(VLOOKUP(F55,MÃ!$A:$B,2,0),0)</f>
        <v>NL300007</v>
      </c>
      <c r="M55" t="str">
        <f t="shared" si="1"/>
        <v>02/01/2026NL300007</v>
      </c>
      <c r="N55" s="15">
        <f>IFERROR(VLOOKUP(M55,'WS3'!$B$2:$Q$437,11,0),0)</f>
        <v>5.0999999999999996</v>
      </c>
      <c r="O55" s="17">
        <f>IFERROR(VLOOKUP(M55,'WS3'!$B$2:$Q$437,12,0),0)</f>
        <v>30000</v>
      </c>
      <c r="P55" s="17">
        <f t="shared" si="2"/>
        <v>153000</v>
      </c>
      <c r="Q55" s="15">
        <f t="shared" si="3"/>
        <v>0.40000000000000036</v>
      </c>
      <c r="R55" s="17">
        <f t="shared" si="4"/>
        <v>0</v>
      </c>
      <c r="S55" s="13" t="s">
        <v>543</v>
      </c>
    </row>
    <row r="56" spans="1:19" x14ac:dyDescent="0.25">
      <c r="A56" s="4" t="s">
        <v>137</v>
      </c>
      <c r="B56" s="5" t="s">
        <v>124</v>
      </c>
      <c r="C56" s="4" t="s">
        <v>13</v>
      </c>
      <c r="D56" s="5" t="s">
        <v>138</v>
      </c>
      <c r="E56" s="4" t="s">
        <v>24</v>
      </c>
      <c r="F56" s="4" t="s">
        <v>25</v>
      </c>
      <c r="G56" s="4" t="s">
        <v>16</v>
      </c>
      <c r="H56" s="12">
        <v>15.2</v>
      </c>
      <c r="I56" s="7">
        <v>40000</v>
      </c>
      <c r="J56" s="7">
        <f t="shared" si="0"/>
        <v>608000</v>
      </c>
      <c r="K56" s="8" t="s">
        <v>17</v>
      </c>
      <c r="L56" t="str">
        <f>IFERROR(VLOOKUP(F56,MÃ!$A:$B,2,0),0)</f>
        <v>NL300008</v>
      </c>
      <c r="M56" t="str">
        <f t="shared" si="1"/>
        <v>02/01/2026NL300008</v>
      </c>
      <c r="N56" s="15">
        <f>IFERROR(VLOOKUP(M56,'WS3'!$B$2:$Q$437,11,0),0)</f>
        <v>10.199999999999999</v>
      </c>
      <c r="O56" s="17">
        <f>IFERROR(VLOOKUP(M56,'WS3'!$B$2:$Q$437,12,0),0)</f>
        <v>40000</v>
      </c>
      <c r="P56" s="17">
        <f t="shared" si="2"/>
        <v>408000</v>
      </c>
      <c r="Q56" s="15">
        <f t="shared" si="3"/>
        <v>5</v>
      </c>
      <c r="R56" s="17">
        <f t="shared" si="4"/>
        <v>0</v>
      </c>
      <c r="S56" s="13" t="s">
        <v>543</v>
      </c>
    </row>
    <row r="57" spans="1:19" x14ac:dyDescent="0.25">
      <c r="A57" s="4" t="s">
        <v>137</v>
      </c>
      <c r="B57" s="5" t="s">
        <v>124</v>
      </c>
      <c r="C57" s="4" t="s">
        <v>13</v>
      </c>
      <c r="D57" s="5" t="s">
        <v>138</v>
      </c>
      <c r="E57" s="4" t="s">
        <v>126</v>
      </c>
      <c r="F57" s="4" t="s">
        <v>127</v>
      </c>
      <c r="G57" s="4" t="s">
        <v>16</v>
      </c>
      <c r="H57" s="12">
        <v>5</v>
      </c>
      <c r="I57" s="7">
        <v>52000</v>
      </c>
      <c r="J57" s="7">
        <f t="shared" si="0"/>
        <v>260000</v>
      </c>
      <c r="K57" s="8" t="s">
        <v>17</v>
      </c>
      <c r="L57" t="str">
        <f>IFERROR(VLOOKUP(F57,MÃ!$A:$B,2,0),0)</f>
        <v>NL300137</v>
      </c>
      <c r="M57" t="str">
        <f t="shared" si="1"/>
        <v>02/01/2026NL300137</v>
      </c>
      <c r="N57" s="15">
        <f>IFERROR(VLOOKUP(M57,'WS3'!$B$2:$Q$437,11,0),0)</f>
        <v>3</v>
      </c>
      <c r="O57" s="17">
        <f>IFERROR(VLOOKUP(M57,'WS3'!$B$2:$Q$437,12,0),0)</f>
        <v>52000</v>
      </c>
      <c r="P57" s="17">
        <f t="shared" si="2"/>
        <v>156000</v>
      </c>
      <c r="Q57" s="15">
        <f t="shared" si="3"/>
        <v>2</v>
      </c>
      <c r="R57" s="17">
        <f t="shared" si="4"/>
        <v>0</v>
      </c>
      <c r="S57" s="13" t="s">
        <v>543</v>
      </c>
    </row>
    <row r="58" spans="1:19" x14ac:dyDescent="0.25">
      <c r="A58" s="4" t="s">
        <v>137</v>
      </c>
      <c r="B58" s="5" t="s">
        <v>124</v>
      </c>
      <c r="C58" s="4" t="s">
        <v>13</v>
      </c>
      <c r="D58" s="5" t="s">
        <v>138</v>
      </c>
      <c r="E58" s="4" t="s">
        <v>26</v>
      </c>
      <c r="F58" s="4" t="s">
        <v>27</v>
      </c>
      <c r="G58" s="4" t="s">
        <v>16</v>
      </c>
      <c r="H58" s="12">
        <v>0.5</v>
      </c>
      <c r="I58" s="7">
        <v>75000</v>
      </c>
      <c r="J58" s="7">
        <f t="shared" si="0"/>
        <v>37500</v>
      </c>
      <c r="K58" s="8" t="s">
        <v>17</v>
      </c>
      <c r="L58" t="str">
        <f>IFERROR(VLOOKUP(F58,MÃ!$A:$B,2,0),0)</f>
        <v>NL300028</v>
      </c>
      <c r="M58" t="str">
        <f t="shared" si="1"/>
        <v>02/01/2026NL300028</v>
      </c>
      <c r="N58" s="15">
        <f>IFERROR(VLOOKUP(M58,'WS3'!$B$2:$Q$437,11,0),0)</f>
        <v>0.2</v>
      </c>
      <c r="O58" s="17">
        <f>IFERROR(VLOOKUP(M58,'WS3'!$B$2:$Q$437,12,0),0)</f>
        <v>75000</v>
      </c>
      <c r="P58" s="17">
        <f t="shared" si="2"/>
        <v>15000</v>
      </c>
      <c r="Q58" s="15">
        <f t="shared" si="3"/>
        <v>0.3</v>
      </c>
      <c r="R58" s="17">
        <f t="shared" si="4"/>
        <v>0</v>
      </c>
      <c r="S58" s="13" t="s">
        <v>543</v>
      </c>
    </row>
    <row r="59" spans="1:19" ht="42.75" x14ac:dyDescent="0.25">
      <c r="A59" s="4" t="s">
        <v>137</v>
      </c>
      <c r="B59" s="5" t="s">
        <v>124</v>
      </c>
      <c r="C59" s="4" t="s">
        <v>13</v>
      </c>
      <c r="D59" s="5" t="s">
        <v>138</v>
      </c>
      <c r="E59" s="4" t="s">
        <v>28</v>
      </c>
      <c r="F59" s="4" t="s">
        <v>29</v>
      </c>
      <c r="G59" s="4" t="s">
        <v>16</v>
      </c>
      <c r="H59" s="12">
        <v>5</v>
      </c>
      <c r="I59" s="7">
        <v>30000</v>
      </c>
      <c r="J59" s="7">
        <f t="shared" si="0"/>
        <v>150000</v>
      </c>
      <c r="K59" s="8" t="s">
        <v>17</v>
      </c>
      <c r="L59" t="str">
        <f>IFERROR(VLOOKUP(F59,MÃ!$A:$B,2,0),0)</f>
        <v>NL300020</v>
      </c>
      <c r="M59" t="str">
        <f t="shared" si="1"/>
        <v>02/01/2026NL300020</v>
      </c>
      <c r="N59" s="15">
        <f>IFERROR(VLOOKUP(M59,'WS3'!$B$2:$Q$437,11,0),0)</f>
        <v>2.5</v>
      </c>
      <c r="O59" s="17">
        <f>IFERROR(VLOOKUP(M59,'WS3'!$B$2:$Q$437,12,0),0)</f>
        <v>30000</v>
      </c>
      <c r="P59" s="17">
        <f t="shared" si="2"/>
        <v>75000</v>
      </c>
      <c r="Q59" s="15">
        <f t="shared" si="3"/>
        <v>2.5</v>
      </c>
      <c r="R59" s="17">
        <f t="shared" si="4"/>
        <v>0</v>
      </c>
      <c r="S59" s="13" t="s">
        <v>543</v>
      </c>
    </row>
    <row r="60" spans="1:19" x14ac:dyDescent="0.25">
      <c r="A60" s="4" t="s">
        <v>137</v>
      </c>
      <c r="B60" s="5" t="s">
        <v>124</v>
      </c>
      <c r="C60" s="4" t="s">
        <v>13</v>
      </c>
      <c r="D60" s="5" t="s">
        <v>138</v>
      </c>
      <c r="E60" s="4" t="s">
        <v>89</v>
      </c>
      <c r="F60" s="4" t="s">
        <v>90</v>
      </c>
      <c r="G60" s="4" t="s">
        <v>16</v>
      </c>
      <c r="H60" s="12">
        <v>1.9</v>
      </c>
      <c r="I60" s="7">
        <v>44000</v>
      </c>
      <c r="J60" s="7">
        <f t="shared" si="0"/>
        <v>83600</v>
      </c>
      <c r="K60" s="8" t="s">
        <v>17</v>
      </c>
      <c r="L60" t="str">
        <f>IFERROR(VLOOKUP(F60,MÃ!$A:$B,2,0),0)</f>
        <v>NL300025</v>
      </c>
      <c r="M60" t="str">
        <f t="shared" si="1"/>
        <v>02/01/2026NL300025</v>
      </c>
      <c r="N60" s="15">
        <f>IFERROR(VLOOKUP(M60,'WS3'!$B$2:$Q$437,11,0),0)</f>
        <v>1.9</v>
      </c>
      <c r="O60" s="17">
        <f>IFERROR(VLOOKUP(M60,'WS3'!$B$2:$Q$437,12,0),0)</f>
        <v>44000</v>
      </c>
      <c r="P60" s="17">
        <f t="shared" si="2"/>
        <v>83600</v>
      </c>
      <c r="Q60" s="15">
        <f t="shared" si="3"/>
        <v>0</v>
      </c>
      <c r="R60" s="17">
        <f t="shared" si="4"/>
        <v>0</v>
      </c>
      <c r="S60" s="13"/>
    </row>
    <row r="61" spans="1:19" x14ac:dyDescent="0.25">
      <c r="A61" s="4" t="s">
        <v>137</v>
      </c>
      <c r="B61" s="5" t="s">
        <v>124</v>
      </c>
      <c r="C61" s="4" t="s">
        <v>13</v>
      </c>
      <c r="D61" s="5" t="s">
        <v>138</v>
      </c>
      <c r="E61" s="4" t="s">
        <v>30</v>
      </c>
      <c r="F61" s="4" t="s">
        <v>31</v>
      </c>
      <c r="G61" s="4" t="s">
        <v>16</v>
      </c>
      <c r="H61" s="12">
        <v>2.1</v>
      </c>
      <c r="I61" s="7">
        <v>38000</v>
      </c>
      <c r="J61" s="7">
        <f t="shared" si="0"/>
        <v>79800</v>
      </c>
      <c r="K61" s="8" t="s">
        <v>17</v>
      </c>
      <c r="L61" t="str">
        <f>IFERROR(VLOOKUP(F61,MÃ!$A:$B,2,0),0)</f>
        <v>NL300054</v>
      </c>
      <c r="M61" t="str">
        <f t="shared" si="1"/>
        <v>02/01/2026NL300054</v>
      </c>
      <c r="N61" s="15">
        <f>IFERROR(VLOOKUP(M61,'WS3'!$B$2:$Q$437,11,0),0)</f>
        <v>2.1</v>
      </c>
      <c r="O61" s="17">
        <f>IFERROR(VLOOKUP(M61,'WS3'!$B$2:$Q$437,12,0),0)</f>
        <v>38000</v>
      </c>
      <c r="P61" s="17">
        <f t="shared" si="2"/>
        <v>79800</v>
      </c>
      <c r="Q61" s="15">
        <f t="shared" si="3"/>
        <v>0</v>
      </c>
      <c r="R61" s="17">
        <f t="shared" si="4"/>
        <v>0</v>
      </c>
      <c r="S61" s="13"/>
    </row>
    <row r="62" spans="1:19" x14ac:dyDescent="0.25">
      <c r="A62" s="4" t="s">
        <v>137</v>
      </c>
      <c r="B62" s="5" t="s">
        <v>124</v>
      </c>
      <c r="C62" s="4" t="s">
        <v>13</v>
      </c>
      <c r="D62" s="5" t="s">
        <v>138</v>
      </c>
      <c r="E62" s="4" t="s">
        <v>32</v>
      </c>
      <c r="F62" s="4" t="s">
        <v>33</v>
      </c>
      <c r="G62" s="4" t="s">
        <v>16</v>
      </c>
      <c r="H62" s="12">
        <v>0.26</v>
      </c>
      <c r="I62" s="7">
        <v>25000</v>
      </c>
      <c r="J62" s="7">
        <f t="shared" si="0"/>
        <v>6500</v>
      </c>
      <c r="K62" s="8" t="s">
        <v>17</v>
      </c>
      <c r="L62" t="str">
        <f>IFERROR(VLOOKUP(F62,MÃ!$A:$B,2,0),0)</f>
        <v>NL300035</v>
      </c>
      <c r="M62" t="str">
        <f t="shared" si="1"/>
        <v>02/01/2026NL300035</v>
      </c>
      <c r="N62" s="15">
        <f>IFERROR(VLOOKUP(M62,'WS3'!$B$2:$Q$437,11,0),0)</f>
        <v>0.26</v>
      </c>
      <c r="O62" s="17">
        <f>IFERROR(VLOOKUP(M62,'WS3'!$B$2:$Q$437,12,0),0)</f>
        <v>25000</v>
      </c>
      <c r="P62" s="17">
        <f t="shared" si="2"/>
        <v>6500</v>
      </c>
      <c r="Q62" s="15">
        <f t="shared" si="3"/>
        <v>0</v>
      </c>
      <c r="R62" s="17">
        <f t="shared" si="4"/>
        <v>0</v>
      </c>
      <c r="S62" s="13"/>
    </row>
    <row r="63" spans="1:19" x14ac:dyDescent="0.25">
      <c r="A63" s="4" t="s">
        <v>137</v>
      </c>
      <c r="B63" s="5" t="s">
        <v>124</v>
      </c>
      <c r="C63" s="4" t="s">
        <v>13</v>
      </c>
      <c r="D63" s="5" t="s">
        <v>138</v>
      </c>
      <c r="E63" s="4" t="s">
        <v>95</v>
      </c>
      <c r="F63" s="4" t="s">
        <v>96</v>
      </c>
      <c r="G63" s="4" t="s">
        <v>16</v>
      </c>
      <c r="H63" s="12">
        <v>2</v>
      </c>
      <c r="I63" s="7">
        <v>47000</v>
      </c>
      <c r="J63" s="7">
        <f t="shared" si="0"/>
        <v>94000</v>
      </c>
      <c r="K63" s="8" t="s">
        <v>17</v>
      </c>
      <c r="L63" t="str">
        <f>IFERROR(VLOOKUP(F63,MÃ!$A:$B,2,0),0)</f>
        <v>NL300036</v>
      </c>
      <c r="M63" t="str">
        <f t="shared" si="1"/>
        <v>02/01/2026NL300036</v>
      </c>
      <c r="N63" s="15">
        <f>IFERROR(VLOOKUP(M63,'WS3'!$B$2:$Q$437,11,0),0)</f>
        <v>2</v>
      </c>
      <c r="O63" s="17">
        <f>IFERROR(VLOOKUP(M63,'WS3'!$B$2:$Q$437,12,0),0)</f>
        <v>47000</v>
      </c>
      <c r="P63" s="17">
        <f t="shared" si="2"/>
        <v>94000</v>
      </c>
      <c r="Q63" s="15">
        <f t="shared" si="3"/>
        <v>0</v>
      </c>
      <c r="R63" s="17">
        <f t="shared" si="4"/>
        <v>0</v>
      </c>
      <c r="S63" s="13"/>
    </row>
    <row r="64" spans="1:19" x14ac:dyDescent="0.25">
      <c r="A64" s="4" t="s">
        <v>137</v>
      </c>
      <c r="B64" s="5" t="s">
        <v>124</v>
      </c>
      <c r="C64" s="4" t="s">
        <v>13</v>
      </c>
      <c r="D64" s="5" t="s">
        <v>138</v>
      </c>
      <c r="E64" s="4" t="s">
        <v>34</v>
      </c>
      <c r="F64" s="4" t="s">
        <v>35</v>
      </c>
      <c r="G64" s="4" t="s">
        <v>16</v>
      </c>
      <c r="H64" s="12">
        <v>4</v>
      </c>
      <c r="I64" s="7">
        <v>32000</v>
      </c>
      <c r="J64" s="7">
        <f t="shared" si="0"/>
        <v>128000</v>
      </c>
      <c r="K64" s="8" t="s">
        <v>17</v>
      </c>
      <c r="L64" t="str">
        <f>IFERROR(VLOOKUP(F64,MÃ!$A:$B,2,0),0)</f>
        <v>NL300038</v>
      </c>
      <c r="M64" t="str">
        <f t="shared" si="1"/>
        <v>02/01/2026NL300038</v>
      </c>
      <c r="N64" s="15">
        <f>IFERROR(VLOOKUP(M64,'WS3'!$B$2:$Q$437,11,0),0)</f>
        <v>4</v>
      </c>
      <c r="O64" s="17">
        <f>IFERROR(VLOOKUP(M64,'WS3'!$B$2:$Q$437,12,0),0)</f>
        <v>32000</v>
      </c>
      <c r="P64" s="17">
        <f t="shared" si="2"/>
        <v>128000</v>
      </c>
      <c r="Q64" s="15">
        <f t="shared" si="3"/>
        <v>0</v>
      </c>
      <c r="R64" s="17">
        <f t="shared" si="4"/>
        <v>0</v>
      </c>
      <c r="S64" s="13"/>
    </row>
    <row r="65" spans="1:19" x14ac:dyDescent="0.25">
      <c r="A65" s="4" t="s">
        <v>137</v>
      </c>
      <c r="B65" s="5" t="s">
        <v>124</v>
      </c>
      <c r="C65" s="4" t="s">
        <v>13</v>
      </c>
      <c r="D65" s="5" t="s">
        <v>138</v>
      </c>
      <c r="E65" s="4" t="s">
        <v>36</v>
      </c>
      <c r="F65" s="4" t="s">
        <v>37</v>
      </c>
      <c r="G65" s="4" t="s">
        <v>16</v>
      </c>
      <c r="H65" s="12">
        <v>30</v>
      </c>
      <c r="I65" s="7">
        <v>18000</v>
      </c>
      <c r="J65" s="7">
        <f t="shared" si="0"/>
        <v>540000</v>
      </c>
      <c r="K65" s="8" t="s">
        <v>17</v>
      </c>
      <c r="L65" t="str">
        <f>IFERROR(VLOOKUP(F65,MÃ!$A:$B,2,0),0)</f>
        <v>NL600004</v>
      </c>
      <c r="M65" t="str">
        <f t="shared" si="1"/>
        <v>02/01/2026NL600004</v>
      </c>
      <c r="N65" s="15">
        <f>IFERROR(VLOOKUP(M65,'WS3'!$B$2:$Q$437,11,0),0)</f>
        <v>30</v>
      </c>
      <c r="O65" s="17">
        <f>IFERROR(VLOOKUP(M65,'WS3'!$B$2:$Q$437,12,0),0)</f>
        <v>18000</v>
      </c>
      <c r="P65" s="17">
        <f t="shared" si="2"/>
        <v>540000</v>
      </c>
      <c r="Q65" s="15">
        <f t="shared" si="3"/>
        <v>0</v>
      </c>
      <c r="R65" s="17">
        <f t="shared" si="4"/>
        <v>0</v>
      </c>
      <c r="S65" s="13"/>
    </row>
    <row r="66" spans="1:19" x14ac:dyDescent="0.25">
      <c r="A66" s="4" t="s">
        <v>137</v>
      </c>
      <c r="B66" s="5" t="s">
        <v>124</v>
      </c>
      <c r="C66" s="4" t="s">
        <v>13</v>
      </c>
      <c r="D66" s="5" t="s">
        <v>138</v>
      </c>
      <c r="E66" s="4" t="s">
        <v>38</v>
      </c>
      <c r="F66" s="4" t="s">
        <v>39</v>
      </c>
      <c r="G66" s="4" t="s">
        <v>16</v>
      </c>
      <c r="H66" s="12">
        <v>6</v>
      </c>
      <c r="I66" s="7">
        <v>55000</v>
      </c>
      <c r="J66" s="7">
        <f t="shared" si="0"/>
        <v>330000</v>
      </c>
      <c r="K66" s="8" t="s">
        <v>17</v>
      </c>
      <c r="L66" t="str">
        <f>IFERROR(VLOOKUP(F66,MÃ!$A:$B,2,0),0)</f>
        <v>NL300058</v>
      </c>
      <c r="M66" t="str">
        <f t="shared" si="1"/>
        <v>02/01/2026NL300058</v>
      </c>
      <c r="N66" s="15">
        <f>IFERROR(VLOOKUP(M66,'WS3'!$B$2:$Q$437,11,0),0)</f>
        <v>4</v>
      </c>
      <c r="O66" s="17">
        <f>IFERROR(VLOOKUP(M66,'WS3'!$B$2:$Q$437,12,0),0)</f>
        <v>55000</v>
      </c>
      <c r="P66" s="17">
        <f t="shared" si="2"/>
        <v>220000</v>
      </c>
      <c r="Q66" s="15">
        <f t="shared" si="3"/>
        <v>2</v>
      </c>
      <c r="R66" s="17">
        <f t="shared" si="4"/>
        <v>0</v>
      </c>
      <c r="S66" s="13" t="s">
        <v>543</v>
      </c>
    </row>
    <row r="67" spans="1:19" x14ac:dyDescent="0.25">
      <c r="A67" s="4" t="s">
        <v>137</v>
      </c>
      <c r="B67" s="5" t="s">
        <v>124</v>
      </c>
      <c r="C67" s="4" t="s">
        <v>13</v>
      </c>
      <c r="D67" s="5" t="s">
        <v>138</v>
      </c>
      <c r="E67" s="4" t="s">
        <v>40</v>
      </c>
      <c r="F67" s="4" t="s">
        <v>41</v>
      </c>
      <c r="G67" s="4" t="s">
        <v>16</v>
      </c>
      <c r="H67" s="12">
        <v>0.3</v>
      </c>
      <c r="I67" s="7">
        <v>80000</v>
      </c>
      <c r="J67" s="7">
        <f t="shared" si="0"/>
        <v>24000</v>
      </c>
      <c r="K67" s="8" t="s">
        <v>17</v>
      </c>
      <c r="L67" t="str">
        <f>IFERROR(VLOOKUP(F67,MÃ!$A:$B,2,0),0)</f>
        <v>NL300055</v>
      </c>
      <c r="M67" t="str">
        <f t="shared" si="1"/>
        <v>02/01/2026NL300055</v>
      </c>
      <c r="N67" s="15">
        <f>IFERROR(VLOOKUP(M67,'WS3'!$B$2:$Q$437,11,0),0)</f>
        <v>0.3</v>
      </c>
      <c r="O67" s="17">
        <f>IFERROR(VLOOKUP(M67,'WS3'!$B$2:$Q$437,12,0),0)</f>
        <v>80000</v>
      </c>
      <c r="P67" s="17">
        <f t="shared" si="2"/>
        <v>24000</v>
      </c>
      <c r="Q67" s="15">
        <f t="shared" si="3"/>
        <v>0</v>
      </c>
      <c r="R67" s="17">
        <f t="shared" si="4"/>
        <v>0</v>
      </c>
      <c r="S67" s="13"/>
    </row>
    <row r="68" spans="1:19" x14ac:dyDescent="0.25">
      <c r="A68" s="4" t="s">
        <v>137</v>
      </c>
      <c r="B68" s="5" t="s">
        <v>124</v>
      </c>
      <c r="C68" s="4" t="s">
        <v>13</v>
      </c>
      <c r="D68" s="5" t="s">
        <v>138</v>
      </c>
      <c r="E68" s="4" t="s">
        <v>65</v>
      </c>
      <c r="F68" s="4" t="s">
        <v>66</v>
      </c>
      <c r="G68" s="4" t="s">
        <v>16</v>
      </c>
      <c r="H68" s="12">
        <v>1</v>
      </c>
      <c r="I68" s="7">
        <v>23000</v>
      </c>
      <c r="J68" s="7">
        <f t="shared" si="0"/>
        <v>23000</v>
      </c>
      <c r="K68" s="8" t="s">
        <v>17</v>
      </c>
      <c r="L68" t="str">
        <f>IFERROR(VLOOKUP(F68,MÃ!$A:$B,2,0),0)</f>
        <v>NL300070</v>
      </c>
      <c r="M68" t="str">
        <f t="shared" si="1"/>
        <v>02/01/2026NL300070</v>
      </c>
      <c r="N68" s="15">
        <f>IFERROR(VLOOKUP(M68,'WS3'!$B$2:$Q$437,11,0),0)</f>
        <v>1</v>
      </c>
      <c r="O68" s="17">
        <f>IFERROR(VLOOKUP(M68,'WS3'!$B$2:$Q$437,12,0),0)</f>
        <v>23000</v>
      </c>
      <c r="P68" s="17">
        <f t="shared" si="2"/>
        <v>23000</v>
      </c>
      <c r="Q68" s="15">
        <f t="shared" si="3"/>
        <v>0</v>
      </c>
      <c r="R68" s="17">
        <f t="shared" si="4"/>
        <v>0</v>
      </c>
      <c r="S68" s="13"/>
    </row>
    <row r="69" spans="1:19" x14ac:dyDescent="0.25">
      <c r="A69" s="4" t="s">
        <v>137</v>
      </c>
      <c r="B69" s="5" t="s">
        <v>124</v>
      </c>
      <c r="C69" s="4" t="s">
        <v>13</v>
      </c>
      <c r="D69" s="5" t="s">
        <v>138</v>
      </c>
      <c r="E69" s="4" t="s">
        <v>42</v>
      </c>
      <c r="F69" s="4" t="s">
        <v>43</v>
      </c>
      <c r="G69" s="4" t="s">
        <v>16</v>
      </c>
      <c r="H69" s="12">
        <v>0.1</v>
      </c>
      <c r="I69" s="7">
        <v>42000</v>
      </c>
      <c r="J69" s="7">
        <f t="shared" si="0"/>
        <v>4200</v>
      </c>
      <c r="K69" s="8" t="s">
        <v>17</v>
      </c>
      <c r="L69" t="str">
        <f>IFERROR(VLOOKUP(F69,MÃ!$A:$B,2,0),0)</f>
        <v>NL300073</v>
      </c>
      <c r="M69" t="str">
        <f t="shared" si="1"/>
        <v>02/01/2026NL300073</v>
      </c>
      <c r="N69" s="15">
        <f>IFERROR(VLOOKUP(M69,'WS3'!$B$2:$Q$437,11,0),0)</f>
        <v>0.1</v>
      </c>
      <c r="O69" s="17">
        <f>IFERROR(VLOOKUP(M69,'WS3'!$B$2:$Q$437,12,0),0)</f>
        <v>42000</v>
      </c>
      <c r="P69" s="17">
        <f t="shared" si="2"/>
        <v>4200</v>
      </c>
      <c r="Q69" s="15">
        <f t="shared" si="3"/>
        <v>0</v>
      </c>
      <c r="R69" s="17">
        <f t="shared" si="4"/>
        <v>0</v>
      </c>
      <c r="S69" s="13"/>
    </row>
    <row r="70" spans="1:19" x14ac:dyDescent="0.25">
      <c r="A70" s="4" t="s">
        <v>137</v>
      </c>
      <c r="B70" s="5" t="s">
        <v>124</v>
      </c>
      <c r="C70" s="4" t="s">
        <v>13</v>
      </c>
      <c r="D70" s="5" t="s">
        <v>138</v>
      </c>
      <c r="E70" s="4" t="s">
        <v>67</v>
      </c>
      <c r="F70" s="4" t="s">
        <v>68</v>
      </c>
      <c r="G70" s="4" t="s">
        <v>16</v>
      </c>
      <c r="H70" s="12">
        <v>0.4</v>
      </c>
      <c r="I70" s="7">
        <v>18000</v>
      </c>
      <c r="J70" s="7">
        <f t="shared" si="0"/>
        <v>7200</v>
      </c>
      <c r="K70" s="8" t="s">
        <v>17</v>
      </c>
      <c r="L70" t="str">
        <f>IFERROR(VLOOKUP(F70,MÃ!$A:$B,2,0),0)</f>
        <v>NL300184</v>
      </c>
      <c r="M70" t="str">
        <f t="shared" si="1"/>
        <v>02/01/2026NL300184</v>
      </c>
      <c r="N70" s="15">
        <f>IFERROR(VLOOKUP(M70,'WS3'!$B$2:$Q$437,11,0),0)</f>
        <v>0.4</v>
      </c>
      <c r="O70" s="17">
        <f>IFERROR(VLOOKUP(M70,'WS3'!$B$2:$Q$437,12,0),0)</f>
        <v>18000</v>
      </c>
      <c r="P70" s="17">
        <f t="shared" si="2"/>
        <v>7200</v>
      </c>
      <c r="Q70" s="15">
        <f t="shared" si="3"/>
        <v>0</v>
      </c>
      <c r="R70" s="17">
        <f t="shared" si="4"/>
        <v>0</v>
      </c>
      <c r="S70" s="13"/>
    </row>
    <row r="71" spans="1:19" x14ac:dyDescent="0.25">
      <c r="A71" s="4" t="s">
        <v>137</v>
      </c>
      <c r="B71" s="5" t="s">
        <v>124</v>
      </c>
      <c r="C71" s="4" t="s">
        <v>13</v>
      </c>
      <c r="D71" s="5" t="s">
        <v>138</v>
      </c>
      <c r="E71" s="4" t="s">
        <v>14</v>
      </c>
      <c r="F71" s="4" t="s">
        <v>15</v>
      </c>
      <c r="G71" s="4" t="s">
        <v>16</v>
      </c>
      <c r="H71" s="12">
        <v>13</v>
      </c>
      <c r="I71" s="7">
        <v>27000</v>
      </c>
      <c r="J71" s="7">
        <f t="shared" si="0"/>
        <v>351000</v>
      </c>
      <c r="K71" s="8" t="s">
        <v>17</v>
      </c>
      <c r="L71" t="str">
        <f>IFERROR(VLOOKUP(F71,MÃ!$A:$B,2,0),0)</f>
        <v>NL300088</v>
      </c>
      <c r="M71" t="str">
        <f t="shared" si="1"/>
        <v>02/01/2026NL300088</v>
      </c>
      <c r="N71" s="15">
        <f>IFERROR(VLOOKUP(M71,'WS3'!$B$2:$Q$437,11,0),0)</f>
        <v>8</v>
      </c>
      <c r="O71" s="17">
        <f>IFERROR(VLOOKUP(M71,'WS3'!$B$2:$Q$437,12,0),0)</f>
        <v>27000</v>
      </c>
      <c r="P71" s="17">
        <f t="shared" si="2"/>
        <v>216000</v>
      </c>
      <c r="Q71" s="15">
        <f t="shared" si="3"/>
        <v>5</v>
      </c>
      <c r="R71" s="17">
        <f t="shared" si="4"/>
        <v>0</v>
      </c>
      <c r="S71" s="13" t="s">
        <v>543</v>
      </c>
    </row>
    <row r="72" spans="1:19" ht="28.5" x14ac:dyDescent="0.25">
      <c r="A72" s="4" t="s">
        <v>137</v>
      </c>
      <c r="B72" s="5" t="s">
        <v>124</v>
      </c>
      <c r="C72" s="4" t="s">
        <v>13</v>
      </c>
      <c r="D72" s="5" t="s">
        <v>138</v>
      </c>
      <c r="E72" s="4" t="s">
        <v>69</v>
      </c>
      <c r="F72" s="4" t="s">
        <v>70</v>
      </c>
      <c r="G72" s="4" t="s">
        <v>16</v>
      </c>
      <c r="H72" s="12">
        <v>7</v>
      </c>
      <c r="I72" s="7">
        <v>145000</v>
      </c>
      <c r="J72" s="7">
        <f t="shared" si="0"/>
        <v>1015000</v>
      </c>
      <c r="K72" s="8" t="s">
        <v>17</v>
      </c>
      <c r="L72" t="str">
        <f>IFERROR(VLOOKUP(F72,MÃ!$A:$B,2,0),0)</f>
        <v>NL300090</v>
      </c>
      <c r="M72" t="str">
        <f t="shared" si="1"/>
        <v>02/01/2026NL300090</v>
      </c>
      <c r="N72" s="15">
        <f>IFERROR(VLOOKUP(M72,'WS3'!$B$2:$Q$437,11,0),0)</f>
        <v>6.5</v>
      </c>
      <c r="O72" s="17">
        <f>IFERROR(VLOOKUP(M72,'WS3'!$B$2:$Q$437,12,0),0)</f>
        <v>145000</v>
      </c>
      <c r="P72" s="17">
        <f t="shared" si="2"/>
        <v>942500</v>
      </c>
      <c r="Q72" s="15">
        <f t="shared" si="3"/>
        <v>0.5</v>
      </c>
      <c r="R72" s="17">
        <f t="shared" si="4"/>
        <v>0</v>
      </c>
      <c r="S72" s="13" t="s">
        <v>543</v>
      </c>
    </row>
    <row r="73" spans="1:19" x14ac:dyDescent="0.25">
      <c r="A73" s="4" t="s">
        <v>137</v>
      </c>
      <c r="B73" s="5" t="s">
        <v>124</v>
      </c>
      <c r="C73" s="4" t="s">
        <v>13</v>
      </c>
      <c r="D73" s="5" t="s">
        <v>138</v>
      </c>
      <c r="E73" s="4" t="s">
        <v>71</v>
      </c>
      <c r="F73" s="4" t="s">
        <v>72</v>
      </c>
      <c r="G73" s="4" t="s">
        <v>16</v>
      </c>
      <c r="H73" s="12">
        <v>4</v>
      </c>
      <c r="I73" s="7">
        <v>47000</v>
      </c>
      <c r="J73" s="7">
        <f t="shared" si="0"/>
        <v>188000</v>
      </c>
      <c r="K73" s="8" t="s">
        <v>17</v>
      </c>
      <c r="L73" t="str">
        <f>IFERROR(VLOOKUP(F73,MÃ!$A:$B,2,0),0)</f>
        <v>NL300091</v>
      </c>
      <c r="M73" t="str">
        <f t="shared" si="1"/>
        <v>02/01/2026NL300091</v>
      </c>
      <c r="N73" s="15">
        <f>IFERROR(VLOOKUP(M73,'WS3'!$B$2:$Q$437,11,0),0)</f>
        <v>4</v>
      </c>
      <c r="O73" s="17">
        <f>IFERROR(VLOOKUP(M73,'WS3'!$B$2:$Q$437,12,0),0)</f>
        <v>47000</v>
      </c>
      <c r="P73" s="17">
        <f t="shared" si="2"/>
        <v>188000</v>
      </c>
      <c r="Q73" s="15">
        <f t="shared" si="3"/>
        <v>0</v>
      </c>
      <c r="R73" s="17">
        <f t="shared" si="4"/>
        <v>0</v>
      </c>
      <c r="S73" s="13"/>
    </row>
    <row r="74" spans="1:19" x14ac:dyDescent="0.25">
      <c r="A74" s="4" t="s">
        <v>137</v>
      </c>
      <c r="B74" s="5" t="s">
        <v>124</v>
      </c>
      <c r="C74" s="4" t="s">
        <v>13</v>
      </c>
      <c r="D74" s="5" t="s">
        <v>138</v>
      </c>
      <c r="E74" s="4" t="s">
        <v>73</v>
      </c>
      <c r="F74" s="4" t="s">
        <v>74</v>
      </c>
      <c r="G74" s="4" t="s">
        <v>16</v>
      </c>
      <c r="H74" s="12">
        <v>3</v>
      </c>
      <c r="I74" s="7">
        <v>90000</v>
      </c>
      <c r="J74" s="7">
        <f t="shared" si="0"/>
        <v>270000</v>
      </c>
      <c r="K74" s="8" t="s">
        <v>17</v>
      </c>
      <c r="L74" t="str">
        <f>IFERROR(VLOOKUP(F74,MÃ!$A:$B,2,0),0)</f>
        <v>NL300092</v>
      </c>
      <c r="M74" t="str">
        <f t="shared" si="1"/>
        <v>02/01/2026NL300092</v>
      </c>
      <c r="N74" s="15">
        <f>IFERROR(VLOOKUP(M74,'WS3'!$B$2:$Q$437,11,0),0)</f>
        <v>1.5</v>
      </c>
      <c r="O74" s="17">
        <f>IFERROR(VLOOKUP(M74,'WS3'!$B$2:$Q$437,12,0),0)</f>
        <v>90000</v>
      </c>
      <c r="P74" s="17">
        <f t="shared" si="2"/>
        <v>135000</v>
      </c>
      <c r="Q74" s="15">
        <f t="shared" si="3"/>
        <v>1.5</v>
      </c>
      <c r="R74" s="17">
        <f t="shared" si="4"/>
        <v>0</v>
      </c>
      <c r="S74" s="13" t="s">
        <v>543</v>
      </c>
    </row>
    <row r="75" spans="1:19" x14ac:dyDescent="0.25">
      <c r="A75" s="4" t="s">
        <v>137</v>
      </c>
      <c r="B75" s="5" t="s">
        <v>124</v>
      </c>
      <c r="C75" s="4" t="s">
        <v>13</v>
      </c>
      <c r="D75" s="5" t="s">
        <v>138</v>
      </c>
      <c r="E75" s="4" t="s">
        <v>100</v>
      </c>
      <c r="F75" s="4" t="s">
        <v>101</v>
      </c>
      <c r="G75" s="4" t="s">
        <v>16</v>
      </c>
      <c r="H75" s="12">
        <v>2</v>
      </c>
      <c r="I75" s="7">
        <v>80000</v>
      </c>
      <c r="J75" s="7">
        <f t="shared" si="0"/>
        <v>160000</v>
      </c>
      <c r="K75" s="8" t="s">
        <v>17</v>
      </c>
      <c r="L75" t="str">
        <f>IFERROR(VLOOKUP(F75,MÃ!$A:$B,2,0),0)</f>
        <v>NL300094</v>
      </c>
      <c r="M75" t="str">
        <f t="shared" si="1"/>
        <v>02/01/2026NL300094</v>
      </c>
      <c r="N75" s="15">
        <f>IFERROR(VLOOKUP(M75,'WS3'!$B$2:$Q$437,11,0),0)</f>
        <v>1.8</v>
      </c>
      <c r="O75" s="17">
        <f>IFERROR(VLOOKUP(M75,'WS3'!$B$2:$Q$437,12,0),0)</f>
        <v>80000</v>
      </c>
      <c r="P75" s="17">
        <f t="shared" si="2"/>
        <v>144000</v>
      </c>
      <c r="Q75" s="15">
        <f t="shared" si="3"/>
        <v>0.19999999999999996</v>
      </c>
      <c r="R75" s="17">
        <f t="shared" si="4"/>
        <v>0</v>
      </c>
      <c r="S75" s="13" t="s">
        <v>543</v>
      </c>
    </row>
    <row r="76" spans="1:19" ht="28.5" x14ac:dyDescent="0.25">
      <c r="A76" s="4" t="s">
        <v>137</v>
      </c>
      <c r="B76" s="5" t="s">
        <v>124</v>
      </c>
      <c r="C76" s="4" t="s">
        <v>13</v>
      </c>
      <c r="D76" s="5" t="s">
        <v>138</v>
      </c>
      <c r="E76" s="4" t="s">
        <v>44</v>
      </c>
      <c r="F76" s="4" t="s">
        <v>45</v>
      </c>
      <c r="G76" s="4" t="s">
        <v>16</v>
      </c>
      <c r="H76" s="12">
        <v>8</v>
      </c>
      <c r="I76" s="7">
        <v>45000</v>
      </c>
      <c r="J76" s="7">
        <f t="shared" si="0"/>
        <v>360000</v>
      </c>
      <c r="K76" s="8" t="s">
        <v>17</v>
      </c>
      <c r="L76" t="str">
        <f>IFERROR(VLOOKUP(F76,MÃ!$A:$B,2,0),0)</f>
        <v>NL300096</v>
      </c>
      <c r="M76" t="str">
        <f t="shared" si="1"/>
        <v>02/01/2026NL300096</v>
      </c>
      <c r="N76" s="15">
        <f>IFERROR(VLOOKUP(M76,'WS3'!$B$2:$Q$437,11,0),0)</f>
        <v>7.4</v>
      </c>
      <c r="O76" s="17">
        <f>IFERROR(VLOOKUP(M76,'WS3'!$B$2:$Q$437,12,0),0)</f>
        <v>45000</v>
      </c>
      <c r="P76" s="17">
        <f t="shared" si="2"/>
        <v>333000</v>
      </c>
      <c r="Q76" s="15">
        <f t="shared" si="3"/>
        <v>0.59999999999999964</v>
      </c>
      <c r="R76" s="17">
        <f t="shared" si="4"/>
        <v>0</v>
      </c>
      <c r="S76" s="13" t="s">
        <v>543</v>
      </c>
    </row>
    <row r="77" spans="1:19" ht="28.5" x14ac:dyDescent="0.25">
      <c r="A77" s="4" t="s">
        <v>137</v>
      </c>
      <c r="B77" s="5" t="s">
        <v>124</v>
      </c>
      <c r="C77" s="4" t="s">
        <v>13</v>
      </c>
      <c r="D77" s="5" t="s">
        <v>138</v>
      </c>
      <c r="E77" s="4" t="s">
        <v>75</v>
      </c>
      <c r="F77" s="4" t="s">
        <v>76</v>
      </c>
      <c r="G77" s="4" t="s">
        <v>16</v>
      </c>
      <c r="H77" s="12">
        <v>2</v>
      </c>
      <c r="I77" s="7">
        <v>90000</v>
      </c>
      <c r="J77" s="7">
        <f t="shared" si="0"/>
        <v>180000</v>
      </c>
      <c r="K77" s="8" t="s">
        <v>17</v>
      </c>
      <c r="L77" t="str">
        <f>IFERROR(VLOOKUP(F77,MÃ!$A:$B,2,0),0)</f>
        <v>NL300097</v>
      </c>
      <c r="M77" t="str">
        <f t="shared" si="1"/>
        <v>02/01/2026NL300097</v>
      </c>
      <c r="N77" s="15">
        <f>IFERROR(VLOOKUP(M77,'WS3'!$B$2:$Q$437,11,0),0)</f>
        <v>1.8</v>
      </c>
      <c r="O77" s="17">
        <f>IFERROR(VLOOKUP(M77,'WS3'!$B$2:$Q$437,12,0),0)</f>
        <v>90000</v>
      </c>
      <c r="P77" s="17">
        <f t="shared" si="2"/>
        <v>162000</v>
      </c>
      <c r="Q77" s="15">
        <f t="shared" si="3"/>
        <v>0.19999999999999996</v>
      </c>
      <c r="R77" s="17">
        <f t="shared" si="4"/>
        <v>0</v>
      </c>
      <c r="S77" s="13" t="s">
        <v>543</v>
      </c>
    </row>
    <row r="78" spans="1:19" x14ac:dyDescent="0.25">
      <c r="A78" s="4" t="s">
        <v>137</v>
      </c>
      <c r="B78" s="5" t="s">
        <v>124</v>
      </c>
      <c r="C78" s="4" t="s">
        <v>13</v>
      </c>
      <c r="D78" s="5" t="s">
        <v>138</v>
      </c>
      <c r="E78" s="4" t="s">
        <v>77</v>
      </c>
      <c r="F78" s="4" t="s">
        <v>78</v>
      </c>
      <c r="G78" s="4" t="s">
        <v>16</v>
      </c>
      <c r="H78" s="12">
        <v>4</v>
      </c>
      <c r="I78" s="7">
        <v>45000</v>
      </c>
      <c r="J78" s="7">
        <f t="shared" si="0"/>
        <v>180000</v>
      </c>
      <c r="K78" s="8" t="s">
        <v>17</v>
      </c>
      <c r="L78" t="str">
        <f>IFERROR(VLOOKUP(F78,MÃ!$A:$B,2,0),0)</f>
        <v>NL300085</v>
      </c>
      <c r="M78" t="str">
        <f t="shared" si="1"/>
        <v>02/01/2026NL300085</v>
      </c>
      <c r="N78" s="15">
        <f>IFERROR(VLOOKUP(M78,'WS3'!$B$2:$Q$437,11,0),0)</f>
        <v>2.5</v>
      </c>
      <c r="O78" s="17">
        <f>IFERROR(VLOOKUP(M78,'WS3'!$B$2:$Q$437,12,0),0)</f>
        <v>45000</v>
      </c>
      <c r="P78" s="17">
        <f t="shared" si="2"/>
        <v>112500</v>
      </c>
      <c r="Q78" s="15">
        <f t="shared" si="3"/>
        <v>1.5</v>
      </c>
      <c r="R78" s="17">
        <f t="shared" si="4"/>
        <v>0</v>
      </c>
      <c r="S78" s="13" t="s">
        <v>543</v>
      </c>
    </row>
    <row r="79" spans="1:19" x14ac:dyDescent="0.25">
      <c r="A79" s="4" t="s">
        <v>137</v>
      </c>
      <c r="B79" s="5" t="s">
        <v>124</v>
      </c>
      <c r="C79" s="4" t="s">
        <v>13</v>
      </c>
      <c r="D79" s="5" t="s">
        <v>138</v>
      </c>
      <c r="E79" s="4" t="s">
        <v>79</v>
      </c>
      <c r="F79" s="4" t="s">
        <v>80</v>
      </c>
      <c r="G79" s="4" t="s">
        <v>16</v>
      </c>
      <c r="H79" s="12">
        <v>0.1</v>
      </c>
      <c r="I79" s="7">
        <v>70000</v>
      </c>
      <c r="J79" s="7">
        <f t="shared" si="0"/>
        <v>7000</v>
      </c>
      <c r="K79" s="8" t="s">
        <v>17</v>
      </c>
      <c r="L79" t="str">
        <f>IFERROR(VLOOKUP(F79,MÃ!$A:$B,2,0),0)</f>
        <v>NL300126</v>
      </c>
      <c r="M79" t="str">
        <f t="shared" si="1"/>
        <v>02/01/2026NL300126</v>
      </c>
      <c r="N79" s="15">
        <f>IFERROR(VLOOKUP(M79,'WS3'!$B$2:$Q$437,11,0),0)</f>
        <v>0.1</v>
      </c>
      <c r="O79" s="17">
        <f>IFERROR(VLOOKUP(M79,'WS3'!$B$2:$Q$437,12,0),0)</f>
        <v>70000</v>
      </c>
      <c r="P79" s="17">
        <f t="shared" si="2"/>
        <v>7000</v>
      </c>
      <c r="Q79" s="15">
        <f t="shared" si="3"/>
        <v>0</v>
      </c>
      <c r="R79" s="17">
        <f t="shared" si="4"/>
        <v>0</v>
      </c>
      <c r="S79" s="13"/>
    </row>
    <row r="80" spans="1:19" x14ac:dyDescent="0.25">
      <c r="A80" s="4" t="s">
        <v>137</v>
      </c>
      <c r="B80" s="5" t="s">
        <v>124</v>
      </c>
      <c r="C80" s="4" t="s">
        <v>13</v>
      </c>
      <c r="D80" s="5" t="s">
        <v>138</v>
      </c>
      <c r="E80" s="4" t="s">
        <v>102</v>
      </c>
      <c r="F80" s="4" t="s">
        <v>103</v>
      </c>
      <c r="G80" s="4" t="s">
        <v>16</v>
      </c>
      <c r="H80" s="12">
        <v>2</v>
      </c>
      <c r="I80" s="7">
        <v>145000</v>
      </c>
      <c r="J80" s="7">
        <f t="shared" ref="J80:J143" si="5">H80*I80</f>
        <v>290000</v>
      </c>
      <c r="K80" s="8" t="s">
        <v>17</v>
      </c>
      <c r="L80" t="str">
        <f>IFERROR(VLOOKUP(F80,MÃ!$A:$B,2,0),0)</f>
        <v>NL300113</v>
      </c>
      <c r="M80" t="str">
        <f t="shared" ref="M80:M143" si="6">"0"&amp;DAY(A80)&amp;"/01/2026"&amp;L80</f>
        <v>02/01/2026NL300113</v>
      </c>
      <c r="N80" s="15">
        <f>IFERROR(VLOOKUP(M80,'WS3'!$B$2:$Q$437,11,0),0)</f>
        <v>2</v>
      </c>
      <c r="O80" s="17">
        <f>IFERROR(VLOOKUP(M80,'WS3'!$B$2:$Q$437,12,0),0)</f>
        <v>145000</v>
      </c>
      <c r="P80" s="17">
        <f t="shared" ref="P80:P143" si="7">N80*O80</f>
        <v>290000</v>
      </c>
      <c r="Q80" s="15">
        <f t="shared" ref="Q80:Q143" si="8">H80-N80</f>
        <v>0</v>
      </c>
      <c r="R80" s="17">
        <f t="shared" ref="R80:R143" si="9">I80-O80</f>
        <v>0</v>
      </c>
      <c r="S80" s="13"/>
    </row>
    <row r="81" spans="1:19" x14ac:dyDescent="0.25">
      <c r="A81" s="4" t="s">
        <v>137</v>
      </c>
      <c r="B81" s="5" t="s">
        <v>124</v>
      </c>
      <c r="C81" s="4" t="s">
        <v>13</v>
      </c>
      <c r="D81" s="5" t="s">
        <v>138</v>
      </c>
      <c r="E81" s="4" t="s">
        <v>46</v>
      </c>
      <c r="F81" s="4" t="s">
        <v>47</v>
      </c>
      <c r="G81" s="4" t="s">
        <v>16</v>
      </c>
      <c r="H81" s="12">
        <v>0.5</v>
      </c>
      <c r="I81" s="7">
        <v>148000</v>
      </c>
      <c r="J81" s="7">
        <f t="shared" si="5"/>
        <v>74000</v>
      </c>
      <c r="K81" s="8" t="s">
        <v>17</v>
      </c>
      <c r="L81" t="str">
        <f>IFERROR(VLOOKUP(F81,MÃ!$A:$B,2,0),0)</f>
        <v>NL300116</v>
      </c>
      <c r="M81" t="str">
        <f t="shared" si="6"/>
        <v>02/01/2026NL300116</v>
      </c>
      <c r="N81" s="15">
        <f>IFERROR(VLOOKUP(M81,'WS3'!$B$2:$Q$437,11,0),0)</f>
        <v>0.5</v>
      </c>
      <c r="O81" s="17">
        <f>IFERROR(VLOOKUP(M81,'WS3'!$B$2:$Q$437,12,0),0)</f>
        <v>148000</v>
      </c>
      <c r="P81" s="17">
        <f t="shared" si="7"/>
        <v>74000</v>
      </c>
      <c r="Q81" s="15">
        <f t="shared" si="8"/>
        <v>0</v>
      </c>
      <c r="R81" s="17">
        <f t="shared" si="9"/>
        <v>0</v>
      </c>
      <c r="S81" s="13"/>
    </row>
    <row r="82" spans="1:19" x14ac:dyDescent="0.25">
      <c r="A82" s="4" t="s">
        <v>137</v>
      </c>
      <c r="B82" s="5" t="s">
        <v>124</v>
      </c>
      <c r="C82" s="4" t="s">
        <v>13</v>
      </c>
      <c r="D82" s="5" t="s">
        <v>138</v>
      </c>
      <c r="E82" s="4" t="s">
        <v>48</v>
      </c>
      <c r="F82" s="4" t="s">
        <v>49</v>
      </c>
      <c r="G82" s="4" t="s">
        <v>16</v>
      </c>
      <c r="H82" s="12">
        <v>0.5</v>
      </c>
      <c r="I82" s="7">
        <v>42000</v>
      </c>
      <c r="J82" s="7">
        <f t="shared" si="5"/>
        <v>21000</v>
      </c>
      <c r="K82" s="8" t="s">
        <v>17</v>
      </c>
      <c r="L82" t="str">
        <f>IFERROR(VLOOKUP(F82,MÃ!$A:$B,2,0),0)</f>
        <v>NL300125</v>
      </c>
      <c r="M82" t="str">
        <f t="shared" si="6"/>
        <v>02/01/2026NL300125</v>
      </c>
      <c r="N82" s="15">
        <f>IFERROR(VLOOKUP(M82,'WS3'!$B$2:$Q$437,11,0),0)</f>
        <v>0.5</v>
      </c>
      <c r="O82" s="17">
        <f>IFERROR(VLOOKUP(M82,'WS3'!$B$2:$Q$437,12,0),0)</f>
        <v>42000</v>
      </c>
      <c r="P82" s="17">
        <f t="shared" si="7"/>
        <v>21000</v>
      </c>
      <c r="Q82" s="15">
        <f t="shared" si="8"/>
        <v>0</v>
      </c>
      <c r="R82" s="17">
        <f t="shared" si="9"/>
        <v>0</v>
      </c>
      <c r="S82" s="13"/>
    </row>
    <row r="83" spans="1:19" x14ac:dyDescent="0.25">
      <c r="A83" s="4" t="s">
        <v>137</v>
      </c>
      <c r="B83" s="5" t="s">
        <v>124</v>
      </c>
      <c r="C83" s="4" t="s">
        <v>13</v>
      </c>
      <c r="D83" s="5" t="s">
        <v>138</v>
      </c>
      <c r="E83" s="4" t="s">
        <v>50</v>
      </c>
      <c r="F83" s="4" t="s">
        <v>51</v>
      </c>
      <c r="G83" s="4" t="s">
        <v>16</v>
      </c>
      <c r="H83" s="12">
        <v>0.1</v>
      </c>
      <c r="I83" s="7">
        <v>22000</v>
      </c>
      <c r="J83" s="7">
        <f t="shared" si="5"/>
        <v>2200</v>
      </c>
      <c r="K83" s="8" t="s">
        <v>17</v>
      </c>
      <c r="L83" t="str">
        <f>IFERROR(VLOOKUP(F83,MÃ!$A:$B,2,0),0)</f>
        <v>NL300121</v>
      </c>
      <c r="M83" t="str">
        <f t="shared" si="6"/>
        <v>02/01/2026NL300121</v>
      </c>
      <c r="N83" s="15">
        <f>IFERROR(VLOOKUP(M83,'WS3'!$B$2:$Q$437,11,0),0)</f>
        <v>0</v>
      </c>
      <c r="O83" s="17">
        <f>IFERROR(VLOOKUP(M83,'WS3'!$B$2:$Q$437,12,0),0)</f>
        <v>0</v>
      </c>
      <c r="P83" s="17">
        <f t="shared" si="7"/>
        <v>0</v>
      </c>
      <c r="Q83" s="15">
        <f t="shared" si="8"/>
        <v>0.1</v>
      </c>
      <c r="R83" s="17">
        <f t="shared" si="9"/>
        <v>22000</v>
      </c>
      <c r="S83" s="13" t="s">
        <v>540</v>
      </c>
    </row>
    <row r="84" spans="1:19" x14ac:dyDescent="0.25">
      <c r="A84" s="4" t="s">
        <v>137</v>
      </c>
      <c r="B84" s="5" t="s">
        <v>124</v>
      </c>
      <c r="C84" s="4" t="s">
        <v>13</v>
      </c>
      <c r="D84" s="5" t="s">
        <v>138</v>
      </c>
      <c r="E84" s="4" t="s">
        <v>133</v>
      </c>
      <c r="F84" s="4" t="s">
        <v>134</v>
      </c>
      <c r="G84" s="4" t="s">
        <v>16</v>
      </c>
      <c r="H84" s="12">
        <v>0.5</v>
      </c>
      <c r="I84" s="7">
        <v>36000</v>
      </c>
      <c r="J84" s="7">
        <f t="shared" si="5"/>
        <v>18000</v>
      </c>
      <c r="K84" s="8" t="s">
        <v>17</v>
      </c>
      <c r="L84" t="str">
        <f>IFERROR(VLOOKUP(F84,MÃ!$A:$B,2,0),0)</f>
        <v>NL300140</v>
      </c>
      <c r="M84" t="str">
        <f t="shared" si="6"/>
        <v>02/01/2026NL300140</v>
      </c>
      <c r="N84" s="15">
        <f>IFERROR(VLOOKUP(M84,'WS3'!$B$2:$Q$437,11,0),0)</f>
        <v>0.3</v>
      </c>
      <c r="O84" s="17">
        <f>IFERROR(VLOOKUP(M84,'WS3'!$B$2:$Q$437,12,0),0)</f>
        <v>36000</v>
      </c>
      <c r="P84" s="17">
        <f t="shared" si="7"/>
        <v>10800</v>
      </c>
      <c r="Q84" s="15">
        <f t="shared" si="8"/>
        <v>0.2</v>
      </c>
      <c r="R84" s="17">
        <f t="shared" si="9"/>
        <v>0</v>
      </c>
      <c r="S84" s="13" t="s">
        <v>543</v>
      </c>
    </row>
    <row r="85" spans="1:19" x14ac:dyDescent="0.25">
      <c r="A85" s="4" t="s">
        <v>137</v>
      </c>
      <c r="B85" s="5" t="s">
        <v>124</v>
      </c>
      <c r="C85" s="4" t="s">
        <v>13</v>
      </c>
      <c r="D85" s="5" t="s">
        <v>138</v>
      </c>
      <c r="E85" s="4" t="s">
        <v>81</v>
      </c>
      <c r="F85" s="4" t="s">
        <v>82</v>
      </c>
      <c r="G85" s="4" t="s">
        <v>16</v>
      </c>
      <c r="H85" s="12">
        <v>1</v>
      </c>
      <c r="I85" s="7">
        <v>12000</v>
      </c>
      <c r="J85" s="7">
        <f t="shared" si="5"/>
        <v>12000</v>
      </c>
      <c r="K85" s="8" t="s">
        <v>17</v>
      </c>
      <c r="L85" t="str">
        <f>IFERROR(VLOOKUP(F85,MÃ!$A:$B,2,0),0)</f>
        <v>NL300132</v>
      </c>
      <c r="M85" t="str">
        <f t="shared" si="6"/>
        <v>02/01/2026NL300132</v>
      </c>
      <c r="N85" s="15">
        <f>IFERROR(VLOOKUP(M85,'WS3'!$B$2:$Q$437,11,0),0)</f>
        <v>1</v>
      </c>
      <c r="O85" s="17">
        <f>IFERROR(VLOOKUP(M85,'WS3'!$B$2:$Q$437,12,0),0)</f>
        <v>12000</v>
      </c>
      <c r="P85" s="17">
        <f t="shared" si="7"/>
        <v>12000</v>
      </c>
      <c r="Q85" s="15">
        <f t="shared" si="8"/>
        <v>0</v>
      </c>
      <c r="R85" s="17">
        <f t="shared" si="9"/>
        <v>0</v>
      </c>
      <c r="S85" s="13"/>
    </row>
    <row r="86" spans="1:19" x14ac:dyDescent="0.25">
      <c r="A86" s="4" t="s">
        <v>137</v>
      </c>
      <c r="B86" s="5" t="s">
        <v>124</v>
      </c>
      <c r="C86" s="4" t="s">
        <v>13</v>
      </c>
      <c r="D86" s="5" t="s">
        <v>138</v>
      </c>
      <c r="E86" s="4" t="s">
        <v>52</v>
      </c>
      <c r="F86" s="4" t="s">
        <v>53</v>
      </c>
      <c r="G86" s="4" t="s">
        <v>16</v>
      </c>
      <c r="H86" s="12">
        <v>3</v>
      </c>
      <c r="I86" s="7">
        <v>21000</v>
      </c>
      <c r="J86" s="7">
        <f t="shared" si="5"/>
        <v>63000</v>
      </c>
      <c r="K86" s="8" t="s">
        <v>17</v>
      </c>
      <c r="L86" t="str">
        <f>IFERROR(VLOOKUP(F86,MÃ!$A:$B,2,0),0)</f>
        <v>NL300119</v>
      </c>
      <c r="M86" t="str">
        <f t="shared" si="6"/>
        <v>02/01/2026NL300119</v>
      </c>
      <c r="N86" s="15">
        <f>IFERROR(VLOOKUP(M86,'WS3'!$B$2:$Q$437,11,0),0)</f>
        <v>3</v>
      </c>
      <c r="O86" s="17">
        <f>IFERROR(VLOOKUP(M86,'WS3'!$B$2:$Q$437,12,0),0)</f>
        <v>21000</v>
      </c>
      <c r="P86" s="17">
        <f t="shared" si="7"/>
        <v>63000</v>
      </c>
      <c r="Q86" s="15">
        <f t="shared" si="8"/>
        <v>0</v>
      </c>
      <c r="R86" s="17">
        <f t="shared" si="9"/>
        <v>0</v>
      </c>
      <c r="S86" s="13"/>
    </row>
    <row r="87" spans="1:19" x14ac:dyDescent="0.25">
      <c r="A87" s="4" t="s">
        <v>137</v>
      </c>
      <c r="B87" s="5" t="s">
        <v>124</v>
      </c>
      <c r="C87" s="4" t="s">
        <v>13</v>
      </c>
      <c r="D87" s="5" t="s">
        <v>138</v>
      </c>
      <c r="E87" s="4" t="s">
        <v>85</v>
      </c>
      <c r="F87" s="4" t="s">
        <v>86</v>
      </c>
      <c r="G87" s="4" t="s">
        <v>16</v>
      </c>
      <c r="H87" s="12">
        <v>2</v>
      </c>
      <c r="I87" s="7">
        <v>50000</v>
      </c>
      <c r="J87" s="7">
        <f t="shared" si="5"/>
        <v>100000</v>
      </c>
      <c r="K87" s="8" t="s">
        <v>17</v>
      </c>
      <c r="L87" t="str">
        <f>IFERROR(VLOOKUP(F87,MÃ!$A:$B,2,0),0)</f>
        <v>NL300142</v>
      </c>
      <c r="M87" t="str">
        <f t="shared" si="6"/>
        <v>02/01/2026NL300142</v>
      </c>
      <c r="N87" s="15">
        <f>IFERROR(VLOOKUP(M87,'WS3'!$B$2:$Q$437,11,0),0)</f>
        <v>2</v>
      </c>
      <c r="O87" s="17">
        <f>IFERROR(VLOOKUP(M87,'WS3'!$B$2:$Q$437,12,0),0)</f>
        <v>50000</v>
      </c>
      <c r="P87" s="17">
        <f t="shared" si="7"/>
        <v>100000</v>
      </c>
      <c r="Q87" s="15">
        <f t="shared" si="8"/>
        <v>0</v>
      </c>
      <c r="R87" s="17">
        <f t="shared" si="9"/>
        <v>0</v>
      </c>
      <c r="S87" s="13"/>
    </row>
    <row r="88" spans="1:19" x14ac:dyDescent="0.25">
      <c r="A88" s="4" t="s">
        <v>137</v>
      </c>
      <c r="B88" s="5" t="s">
        <v>124</v>
      </c>
      <c r="C88" s="4" t="s">
        <v>13</v>
      </c>
      <c r="D88" s="5" t="s">
        <v>138</v>
      </c>
      <c r="E88" s="4" t="s">
        <v>135</v>
      </c>
      <c r="F88" s="4" t="s">
        <v>136</v>
      </c>
      <c r="G88" s="4" t="s">
        <v>108</v>
      </c>
      <c r="H88" s="12">
        <v>30</v>
      </c>
      <c r="I88" s="7">
        <v>9000</v>
      </c>
      <c r="J88" s="7">
        <f t="shared" si="5"/>
        <v>270000</v>
      </c>
      <c r="K88" s="8" t="s">
        <v>17</v>
      </c>
      <c r="L88" t="str">
        <f>IFERROR(VLOOKUP(F88,MÃ!$A:$B,2,0),0)</f>
        <v>NL100279</v>
      </c>
      <c r="M88" t="str">
        <f t="shared" si="6"/>
        <v>02/01/2026NL100279</v>
      </c>
      <c r="N88" s="15">
        <f>IFERROR(VLOOKUP(M88,'WS3'!$B$2:$Q$437,11,0),0)</f>
        <v>30</v>
      </c>
      <c r="O88" s="17">
        <f>IFERROR(VLOOKUP(M88,'WS3'!$B$2:$Q$437,12,0),0)</f>
        <v>9000</v>
      </c>
      <c r="P88" s="17">
        <f t="shared" si="7"/>
        <v>270000</v>
      </c>
      <c r="Q88" s="15">
        <f t="shared" si="8"/>
        <v>0</v>
      </c>
      <c r="R88" s="17">
        <f t="shared" si="9"/>
        <v>0</v>
      </c>
      <c r="S88" s="13"/>
    </row>
    <row r="89" spans="1:19" x14ac:dyDescent="0.25">
      <c r="A89" s="4" t="s">
        <v>137</v>
      </c>
      <c r="B89" s="5" t="s">
        <v>124</v>
      </c>
      <c r="C89" s="4" t="s">
        <v>13</v>
      </c>
      <c r="D89" s="5" t="s">
        <v>138</v>
      </c>
      <c r="E89" s="4" t="s">
        <v>106</v>
      </c>
      <c r="F89" s="4" t="s">
        <v>107</v>
      </c>
      <c r="G89" s="4" t="s">
        <v>108</v>
      </c>
      <c r="H89" s="12">
        <v>70</v>
      </c>
      <c r="I89" s="7">
        <v>5000</v>
      </c>
      <c r="J89" s="7">
        <f t="shared" si="5"/>
        <v>350000</v>
      </c>
      <c r="K89" s="8" t="s">
        <v>17</v>
      </c>
      <c r="L89" t="str">
        <f>IFERROR(VLOOKUP(F89,MÃ!$A:$B,2,0),0)</f>
        <v>NL100101</v>
      </c>
      <c r="M89" t="str">
        <f t="shared" si="6"/>
        <v>02/01/2026NL100101</v>
      </c>
      <c r="N89" s="15">
        <f>IFERROR(VLOOKUP(M89,'WS3'!$B$2:$Q$437,11,0),0)</f>
        <v>70</v>
      </c>
      <c r="O89" s="17">
        <f>IFERROR(VLOOKUP(M89,'WS3'!$B$2:$Q$437,12,0),0)</f>
        <v>5000</v>
      </c>
      <c r="P89" s="17">
        <f t="shared" si="7"/>
        <v>350000</v>
      </c>
      <c r="Q89" s="15">
        <f t="shared" si="8"/>
        <v>0</v>
      </c>
      <c r="R89" s="17">
        <f t="shared" si="9"/>
        <v>0</v>
      </c>
      <c r="S89" s="13"/>
    </row>
    <row r="90" spans="1:19" x14ac:dyDescent="0.25">
      <c r="A90" s="4" t="s">
        <v>137</v>
      </c>
      <c r="B90" s="5" t="s">
        <v>124</v>
      </c>
      <c r="C90" s="4" t="s">
        <v>13</v>
      </c>
      <c r="D90" s="5" t="s">
        <v>138</v>
      </c>
      <c r="E90" s="4" t="s">
        <v>87</v>
      </c>
      <c r="F90" s="4" t="s">
        <v>88</v>
      </c>
      <c r="G90" s="4" t="s">
        <v>16</v>
      </c>
      <c r="H90" s="12">
        <v>0.2</v>
      </c>
      <c r="I90" s="7">
        <v>220000</v>
      </c>
      <c r="J90" s="7">
        <f t="shared" si="5"/>
        <v>44000</v>
      </c>
      <c r="K90" s="8" t="s">
        <v>17</v>
      </c>
      <c r="L90" t="str">
        <f>IFERROR(VLOOKUP(F90,MÃ!$A:$B,2,0),0)</f>
        <v>NL300131</v>
      </c>
      <c r="M90" t="str">
        <f t="shared" si="6"/>
        <v>02/01/2026NL300131</v>
      </c>
      <c r="N90" s="15">
        <f>IFERROR(VLOOKUP(M90,'WS3'!$B$2:$Q$437,11,0),0)</f>
        <v>0.2</v>
      </c>
      <c r="O90" s="17">
        <f>IFERROR(VLOOKUP(M90,'WS3'!$B$2:$Q$437,12,0),0)</f>
        <v>220000</v>
      </c>
      <c r="P90" s="17">
        <f t="shared" si="7"/>
        <v>44000</v>
      </c>
      <c r="Q90" s="15">
        <f t="shared" si="8"/>
        <v>0</v>
      </c>
      <c r="R90" s="17">
        <f t="shared" si="9"/>
        <v>0</v>
      </c>
      <c r="S90" s="13"/>
    </row>
    <row r="91" spans="1:19" x14ac:dyDescent="0.25">
      <c r="A91" s="4" t="s">
        <v>137</v>
      </c>
      <c r="B91" s="5" t="s">
        <v>124</v>
      </c>
      <c r="C91" s="4" t="s">
        <v>13</v>
      </c>
      <c r="D91" s="5" t="s">
        <v>138</v>
      </c>
      <c r="E91" s="4" t="s">
        <v>54</v>
      </c>
      <c r="F91" s="4" t="s">
        <v>55</v>
      </c>
      <c r="G91" s="4" t="s">
        <v>16</v>
      </c>
      <c r="H91" s="12">
        <v>8</v>
      </c>
      <c r="I91" s="7">
        <v>62000</v>
      </c>
      <c r="J91" s="7">
        <f t="shared" si="5"/>
        <v>496000</v>
      </c>
      <c r="K91" s="8" t="s">
        <v>17</v>
      </c>
      <c r="L91" t="str">
        <f>IFERROR(VLOOKUP(F91,MÃ!$A:$B,2,0),0)</f>
        <v>NL300147</v>
      </c>
      <c r="M91" t="str">
        <f t="shared" si="6"/>
        <v>02/01/2026NL300147</v>
      </c>
      <c r="N91" s="15">
        <f>IFERROR(VLOOKUP(M91,'WS3'!$B$2:$Q$437,11,0),0)</f>
        <v>5.5</v>
      </c>
      <c r="O91" s="17">
        <f>IFERROR(VLOOKUP(M91,'WS3'!$B$2:$Q$437,12,0),0)</f>
        <v>62000</v>
      </c>
      <c r="P91" s="17">
        <f t="shared" si="7"/>
        <v>341000</v>
      </c>
      <c r="Q91" s="15">
        <f t="shared" si="8"/>
        <v>2.5</v>
      </c>
      <c r="R91" s="17">
        <f t="shared" si="9"/>
        <v>0</v>
      </c>
      <c r="S91" s="13" t="s">
        <v>543</v>
      </c>
    </row>
    <row r="92" spans="1:19" x14ac:dyDescent="0.25">
      <c r="A92" s="4" t="s">
        <v>137</v>
      </c>
      <c r="B92" s="5" t="s">
        <v>124</v>
      </c>
      <c r="C92" s="4" t="s">
        <v>13</v>
      </c>
      <c r="D92" s="5" t="s">
        <v>139</v>
      </c>
      <c r="E92" s="4" t="s">
        <v>135</v>
      </c>
      <c r="F92" s="4" t="s">
        <v>136</v>
      </c>
      <c r="G92" s="4" t="s">
        <v>108</v>
      </c>
      <c r="H92" s="12">
        <v>30</v>
      </c>
      <c r="I92" s="7">
        <v>9000</v>
      </c>
      <c r="J92" s="7">
        <f t="shared" si="5"/>
        <v>270000</v>
      </c>
      <c r="K92" s="8" t="s">
        <v>17</v>
      </c>
      <c r="L92" t="str">
        <f>IFERROR(VLOOKUP(F92,MÃ!$A:$B,2,0),0)</f>
        <v>NL100279</v>
      </c>
      <c r="M92" t="str">
        <f t="shared" si="6"/>
        <v>02/01/2026NL100279</v>
      </c>
      <c r="N92" s="15">
        <f>IFERROR(VLOOKUP(M92,'WS3'!$B$2:$Q$437,11,0),0)</f>
        <v>30</v>
      </c>
      <c r="O92" s="17">
        <f>IFERROR(VLOOKUP(M92,'WS3'!$B$2:$Q$437,12,0),0)</f>
        <v>9000</v>
      </c>
      <c r="P92" s="17">
        <f t="shared" si="7"/>
        <v>270000</v>
      </c>
      <c r="Q92" s="15">
        <f t="shared" si="8"/>
        <v>0</v>
      </c>
      <c r="R92" s="17">
        <f t="shared" si="9"/>
        <v>0</v>
      </c>
      <c r="S92" s="13"/>
    </row>
    <row r="93" spans="1:19" x14ac:dyDescent="0.25">
      <c r="A93" s="4" t="s">
        <v>140</v>
      </c>
      <c r="B93" s="5" t="s">
        <v>124</v>
      </c>
      <c r="C93" s="4" t="s">
        <v>13</v>
      </c>
      <c r="D93" s="5" t="s">
        <v>141</v>
      </c>
      <c r="E93" s="4" t="s">
        <v>18</v>
      </c>
      <c r="F93" s="4" t="s">
        <v>19</v>
      </c>
      <c r="G93" s="4" t="s">
        <v>16</v>
      </c>
      <c r="H93" s="12">
        <v>4</v>
      </c>
      <c r="I93" s="7">
        <v>15000</v>
      </c>
      <c r="J93" s="7">
        <f t="shared" si="5"/>
        <v>60000</v>
      </c>
      <c r="K93" s="8" t="s">
        <v>17</v>
      </c>
      <c r="L93" t="str">
        <f>IFERROR(VLOOKUP(F93,MÃ!$A:$B,2,0),0)</f>
        <v>NL300189</v>
      </c>
      <c r="M93" t="str">
        <f t="shared" si="6"/>
        <v>03/01/2026NL300189</v>
      </c>
      <c r="N93" s="15">
        <f>IFERROR(VLOOKUP(M93,'WS3'!$B$2:$Q$437,11,0),0)</f>
        <v>4</v>
      </c>
      <c r="O93" s="17">
        <f>IFERROR(VLOOKUP(M93,'WS3'!$B$2:$Q$437,12,0),0)</f>
        <v>15000</v>
      </c>
      <c r="P93" s="17">
        <f t="shared" si="7"/>
        <v>60000</v>
      </c>
      <c r="Q93" s="15">
        <f t="shared" si="8"/>
        <v>0</v>
      </c>
      <c r="R93" s="17">
        <f t="shared" si="9"/>
        <v>0</v>
      </c>
      <c r="S93" s="13"/>
    </row>
    <row r="94" spans="1:19" ht="28.5" x14ac:dyDescent="0.25">
      <c r="A94" s="4" t="s">
        <v>140</v>
      </c>
      <c r="B94" s="5" t="s">
        <v>124</v>
      </c>
      <c r="C94" s="4" t="s">
        <v>13</v>
      </c>
      <c r="D94" s="5" t="s">
        <v>141</v>
      </c>
      <c r="E94" s="4" t="s">
        <v>56</v>
      </c>
      <c r="F94" s="4" t="s">
        <v>57</v>
      </c>
      <c r="G94" s="4" t="s">
        <v>58</v>
      </c>
      <c r="H94" s="12">
        <v>12</v>
      </c>
      <c r="I94" s="7">
        <v>8500</v>
      </c>
      <c r="J94" s="7">
        <f t="shared" si="5"/>
        <v>102000</v>
      </c>
      <c r="K94" s="8" t="s">
        <v>17</v>
      </c>
      <c r="L94" t="str">
        <f>IFERROR(VLOOKUP(F94,MÃ!$A:$B,2,0),0)</f>
        <v>NL300107</v>
      </c>
      <c r="M94" t="str">
        <f t="shared" si="6"/>
        <v>03/01/2026NL300107</v>
      </c>
      <c r="N94" s="15">
        <f>IFERROR(VLOOKUP(M94,'WS3'!$B$2:$Q$437,11,0),0)</f>
        <v>12</v>
      </c>
      <c r="O94" s="17">
        <f>IFERROR(VLOOKUP(M94,'WS3'!$B$2:$Q$437,12,0),0)</f>
        <v>8500</v>
      </c>
      <c r="P94" s="17">
        <f t="shared" si="7"/>
        <v>102000</v>
      </c>
      <c r="Q94" s="15">
        <f t="shared" si="8"/>
        <v>0</v>
      </c>
      <c r="R94" s="17">
        <f t="shared" si="9"/>
        <v>0</v>
      </c>
      <c r="S94" s="13"/>
    </row>
    <row r="95" spans="1:19" x14ac:dyDescent="0.25">
      <c r="A95" s="4" t="s">
        <v>140</v>
      </c>
      <c r="B95" s="5" t="s">
        <v>124</v>
      </c>
      <c r="C95" s="4" t="s">
        <v>13</v>
      </c>
      <c r="D95" s="5" t="s">
        <v>141</v>
      </c>
      <c r="E95" s="4" t="s">
        <v>22</v>
      </c>
      <c r="F95" s="4" t="s">
        <v>23</v>
      </c>
      <c r="G95" s="4" t="s">
        <v>16</v>
      </c>
      <c r="H95" s="12">
        <v>3.9</v>
      </c>
      <c r="I95" s="7">
        <v>30000</v>
      </c>
      <c r="J95" s="7">
        <f t="shared" si="5"/>
        <v>117000</v>
      </c>
      <c r="K95" s="8" t="s">
        <v>17</v>
      </c>
      <c r="L95" t="str">
        <f>IFERROR(VLOOKUP(F95,MÃ!$A:$B,2,0),0)</f>
        <v>NL300007</v>
      </c>
      <c r="M95" t="str">
        <f t="shared" si="6"/>
        <v>03/01/2026NL300007</v>
      </c>
      <c r="N95" s="15">
        <f>IFERROR(VLOOKUP(M95,'WS3'!$B$2:$Q$437,11,0),0)</f>
        <v>3.9</v>
      </c>
      <c r="O95" s="17">
        <f>IFERROR(VLOOKUP(M95,'WS3'!$B$2:$Q$437,12,0),0)</f>
        <v>30000</v>
      </c>
      <c r="P95" s="17">
        <f t="shared" si="7"/>
        <v>117000</v>
      </c>
      <c r="Q95" s="15">
        <f t="shared" si="8"/>
        <v>0</v>
      </c>
      <c r="R95" s="17">
        <f t="shared" si="9"/>
        <v>0</v>
      </c>
      <c r="S95" s="13"/>
    </row>
    <row r="96" spans="1:19" x14ac:dyDescent="0.25">
      <c r="A96" s="4" t="s">
        <v>140</v>
      </c>
      <c r="B96" s="5" t="s">
        <v>124</v>
      </c>
      <c r="C96" s="4" t="s">
        <v>13</v>
      </c>
      <c r="D96" s="5" t="s">
        <v>141</v>
      </c>
      <c r="E96" s="4" t="s">
        <v>24</v>
      </c>
      <c r="F96" s="4" t="s">
        <v>25</v>
      </c>
      <c r="G96" s="4" t="s">
        <v>16</v>
      </c>
      <c r="H96" s="12">
        <v>12.1</v>
      </c>
      <c r="I96" s="7">
        <v>40000</v>
      </c>
      <c r="J96" s="7">
        <f t="shared" si="5"/>
        <v>484000</v>
      </c>
      <c r="K96" s="8" t="s">
        <v>17</v>
      </c>
      <c r="L96" t="str">
        <f>IFERROR(VLOOKUP(F96,MÃ!$A:$B,2,0),0)</f>
        <v>NL300008</v>
      </c>
      <c r="M96" t="str">
        <f t="shared" si="6"/>
        <v>03/01/2026NL300008</v>
      </c>
      <c r="N96" s="15">
        <f>IFERROR(VLOOKUP(M96,'WS3'!$B$2:$Q$437,11,0),0)</f>
        <v>8</v>
      </c>
      <c r="O96" s="17">
        <f>IFERROR(VLOOKUP(M96,'WS3'!$B$2:$Q$437,12,0),0)</f>
        <v>40000</v>
      </c>
      <c r="P96" s="17">
        <f t="shared" si="7"/>
        <v>320000</v>
      </c>
      <c r="Q96" s="15">
        <f t="shared" si="8"/>
        <v>4.0999999999999996</v>
      </c>
      <c r="R96" s="17">
        <f t="shared" si="9"/>
        <v>0</v>
      </c>
      <c r="S96" s="13" t="s">
        <v>543</v>
      </c>
    </row>
    <row r="97" spans="1:19" x14ac:dyDescent="0.25">
      <c r="A97" s="4" t="s">
        <v>140</v>
      </c>
      <c r="B97" s="5" t="s">
        <v>124</v>
      </c>
      <c r="C97" s="4" t="s">
        <v>13</v>
      </c>
      <c r="D97" s="5" t="s">
        <v>141</v>
      </c>
      <c r="E97" s="4" t="s">
        <v>126</v>
      </c>
      <c r="F97" s="4" t="s">
        <v>127</v>
      </c>
      <c r="G97" s="4" t="s">
        <v>16</v>
      </c>
      <c r="H97" s="12">
        <v>3.5</v>
      </c>
      <c r="I97" s="7">
        <v>52000</v>
      </c>
      <c r="J97" s="7">
        <f t="shared" si="5"/>
        <v>182000</v>
      </c>
      <c r="K97" s="8" t="s">
        <v>17</v>
      </c>
      <c r="L97" t="str">
        <f>IFERROR(VLOOKUP(F97,MÃ!$A:$B,2,0),0)</f>
        <v>NL300137</v>
      </c>
      <c r="M97" t="str">
        <f t="shared" si="6"/>
        <v>03/01/2026NL300137</v>
      </c>
      <c r="N97" s="15">
        <f>IFERROR(VLOOKUP(M97,'WS3'!$B$2:$Q$437,11,0),0)</f>
        <v>2.5</v>
      </c>
      <c r="O97" s="17">
        <f>IFERROR(VLOOKUP(M97,'WS3'!$B$2:$Q$437,12,0),0)</f>
        <v>52000</v>
      </c>
      <c r="P97" s="17">
        <f t="shared" si="7"/>
        <v>130000</v>
      </c>
      <c r="Q97" s="15">
        <f t="shared" si="8"/>
        <v>1</v>
      </c>
      <c r="R97" s="17">
        <f t="shared" si="9"/>
        <v>0</v>
      </c>
      <c r="S97" s="13" t="s">
        <v>543</v>
      </c>
    </row>
    <row r="98" spans="1:19" ht="42.75" x14ac:dyDescent="0.25">
      <c r="A98" s="4" t="s">
        <v>140</v>
      </c>
      <c r="B98" s="5" t="s">
        <v>124</v>
      </c>
      <c r="C98" s="4" t="s">
        <v>13</v>
      </c>
      <c r="D98" s="5" t="s">
        <v>141</v>
      </c>
      <c r="E98" s="4" t="s">
        <v>28</v>
      </c>
      <c r="F98" s="4" t="s">
        <v>29</v>
      </c>
      <c r="G98" s="4" t="s">
        <v>16</v>
      </c>
      <c r="H98" s="12">
        <v>3</v>
      </c>
      <c r="I98" s="7">
        <v>30000</v>
      </c>
      <c r="J98" s="7">
        <f t="shared" si="5"/>
        <v>90000</v>
      </c>
      <c r="K98" s="8" t="s">
        <v>17</v>
      </c>
      <c r="L98" t="str">
        <f>IFERROR(VLOOKUP(F98,MÃ!$A:$B,2,0),0)</f>
        <v>NL300020</v>
      </c>
      <c r="M98" t="str">
        <f t="shared" si="6"/>
        <v>03/01/2026NL300020</v>
      </c>
      <c r="N98" s="15">
        <f>IFERROR(VLOOKUP(M98,'WS3'!$B$2:$Q$437,11,0),0)</f>
        <v>2</v>
      </c>
      <c r="O98" s="17">
        <f>IFERROR(VLOOKUP(M98,'WS3'!$B$2:$Q$437,12,0),0)</f>
        <v>30000</v>
      </c>
      <c r="P98" s="17">
        <f t="shared" si="7"/>
        <v>60000</v>
      </c>
      <c r="Q98" s="15">
        <f t="shared" si="8"/>
        <v>1</v>
      </c>
      <c r="R98" s="17">
        <f t="shared" si="9"/>
        <v>0</v>
      </c>
      <c r="S98" s="13" t="s">
        <v>543</v>
      </c>
    </row>
    <row r="99" spans="1:19" x14ac:dyDescent="0.25">
      <c r="A99" s="4" t="s">
        <v>140</v>
      </c>
      <c r="B99" s="5" t="s">
        <v>124</v>
      </c>
      <c r="C99" s="4" t="s">
        <v>13</v>
      </c>
      <c r="D99" s="5" t="s">
        <v>141</v>
      </c>
      <c r="E99" s="4" t="s">
        <v>59</v>
      </c>
      <c r="F99" s="4" t="s">
        <v>60</v>
      </c>
      <c r="G99" s="4" t="s">
        <v>16</v>
      </c>
      <c r="H99" s="12">
        <v>0.7</v>
      </c>
      <c r="I99" s="7">
        <v>75000</v>
      </c>
      <c r="J99" s="7">
        <f t="shared" si="5"/>
        <v>52500</v>
      </c>
      <c r="K99" s="8" t="s">
        <v>17</v>
      </c>
      <c r="L99" t="str">
        <f>IFERROR(VLOOKUP(F99,MÃ!$A:$B,2,0),0)</f>
        <v>NL600067</v>
      </c>
      <c r="M99" t="str">
        <f t="shared" si="6"/>
        <v>03/01/2026NL600067</v>
      </c>
      <c r="N99" s="15">
        <f>IFERROR(VLOOKUP(M99,'WS3'!$B$2:$Q$437,11,0),0)</f>
        <v>0.7</v>
      </c>
      <c r="O99" s="17">
        <f>IFERROR(VLOOKUP(M99,'WS3'!$B$2:$Q$437,12,0),0)</f>
        <v>75000</v>
      </c>
      <c r="P99" s="17">
        <f t="shared" si="7"/>
        <v>52500</v>
      </c>
      <c r="Q99" s="15">
        <f t="shared" si="8"/>
        <v>0</v>
      </c>
      <c r="R99" s="17">
        <f t="shared" si="9"/>
        <v>0</v>
      </c>
      <c r="S99" s="13"/>
    </row>
    <row r="100" spans="1:19" x14ac:dyDescent="0.25">
      <c r="A100" s="4" t="s">
        <v>140</v>
      </c>
      <c r="B100" s="5" t="s">
        <v>124</v>
      </c>
      <c r="C100" s="4" t="s">
        <v>13</v>
      </c>
      <c r="D100" s="5" t="s">
        <v>141</v>
      </c>
      <c r="E100" s="4" t="s">
        <v>89</v>
      </c>
      <c r="F100" s="4" t="s">
        <v>90</v>
      </c>
      <c r="G100" s="4" t="s">
        <v>16</v>
      </c>
      <c r="H100" s="12">
        <v>1.2</v>
      </c>
      <c r="I100" s="7">
        <v>44000</v>
      </c>
      <c r="J100" s="7">
        <f t="shared" si="5"/>
        <v>52800</v>
      </c>
      <c r="K100" s="8" t="s">
        <v>17</v>
      </c>
      <c r="L100" t="str">
        <f>IFERROR(VLOOKUP(F100,MÃ!$A:$B,2,0),0)</f>
        <v>NL300025</v>
      </c>
      <c r="M100" t="str">
        <f t="shared" si="6"/>
        <v>03/01/2026NL300025</v>
      </c>
      <c r="N100" s="15">
        <f>IFERROR(VLOOKUP(M100,'WS3'!$B$2:$Q$437,11,0),0)</f>
        <v>1.2</v>
      </c>
      <c r="O100" s="17">
        <f>IFERROR(VLOOKUP(M100,'WS3'!$B$2:$Q$437,12,0),0)</f>
        <v>44000</v>
      </c>
      <c r="P100" s="17">
        <f t="shared" si="7"/>
        <v>52800</v>
      </c>
      <c r="Q100" s="15">
        <f t="shared" si="8"/>
        <v>0</v>
      </c>
      <c r="R100" s="17">
        <f t="shared" si="9"/>
        <v>0</v>
      </c>
      <c r="S100" s="13"/>
    </row>
    <row r="101" spans="1:19" x14ac:dyDescent="0.25">
      <c r="A101" s="4" t="s">
        <v>140</v>
      </c>
      <c r="B101" s="5" t="s">
        <v>124</v>
      </c>
      <c r="C101" s="4" t="s">
        <v>13</v>
      </c>
      <c r="D101" s="5" t="s">
        <v>141</v>
      </c>
      <c r="E101" s="4" t="s">
        <v>91</v>
      </c>
      <c r="F101" s="4" t="s">
        <v>92</v>
      </c>
      <c r="G101" s="4" t="s">
        <v>16</v>
      </c>
      <c r="H101" s="12">
        <v>1.5</v>
      </c>
      <c r="I101" s="7">
        <v>34000</v>
      </c>
      <c r="J101" s="7">
        <f t="shared" si="5"/>
        <v>51000</v>
      </c>
      <c r="K101" s="8" t="s">
        <v>17</v>
      </c>
      <c r="L101" t="str">
        <f>IFERROR(VLOOKUP(F101,MÃ!$A:$B,2,0),0)</f>
        <v>NL300030</v>
      </c>
      <c r="M101" t="str">
        <f t="shared" si="6"/>
        <v>03/01/2026NL300030</v>
      </c>
      <c r="N101" s="15">
        <f>IFERROR(VLOOKUP(M101,'WS3'!$B$2:$Q$437,11,0),0)</f>
        <v>1.5</v>
      </c>
      <c r="O101" s="17">
        <f>IFERROR(VLOOKUP(M101,'WS3'!$B$2:$Q$437,12,0),0)</f>
        <v>34000</v>
      </c>
      <c r="P101" s="17">
        <f t="shared" si="7"/>
        <v>51000</v>
      </c>
      <c r="Q101" s="15">
        <f t="shared" si="8"/>
        <v>0</v>
      </c>
      <c r="R101" s="17">
        <f t="shared" si="9"/>
        <v>0</v>
      </c>
      <c r="S101" s="13"/>
    </row>
    <row r="102" spans="1:19" x14ac:dyDescent="0.25">
      <c r="A102" s="4" t="s">
        <v>140</v>
      </c>
      <c r="B102" s="5" t="s">
        <v>124</v>
      </c>
      <c r="C102" s="4" t="s">
        <v>13</v>
      </c>
      <c r="D102" s="5" t="s">
        <v>141</v>
      </c>
      <c r="E102" s="4" t="s">
        <v>61</v>
      </c>
      <c r="F102" s="4" t="s">
        <v>62</v>
      </c>
      <c r="G102" s="4" t="s">
        <v>16</v>
      </c>
      <c r="H102" s="12">
        <v>3</v>
      </c>
      <c r="I102" s="7">
        <v>22000</v>
      </c>
      <c r="J102" s="7">
        <f t="shared" si="5"/>
        <v>66000</v>
      </c>
      <c r="K102" s="8" t="s">
        <v>17</v>
      </c>
      <c r="L102" t="str">
        <f>IFERROR(VLOOKUP(F102,MÃ!$A:$B,2,0),0)</f>
        <v>NL300029</v>
      </c>
      <c r="M102" t="str">
        <f t="shared" si="6"/>
        <v>03/01/2026NL300029</v>
      </c>
      <c r="N102" s="15">
        <f>IFERROR(VLOOKUP(M102,'WS3'!$B$2:$Q$437,11,0),0)</f>
        <v>3</v>
      </c>
      <c r="O102" s="17">
        <f>IFERROR(VLOOKUP(M102,'WS3'!$B$2:$Q$437,12,0),0)</f>
        <v>22000</v>
      </c>
      <c r="P102" s="17">
        <f t="shared" si="7"/>
        <v>66000</v>
      </c>
      <c r="Q102" s="15">
        <f t="shared" si="8"/>
        <v>0</v>
      </c>
      <c r="R102" s="17">
        <f t="shared" si="9"/>
        <v>0</v>
      </c>
      <c r="S102" s="13"/>
    </row>
    <row r="103" spans="1:19" x14ac:dyDescent="0.25">
      <c r="A103" s="4" t="s">
        <v>140</v>
      </c>
      <c r="B103" s="5" t="s">
        <v>124</v>
      </c>
      <c r="C103" s="4" t="s">
        <v>13</v>
      </c>
      <c r="D103" s="5" t="s">
        <v>141</v>
      </c>
      <c r="E103" s="4" t="s">
        <v>93</v>
      </c>
      <c r="F103" s="4" t="s">
        <v>94</v>
      </c>
      <c r="G103" s="4" t="s">
        <v>16</v>
      </c>
      <c r="H103" s="12">
        <v>0.6</v>
      </c>
      <c r="I103" s="7">
        <v>95000</v>
      </c>
      <c r="J103" s="7">
        <f t="shared" si="5"/>
        <v>57000</v>
      </c>
      <c r="K103" s="8" t="s">
        <v>17</v>
      </c>
      <c r="L103" t="str">
        <f>IFERROR(VLOOKUP(F103,MÃ!$A:$B,2,0),0)</f>
        <v>NL600068</v>
      </c>
      <c r="M103" t="str">
        <f t="shared" si="6"/>
        <v>03/01/2026NL600068</v>
      </c>
      <c r="N103" s="15">
        <f>IFERROR(VLOOKUP(M103,'WS3'!$B$2:$Q$437,11,0),0)</f>
        <v>0.6</v>
      </c>
      <c r="O103" s="17">
        <f>IFERROR(VLOOKUP(M103,'WS3'!$B$2:$Q$437,12,0),0)</f>
        <v>95000</v>
      </c>
      <c r="P103" s="17">
        <f t="shared" si="7"/>
        <v>57000</v>
      </c>
      <c r="Q103" s="15">
        <f t="shared" si="8"/>
        <v>0</v>
      </c>
      <c r="R103" s="17">
        <f t="shared" si="9"/>
        <v>0</v>
      </c>
      <c r="S103" s="13"/>
    </row>
    <row r="104" spans="1:19" x14ac:dyDescent="0.25">
      <c r="A104" s="4" t="s">
        <v>140</v>
      </c>
      <c r="B104" s="5" t="s">
        <v>124</v>
      </c>
      <c r="C104" s="4" t="s">
        <v>13</v>
      </c>
      <c r="D104" s="5" t="s">
        <v>141</v>
      </c>
      <c r="E104" s="4" t="s">
        <v>30</v>
      </c>
      <c r="F104" s="4" t="s">
        <v>31</v>
      </c>
      <c r="G104" s="4" t="s">
        <v>16</v>
      </c>
      <c r="H104" s="12">
        <v>2</v>
      </c>
      <c r="I104" s="7">
        <v>38000</v>
      </c>
      <c r="J104" s="7">
        <f t="shared" si="5"/>
        <v>76000</v>
      </c>
      <c r="K104" s="8" t="s">
        <v>17</v>
      </c>
      <c r="L104" t="str">
        <f>IFERROR(VLOOKUP(F104,MÃ!$A:$B,2,0),0)</f>
        <v>NL300054</v>
      </c>
      <c r="M104" t="str">
        <f t="shared" si="6"/>
        <v>03/01/2026NL300054</v>
      </c>
      <c r="N104" s="15">
        <f>IFERROR(VLOOKUP(M104,'WS3'!$B$2:$Q$437,11,0),0)</f>
        <v>2</v>
      </c>
      <c r="O104" s="17">
        <f>IFERROR(VLOOKUP(M104,'WS3'!$B$2:$Q$437,12,0),0)</f>
        <v>38000</v>
      </c>
      <c r="P104" s="17">
        <f t="shared" si="7"/>
        <v>76000</v>
      </c>
      <c r="Q104" s="15">
        <f t="shared" si="8"/>
        <v>0</v>
      </c>
      <c r="R104" s="17">
        <f t="shared" si="9"/>
        <v>0</v>
      </c>
      <c r="S104" s="13"/>
    </row>
    <row r="105" spans="1:19" x14ac:dyDescent="0.25">
      <c r="A105" s="4" t="s">
        <v>140</v>
      </c>
      <c r="B105" s="5" t="s">
        <v>124</v>
      </c>
      <c r="C105" s="4" t="s">
        <v>13</v>
      </c>
      <c r="D105" s="5" t="s">
        <v>141</v>
      </c>
      <c r="E105" s="4" t="s">
        <v>32</v>
      </c>
      <c r="F105" s="4" t="s">
        <v>33</v>
      </c>
      <c r="G105" s="4" t="s">
        <v>16</v>
      </c>
      <c r="H105" s="12">
        <v>0.2</v>
      </c>
      <c r="I105" s="7">
        <v>25000</v>
      </c>
      <c r="J105" s="7">
        <f t="shared" si="5"/>
        <v>5000</v>
      </c>
      <c r="K105" s="8" t="s">
        <v>17</v>
      </c>
      <c r="L105" t="str">
        <f>IFERROR(VLOOKUP(F105,MÃ!$A:$B,2,0),0)</f>
        <v>NL300035</v>
      </c>
      <c r="M105" t="str">
        <f t="shared" si="6"/>
        <v>03/01/2026NL300035</v>
      </c>
      <c r="N105" s="15">
        <f>IFERROR(VLOOKUP(M105,'WS3'!$B$2:$Q$437,11,0),0)</f>
        <v>0.2</v>
      </c>
      <c r="O105" s="17">
        <f>IFERROR(VLOOKUP(M105,'WS3'!$B$2:$Q$437,12,0),0)</f>
        <v>25000</v>
      </c>
      <c r="P105" s="17">
        <f t="shared" si="7"/>
        <v>5000</v>
      </c>
      <c r="Q105" s="15">
        <f t="shared" si="8"/>
        <v>0</v>
      </c>
      <c r="R105" s="17">
        <f t="shared" si="9"/>
        <v>0</v>
      </c>
      <c r="S105" s="13"/>
    </row>
    <row r="106" spans="1:19" x14ac:dyDescent="0.25">
      <c r="A106" s="4" t="s">
        <v>140</v>
      </c>
      <c r="B106" s="5" t="s">
        <v>124</v>
      </c>
      <c r="C106" s="4" t="s">
        <v>13</v>
      </c>
      <c r="D106" s="5" t="s">
        <v>141</v>
      </c>
      <c r="E106" s="4" t="s">
        <v>95</v>
      </c>
      <c r="F106" s="4" t="s">
        <v>96</v>
      </c>
      <c r="G106" s="4" t="s">
        <v>16</v>
      </c>
      <c r="H106" s="12">
        <v>1</v>
      </c>
      <c r="I106" s="7">
        <v>47000</v>
      </c>
      <c r="J106" s="7">
        <f t="shared" si="5"/>
        <v>47000</v>
      </c>
      <c r="K106" s="8" t="s">
        <v>17</v>
      </c>
      <c r="L106" t="str">
        <f>IFERROR(VLOOKUP(F106,MÃ!$A:$B,2,0),0)</f>
        <v>NL300036</v>
      </c>
      <c r="M106" t="str">
        <f t="shared" si="6"/>
        <v>03/01/2026NL300036</v>
      </c>
      <c r="N106" s="15">
        <f>IFERROR(VLOOKUP(M106,'WS3'!$B$2:$Q$437,11,0),0)</f>
        <v>1</v>
      </c>
      <c r="O106" s="17">
        <f>IFERROR(VLOOKUP(M106,'WS3'!$B$2:$Q$437,12,0),0)</f>
        <v>47000</v>
      </c>
      <c r="P106" s="17">
        <f t="shared" si="7"/>
        <v>47000</v>
      </c>
      <c r="Q106" s="15">
        <f t="shared" si="8"/>
        <v>0</v>
      </c>
      <c r="R106" s="17">
        <f t="shared" si="9"/>
        <v>0</v>
      </c>
      <c r="S106" s="13"/>
    </row>
    <row r="107" spans="1:19" x14ac:dyDescent="0.25">
      <c r="A107" s="4" t="s">
        <v>140</v>
      </c>
      <c r="B107" s="5" t="s">
        <v>124</v>
      </c>
      <c r="C107" s="4" t="s">
        <v>13</v>
      </c>
      <c r="D107" s="5" t="s">
        <v>141</v>
      </c>
      <c r="E107" s="4" t="s">
        <v>36</v>
      </c>
      <c r="F107" s="4" t="s">
        <v>37</v>
      </c>
      <c r="G107" s="4" t="s">
        <v>16</v>
      </c>
      <c r="H107" s="12">
        <v>26.5</v>
      </c>
      <c r="I107" s="7">
        <v>18000</v>
      </c>
      <c r="J107" s="7">
        <f t="shared" si="5"/>
        <v>477000</v>
      </c>
      <c r="K107" s="8" t="s">
        <v>17</v>
      </c>
      <c r="L107" t="str">
        <f>IFERROR(VLOOKUP(F107,MÃ!$A:$B,2,0),0)</f>
        <v>NL600004</v>
      </c>
      <c r="M107" t="str">
        <f t="shared" si="6"/>
        <v>03/01/2026NL600004</v>
      </c>
      <c r="N107" s="15">
        <f>IFERROR(VLOOKUP(M107,'WS3'!$B$2:$Q$437,11,0),0)</f>
        <v>26.5</v>
      </c>
      <c r="O107" s="17">
        <f>IFERROR(VLOOKUP(M107,'WS3'!$B$2:$Q$437,12,0),0)</f>
        <v>18000</v>
      </c>
      <c r="P107" s="17">
        <f t="shared" si="7"/>
        <v>477000</v>
      </c>
      <c r="Q107" s="15">
        <f t="shared" si="8"/>
        <v>0</v>
      </c>
      <c r="R107" s="17">
        <f t="shared" si="9"/>
        <v>0</v>
      </c>
      <c r="S107" s="13"/>
    </row>
    <row r="108" spans="1:19" x14ac:dyDescent="0.25">
      <c r="A108" s="4" t="s">
        <v>140</v>
      </c>
      <c r="B108" s="5" t="s">
        <v>124</v>
      </c>
      <c r="C108" s="4" t="s">
        <v>13</v>
      </c>
      <c r="D108" s="5" t="s">
        <v>141</v>
      </c>
      <c r="E108" s="4" t="s">
        <v>38</v>
      </c>
      <c r="F108" s="4" t="s">
        <v>39</v>
      </c>
      <c r="G108" s="4" t="s">
        <v>16</v>
      </c>
      <c r="H108" s="12">
        <v>3</v>
      </c>
      <c r="I108" s="7">
        <v>55000</v>
      </c>
      <c r="J108" s="7">
        <f t="shared" si="5"/>
        <v>165000</v>
      </c>
      <c r="K108" s="8" t="s">
        <v>17</v>
      </c>
      <c r="L108" t="str">
        <f>IFERROR(VLOOKUP(F108,MÃ!$A:$B,2,0),0)</f>
        <v>NL300058</v>
      </c>
      <c r="M108" t="str">
        <f t="shared" si="6"/>
        <v>03/01/2026NL300058</v>
      </c>
      <c r="N108" s="15">
        <f>IFERROR(VLOOKUP(M108,'WS3'!$B$2:$Q$437,11,0),0)</f>
        <v>2</v>
      </c>
      <c r="O108" s="17">
        <f>IFERROR(VLOOKUP(M108,'WS3'!$B$2:$Q$437,12,0),0)</f>
        <v>55000</v>
      </c>
      <c r="P108" s="17">
        <f t="shared" si="7"/>
        <v>110000</v>
      </c>
      <c r="Q108" s="15">
        <f t="shared" si="8"/>
        <v>1</v>
      </c>
      <c r="R108" s="17">
        <f t="shared" si="9"/>
        <v>0</v>
      </c>
      <c r="S108" s="13" t="s">
        <v>543</v>
      </c>
    </row>
    <row r="109" spans="1:19" x14ac:dyDescent="0.25">
      <c r="A109" s="4" t="s">
        <v>140</v>
      </c>
      <c r="B109" s="5" t="s">
        <v>124</v>
      </c>
      <c r="C109" s="4" t="s">
        <v>13</v>
      </c>
      <c r="D109" s="5" t="s">
        <v>141</v>
      </c>
      <c r="E109" s="4" t="s">
        <v>113</v>
      </c>
      <c r="F109" s="4" t="s">
        <v>114</v>
      </c>
      <c r="G109" s="4" t="s">
        <v>16</v>
      </c>
      <c r="H109" s="12">
        <v>0.4</v>
      </c>
      <c r="I109" s="7">
        <v>13000</v>
      </c>
      <c r="J109" s="7">
        <f t="shared" si="5"/>
        <v>5200</v>
      </c>
      <c r="K109" s="8" t="s">
        <v>17</v>
      </c>
      <c r="L109" t="str">
        <f>IFERROR(VLOOKUP(F109,MÃ!$A:$B,2,0),0)</f>
        <v>NL300059</v>
      </c>
      <c r="M109" t="str">
        <f t="shared" si="6"/>
        <v>03/01/2026NL300059</v>
      </c>
      <c r="N109" s="15">
        <f>IFERROR(VLOOKUP(M109,'WS3'!$B$2:$Q$437,11,0),0)</f>
        <v>0.4</v>
      </c>
      <c r="O109" s="17">
        <f>IFERROR(VLOOKUP(M109,'WS3'!$B$2:$Q$437,12,0),0)</f>
        <v>13000</v>
      </c>
      <c r="P109" s="17">
        <f t="shared" si="7"/>
        <v>5200</v>
      </c>
      <c r="Q109" s="15">
        <f t="shared" si="8"/>
        <v>0</v>
      </c>
      <c r="R109" s="17">
        <f t="shared" si="9"/>
        <v>0</v>
      </c>
      <c r="S109" s="13"/>
    </row>
    <row r="110" spans="1:19" x14ac:dyDescent="0.25">
      <c r="A110" s="4" t="s">
        <v>140</v>
      </c>
      <c r="B110" s="5" t="s">
        <v>124</v>
      </c>
      <c r="C110" s="4" t="s">
        <v>13</v>
      </c>
      <c r="D110" s="5" t="s">
        <v>141</v>
      </c>
      <c r="E110" s="4" t="s">
        <v>67</v>
      </c>
      <c r="F110" s="4" t="s">
        <v>68</v>
      </c>
      <c r="G110" s="4" t="s">
        <v>16</v>
      </c>
      <c r="H110" s="12">
        <v>0.5</v>
      </c>
      <c r="I110" s="7">
        <v>18000</v>
      </c>
      <c r="J110" s="7">
        <f t="shared" si="5"/>
        <v>9000</v>
      </c>
      <c r="K110" s="8" t="s">
        <v>17</v>
      </c>
      <c r="L110" t="str">
        <f>IFERROR(VLOOKUP(F110,MÃ!$A:$B,2,0),0)</f>
        <v>NL300184</v>
      </c>
      <c r="M110" t="str">
        <f t="shared" si="6"/>
        <v>03/01/2026NL300184</v>
      </c>
      <c r="N110" s="15">
        <f>IFERROR(VLOOKUP(M110,'WS3'!$B$2:$Q$437,11,0),0)</f>
        <v>0.5</v>
      </c>
      <c r="O110" s="17">
        <f>IFERROR(VLOOKUP(M110,'WS3'!$B$2:$Q$437,12,0),0)</f>
        <v>18000</v>
      </c>
      <c r="P110" s="17">
        <f t="shared" si="7"/>
        <v>9000</v>
      </c>
      <c r="Q110" s="15">
        <f t="shared" si="8"/>
        <v>0</v>
      </c>
      <c r="R110" s="17">
        <f t="shared" si="9"/>
        <v>0</v>
      </c>
      <c r="S110" s="13"/>
    </row>
    <row r="111" spans="1:19" x14ac:dyDescent="0.25">
      <c r="A111" s="4" t="s">
        <v>140</v>
      </c>
      <c r="B111" s="5" t="s">
        <v>124</v>
      </c>
      <c r="C111" s="4" t="s">
        <v>13</v>
      </c>
      <c r="D111" s="5" t="s">
        <v>141</v>
      </c>
      <c r="E111" s="4" t="s">
        <v>14</v>
      </c>
      <c r="F111" s="4" t="s">
        <v>15</v>
      </c>
      <c r="G111" s="4" t="s">
        <v>16</v>
      </c>
      <c r="H111" s="12">
        <v>5</v>
      </c>
      <c r="I111" s="7">
        <v>27000</v>
      </c>
      <c r="J111" s="7">
        <f t="shared" si="5"/>
        <v>135000</v>
      </c>
      <c r="K111" s="8" t="s">
        <v>17</v>
      </c>
      <c r="L111" t="str">
        <f>IFERROR(VLOOKUP(F111,MÃ!$A:$B,2,0),0)</f>
        <v>NL300088</v>
      </c>
      <c r="M111" t="str">
        <f t="shared" si="6"/>
        <v>03/01/2026NL300088</v>
      </c>
      <c r="N111" s="15">
        <f>IFERROR(VLOOKUP(M111,'WS3'!$B$2:$Q$437,11,0),0)</f>
        <v>3.2</v>
      </c>
      <c r="O111" s="17">
        <f>IFERROR(VLOOKUP(M111,'WS3'!$B$2:$Q$437,12,0),0)</f>
        <v>27000</v>
      </c>
      <c r="P111" s="17">
        <f t="shared" si="7"/>
        <v>86400</v>
      </c>
      <c r="Q111" s="15">
        <f t="shared" si="8"/>
        <v>1.7999999999999998</v>
      </c>
      <c r="R111" s="17">
        <f t="shared" si="9"/>
        <v>0</v>
      </c>
      <c r="S111" s="13" t="s">
        <v>543</v>
      </c>
    </row>
    <row r="112" spans="1:19" x14ac:dyDescent="0.25">
      <c r="A112" s="4" t="s">
        <v>140</v>
      </c>
      <c r="B112" s="5" t="s">
        <v>124</v>
      </c>
      <c r="C112" s="4" t="s">
        <v>13</v>
      </c>
      <c r="D112" s="5" t="s">
        <v>141</v>
      </c>
      <c r="E112" s="4" t="s">
        <v>100</v>
      </c>
      <c r="F112" s="4" t="s">
        <v>101</v>
      </c>
      <c r="G112" s="4" t="s">
        <v>16</v>
      </c>
      <c r="H112" s="12">
        <v>1</v>
      </c>
      <c r="I112" s="7">
        <v>80000</v>
      </c>
      <c r="J112" s="7">
        <f t="shared" si="5"/>
        <v>80000</v>
      </c>
      <c r="K112" s="8" t="s">
        <v>17</v>
      </c>
      <c r="L112" t="str">
        <f>IFERROR(VLOOKUP(F112,MÃ!$A:$B,2,0),0)</f>
        <v>NL300094</v>
      </c>
      <c r="M112" t="str">
        <f t="shared" si="6"/>
        <v>03/01/2026NL300094</v>
      </c>
      <c r="N112" s="15">
        <f>IFERROR(VLOOKUP(M112,'WS3'!$B$2:$Q$437,11,0),0)</f>
        <v>0.8</v>
      </c>
      <c r="O112" s="17">
        <f>IFERROR(VLOOKUP(M112,'WS3'!$B$2:$Q$437,12,0),0)</f>
        <v>80000</v>
      </c>
      <c r="P112" s="17">
        <f t="shared" si="7"/>
        <v>64000</v>
      </c>
      <c r="Q112" s="15">
        <f t="shared" si="8"/>
        <v>0.19999999999999996</v>
      </c>
      <c r="R112" s="17">
        <f t="shared" si="9"/>
        <v>0</v>
      </c>
      <c r="S112" s="13" t="s">
        <v>543</v>
      </c>
    </row>
    <row r="113" spans="1:19" ht="28.5" x14ac:dyDescent="0.25">
      <c r="A113" s="4" t="s">
        <v>140</v>
      </c>
      <c r="B113" s="5" t="s">
        <v>124</v>
      </c>
      <c r="C113" s="4" t="s">
        <v>13</v>
      </c>
      <c r="D113" s="5" t="s">
        <v>141</v>
      </c>
      <c r="E113" s="4" t="s">
        <v>44</v>
      </c>
      <c r="F113" s="4" t="s">
        <v>45</v>
      </c>
      <c r="G113" s="4" t="s">
        <v>16</v>
      </c>
      <c r="H113" s="12">
        <v>4</v>
      </c>
      <c r="I113" s="7">
        <v>45000</v>
      </c>
      <c r="J113" s="7">
        <f t="shared" si="5"/>
        <v>180000</v>
      </c>
      <c r="K113" s="8" t="s">
        <v>17</v>
      </c>
      <c r="L113" t="str">
        <f>IFERROR(VLOOKUP(F113,MÃ!$A:$B,2,0),0)</f>
        <v>NL300096</v>
      </c>
      <c r="M113" t="str">
        <f t="shared" si="6"/>
        <v>03/01/2026NL300096</v>
      </c>
      <c r="N113" s="15">
        <f>IFERROR(VLOOKUP(M113,'WS3'!$B$2:$Q$437,11,0),0)</f>
        <v>3.6</v>
      </c>
      <c r="O113" s="17">
        <f>IFERROR(VLOOKUP(M113,'WS3'!$B$2:$Q$437,12,0),0)</f>
        <v>45000</v>
      </c>
      <c r="P113" s="17">
        <f t="shared" si="7"/>
        <v>162000</v>
      </c>
      <c r="Q113" s="15">
        <f t="shared" si="8"/>
        <v>0.39999999999999991</v>
      </c>
      <c r="R113" s="17">
        <f t="shared" si="9"/>
        <v>0</v>
      </c>
      <c r="S113" s="13" t="s">
        <v>543</v>
      </c>
    </row>
    <row r="114" spans="1:19" ht="28.5" x14ac:dyDescent="0.25">
      <c r="A114" s="4" t="s">
        <v>140</v>
      </c>
      <c r="B114" s="5" t="s">
        <v>124</v>
      </c>
      <c r="C114" s="4" t="s">
        <v>13</v>
      </c>
      <c r="D114" s="5" t="s">
        <v>141</v>
      </c>
      <c r="E114" s="4" t="s">
        <v>75</v>
      </c>
      <c r="F114" s="4" t="s">
        <v>76</v>
      </c>
      <c r="G114" s="4" t="s">
        <v>16</v>
      </c>
      <c r="H114" s="12">
        <v>1</v>
      </c>
      <c r="I114" s="7">
        <v>90000</v>
      </c>
      <c r="J114" s="7">
        <f t="shared" si="5"/>
        <v>90000</v>
      </c>
      <c r="K114" s="8" t="s">
        <v>17</v>
      </c>
      <c r="L114" t="str">
        <f>IFERROR(VLOOKUP(F114,MÃ!$A:$B,2,0),0)</f>
        <v>NL300097</v>
      </c>
      <c r="M114" t="str">
        <f t="shared" si="6"/>
        <v>03/01/2026NL300097</v>
      </c>
      <c r="N114" s="15">
        <f>IFERROR(VLOOKUP(M114,'WS3'!$B$2:$Q$437,11,0),0)</f>
        <v>0.8</v>
      </c>
      <c r="O114" s="17">
        <f>IFERROR(VLOOKUP(M114,'WS3'!$B$2:$Q$437,12,0),0)</f>
        <v>90000</v>
      </c>
      <c r="P114" s="17">
        <f t="shared" si="7"/>
        <v>72000</v>
      </c>
      <c r="Q114" s="15">
        <f t="shared" si="8"/>
        <v>0.19999999999999996</v>
      </c>
      <c r="R114" s="17">
        <f t="shared" si="9"/>
        <v>0</v>
      </c>
      <c r="S114" s="13" t="s">
        <v>543</v>
      </c>
    </row>
    <row r="115" spans="1:19" ht="28.5" x14ac:dyDescent="0.25">
      <c r="A115" s="4" t="s">
        <v>140</v>
      </c>
      <c r="B115" s="5" t="s">
        <v>124</v>
      </c>
      <c r="C115" s="4" t="s">
        <v>13</v>
      </c>
      <c r="D115" s="5" t="s">
        <v>141</v>
      </c>
      <c r="E115" s="4" t="s">
        <v>119</v>
      </c>
      <c r="F115" s="4" t="s">
        <v>118</v>
      </c>
      <c r="G115" s="4" t="s">
        <v>16</v>
      </c>
      <c r="H115" s="12">
        <v>0.5</v>
      </c>
      <c r="I115" s="7">
        <v>95000</v>
      </c>
      <c r="J115" s="7">
        <f t="shared" si="5"/>
        <v>47500</v>
      </c>
      <c r="K115" s="8" t="s">
        <v>17</v>
      </c>
      <c r="L115" t="str">
        <f>IFERROR(VLOOKUP(F115,MÃ!$A:$B,2,0),0)</f>
        <v>NL300098</v>
      </c>
      <c r="M115" t="str">
        <f t="shared" si="6"/>
        <v>03/01/2026NL300098</v>
      </c>
      <c r="N115" s="15">
        <f>IFERROR(VLOOKUP(M115,'WS3'!$B$2:$Q$437,11,0),0)</f>
        <v>0.4</v>
      </c>
      <c r="O115" s="17">
        <f>IFERROR(VLOOKUP(M115,'WS3'!$B$2:$Q$437,12,0),0)</f>
        <v>95000</v>
      </c>
      <c r="P115" s="17">
        <f t="shared" si="7"/>
        <v>38000</v>
      </c>
      <c r="Q115" s="15">
        <f t="shared" si="8"/>
        <v>9.9999999999999978E-2</v>
      </c>
      <c r="R115" s="17">
        <f t="shared" si="9"/>
        <v>0</v>
      </c>
      <c r="S115" s="13" t="s">
        <v>543</v>
      </c>
    </row>
    <row r="116" spans="1:19" x14ac:dyDescent="0.25">
      <c r="A116" s="4" t="s">
        <v>140</v>
      </c>
      <c r="B116" s="5" t="s">
        <v>124</v>
      </c>
      <c r="C116" s="4" t="s">
        <v>13</v>
      </c>
      <c r="D116" s="5" t="s">
        <v>141</v>
      </c>
      <c r="E116" s="4" t="s">
        <v>77</v>
      </c>
      <c r="F116" s="4" t="s">
        <v>78</v>
      </c>
      <c r="G116" s="4" t="s">
        <v>16</v>
      </c>
      <c r="H116" s="12">
        <v>2</v>
      </c>
      <c r="I116" s="7">
        <v>45000</v>
      </c>
      <c r="J116" s="7">
        <f t="shared" si="5"/>
        <v>90000</v>
      </c>
      <c r="K116" s="8" t="s">
        <v>17</v>
      </c>
      <c r="L116" t="str">
        <f>IFERROR(VLOOKUP(F116,MÃ!$A:$B,2,0),0)</f>
        <v>NL300085</v>
      </c>
      <c r="M116" t="str">
        <f t="shared" si="6"/>
        <v>03/01/2026NL300085</v>
      </c>
      <c r="N116" s="15">
        <f>IFERROR(VLOOKUP(M116,'WS3'!$B$2:$Q$437,11,0),0)</f>
        <v>1.2</v>
      </c>
      <c r="O116" s="17">
        <f>IFERROR(VLOOKUP(M116,'WS3'!$B$2:$Q$437,12,0),0)</f>
        <v>45000</v>
      </c>
      <c r="P116" s="17">
        <f t="shared" si="7"/>
        <v>54000</v>
      </c>
      <c r="Q116" s="15">
        <f t="shared" si="8"/>
        <v>0.8</v>
      </c>
      <c r="R116" s="17">
        <f t="shared" si="9"/>
        <v>0</v>
      </c>
      <c r="S116" s="13" t="s">
        <v>543</v>
      </c>
    </row>
    <row r="117" spans="1:19" x14ac:dyDescent="0.25">
      <c r="A117" s="4" t="s">
        <v>140</v>
      </c>
      <c r="B117" s="5" t="s">
        <v>124</v>
      </c>
      <c r="C117" s="4" t="s">
        <v>13</v>
      </c>
      <c r="D117" s="5" t="s">
        <v>141</v>
      </c>
      <c r="E117" s="4" t="s">
        <v>46</v>
      </c>
      <c r="F117" s="4" t="s">
        <v>47</v>
      </c>
      <c r="G117" s="4" t="s">
        <v>16</v>
      </c>
      <c r="H117" s="12">
        <v>0.2</v>
      </c>
      <c r="I117" s="7">
        <v>148000</v>
      </c>
      <c r="J117" s="7">
        <f t="shared" si="5"/>
        <v>29600</v>
      </c>
      <c r="K117" s="8" t="s">
        <v>17</v>
      </c>
      <c r="L117" t="str">
        <f>IFERROR(VLOOKUP(F117,MÃ!$A:$B,2,0),0)</f>
        <v>NL300116</v>
      </c>
      <c r="M117" t="str">
        <f t="shared" si="6"/>
        <v>03/01/2026NL300116</v>
      </c>
      <c r="N117" s="15">
        <f>IFERROR(VLOOKUP(M117,'WS3'!$B$2:$Q$437,11,0),0)</f>
        <v>0.2</v>
      </c>
      <c r="O117" s="17">
        <f>IFERROR(VLOOKUP(M117,'WS3'!$B$2:$Q$437,12,0),0)</f>
        <v>148000</v>
      </c>
      <c r="P117" s="17">
        <f t="shared" si="7"/>
        <v>29600</v>
      </c>
      <c r="Q117" s="15">
        <f t="shared" si="8"/>
        <v>0</v>
      </c>
      <c r="R117" s="17">
        <f t="shared" si="9"/>
        <v>0</v>
      </c>
      <c r="S117" s="13"/>
    </row>
    <row r="118" spans="1:19" x14ac:dyDescent="0.25">
      <c r="A118" s="4" t="s">
        <v>140</v>
      </c>
      <c r="B118" s="5" t="s">
        <v>124</v>
      </c>
      <c r="C118" s="4" t="s">
        <v>13</v>
      </c>
      <c r="D118" s="5" t="s">
        <v>141</v>
      </c>
      <c r="E118" s="4" t="s">
        <v>48</v>
      </c>
      <c r="F118" s="4" t="s">
        <v>49</v>
      </c>
      <c r="G118" s="4" t="s">
        <v>16</v>
      </c>
      <c r="H118" s="12">
        <v>0.5</v>
      </c>
      <c r="I118" s="7">
        <v>42000</v>
      </c>
      <c r="J118" s="7">
        <f t="shared" si="5"/>
        <v>21000</v>
      </c>
      <c r="K118" s="8" t="s">
        <v>17</v>
      </c>
      <c r="L118" t="str">
        <f>IFERROR(VLOOKUP(F118,MÃ!$A:$B,2,0),0)</f>
        <v>NL300125</v>
      </c>
      <c r="M118" t="str">
        <f t="shared" si="6"/>
        <v>03/01/2026NL300125</v>
      </c>
      <c r="N118" s="15">
        <f>IFERROR(VLOOKUP(M118,'WS3'!$B$2:$Q$437,11,0),0)</f>
        <v>0.5</v>
      </c>
      <c r="O118" s="17">
        <f>IFERROR(VLOOKUP(M118,'WS3'!$B$2:$Q$437,12,0),0)</f>
        <v>42000</v>
      </c>
      <c r="P118" s="17">
        <f t="shared" si="7"/>
        <v>21000</v>
      </c>
      <c r="Q118" s="15">
        <f t="shared" si="8"/>
        <v>0</v>
      </c>
      <c r="R118" s="17">
        <f t="shared" si="9"/>
        <v>0</v>
      </c>
      <c r="S118" s="13"/>
    </row>
    <row r="119" spans="1:19" x14ac:dyDescent="0.25">
      <c r="A119" s="4" t="s">
        <v>140</v>
      </c>
      <c r="B119" s="5" t="s">
        <v>124</v>
      </c>
      <c r="C119" s="4" t="s">
        <v>13</v>
      </c>
      <c r="D119" s="5" t="s">
        <v>141</v>
      </c>
      <c r="E119" s="4" t="s">
        <v>133</v>
      </c>
      <c r="F119" s="4" t="s">
        <v>134</v>
      </c>
      <c r="G119" s="4" t="s">
        <v>16</v>
      </c>
      <c r="H119" s="12">
        <v>0.5</v>
      </c>
      <c r="I119" s="7">
        <v>36000</v>
      </c>
      <c r="J119" s="7">
        <f t="shared" si="5"/>
        <v>18000</v>
      </c>
      <c r="K119" s="8" t="s">
        <v>17</v>
      </c>
      <c r="L119" t="str">
        <f>IFERROR(VLOOKUP(F119,MÃ!$A:$B,2,0),0)</f>
        <v>NL300140</v>
      </c>
      <c r="M119" t="str">
        <f t="shared" si="6"/>
        <v>03/01/2026NL300140</v>
      </c>
      <c r="N119" s="15">
        <f>IFERROR(VLOOKUP(M119,'WS3'!$B$2:$Q$437,11,0),0)</f>
        <v>0.4</v>
      </c>
      <c r="O119" s="17">
        <f>IFERROR(VLOOKUP(M119,'WS3'!$B$2:$Q$437,12,0),0)</f>
        <v>36000</v>
      </c>
      <c r="P119" s="17">
        <f t="shared" si="7"/>
        <v>14400</v>
      </c>
      <c r="Q119" s="15">
        <f t="shared" si="8"/>
        <v>9.9999999999999978E-2</v>
      </c>
      <c r="R119" s="17">
        <f t="shared" si="9"/>
        <v>0</v>
      </c>
      <c r="S119" s="13" t="s">
        <v>543</v>
      </c>
    </row>
    <row r="120" spans="1:19" x14ac:dyDescent="0.25">
      <c r="A120" s="4" t="s">
        <v>140</v>
      </c>
      <c r="B120" s="5" t="s">
        <v>124</v>
      </c>
      <c r="C120" s="4" t="s">
        <v>13</v>
      </c>
      <c r="D120" s="5" t="s">
        <v>141</v>
      </c>
      <c r="E120" s="4" t="s">
        <v>52</v>
      </c>
      <c r="F120" s="4" t="s">
        <v>53</v>
      </c>
      <c r="G120" s="4" t="s">
        <v>16</v>
      </c>
      <c r="H120" s="12">
        <v>1.3</v>
      </c>
      <c r="I120" s="7">
        <v>21000</v>
      </c>
      <c r="J120" s="7">
        <f t="shared" si="5"/>
        <v>27300</v>
      </c>
      <c r="K120" s="8" t="s">
        <v>17</v>
      </c>
      <c r="L120" t="str">
        <f>IFERROR(VLOOKUP(F120,MÃ!$A:$B,2,0),0)</f>
        <v>NL300119</v>
      </c>
      <c r="M120" t="str">
        <f t="shared" si="6"/>
        <v>03/01/2026NL300119</v>
      </c>
      <c r="N120" s="15">
        <f>IFERROR(VLOOKUP(M120,'WS3'!$B$2:$Q$437,11,0),0)</f>
        <v>1.3</v>
      </c>
      <c r="O120" s="17">
        <f>IFERROR(VLOOKUP(M120,'WS3'!$B$2:$Q$437,12,0),0)</f>
        <v>21000</v>
      </c>
      <c r="P120" s="17">
        <f t="shared" si="7"/>
        <v>27300</v>
      </c>
      <c r="Q120" s="15">
        <f t="shared" si="8"/>
        <v>0</v>
      </c>
      <c r="R120" s="17">
        <f t="shared" si="9"/>
        <v>0</v>
      </c>
      <c r="S120" s="13"/>
    </row>
    <row r="121" spans="1:19" x14ac:dyDescent="0.25">
      <c r="A121" s="4" t="s">
        <v>140</v>
      </c>
      <c r="B121" s="5" t="s">
        <v>124</v>
      </c>
      <c r="C121" s="4" t="s">
        <v>13</v>
      </c>
      <c r="D121" s="5" t="s">
        <v>141</v>
      </c>
      <c r="E121" s="4" t="s">
        <v>83</v>
      </c>
      <c r="F121" s="4" t="s">
        <v>84</v>
      </c>
      <c r="G121" s="4" t="s">
        <v>16</v>
      </c>
      <c r="H121" s="12">
        <v>0.1</v>
      </c>
      <c r="I121" s="7">
        <v>42000</v>
      </c>
      <c r="J121" s="7">
        <f t="shared" si="5"/>
        <v>4200</v>
      </c>
      <c r="K121" s="8" t="s">
        <v>17</v>
      </c>
      <c r="L121" t="str">
        <f>IFERROR(VLOOKUP(F121,MÃ!$A:$B,2,0),0)</f>
        <v>NL300139</v>
      </c>
      <c r="M121" t="str">
        <f t="shared" si="6"/>
        <v>03/01/2026NL300139</v>
      </c>
      <c r="N121" s="15">
        <f>IFERROR(VLOOKUP(M121,'WS3'!$B$2:$Q$437,11,0),0)</f>
        <v>0.1</v>
      </c>
      <c r="O121" s="17">
        <f>IFERROR(VLOOKUP(M121,'WS3'!$B$2:$Q$437,12,0),0)</f>
        <v>42000</v>
      </c>
      <c r="P121" s="17">
        <f t="shared" si="7"/>
        <v>4200</v>
      </c>
      <c r="Q121" s="15">
        <f t="shared" si="8"/>
        <v>0</v>
      </c>
      <c r="R121" s="17">
        <f t="shared" si="9"/>
        <v>0</v>
      </c>
      <c r="S121" s="13"/>
    </row>
    <row r="122" spans="1:19" x14ac:dyDescent="0.25">
      <c r="A122" s="4" t="s">
        <v>140</v>
      </c>
      <c r="B122" s="5" t="s">
        <v>124</v>
      </c>
      <c r="C122" s="4" t="s">
        <v>13</v>
      </c>
      <c r="D122" s="5" t="s">
        <v>141</v>
      </c>
      <c r="E122" s="4" t="s">
        <v>85</v>
      </c>
      <c r="F122" s="4" t="s">
        <v>86</v>
      </c>
      <c r="G122" s="4" t="s">
        <v>16</v>
      </c>
      <c r="H122" s="12">
        <v>4</v>
      </c>
      <c r="I122" s="7">
        <v>50000</v>
      </c>
      <c r="J122" s="7">
        <f t="shared" si="5"/>
        <v>200000</v>
      </c>
      <c r="K122" s="8" t="s">
        <v>17</v>
      </c>
      <c r="L122" t="str">
        <f>IFERROR(VLOOKUP(F122,MÃ!$A:$B,2,0),0)</f>
        <v>NL300142</v>
      </c>
      <c r="M122" t="str">
        <f t="shared" si="6"/>
        <v>03/01/2026NL300142</v>
      </c>
      <c r="N122" s="15">
        <f>IFERROR(VLOOKUP(M122,'WS3'!$B$2:$Q$437,11,0),0)</f>
        <v>4</v>
      </c>
      <c r="O122" s="17">
        <f>IFERROR(VLOOKUP(M122,'WS3'!$B$2:$Q$437,12,0),0)</f>
        <v>50000</v>
      </c>
      <c r="P122" s="17">
        <f t="shared" si="7"/>
        <v>200000</v>
      </c>
      <c r="Q122" s="15">
        <f t="shared" si="8"/>
        <v>0</v>
      </c>
      <c r="R122" s="17">
        <f t="shared" si="9"/>
        <v>0</v>
      </c>
      <c r="S122" s="13"/>
    </row>
    <row r="123" spans="1:19" x14ac:dyDescent="0.25">
      <c r="A123" s="4" t="s">
        <v>140</v>
      </c>
      <c r="B123" s="5" t="s">
        <v>124</v>
      </c>
      <c r="C123" s="4" t="s">
        <v>13</v>
      </c>
      <c r="D123" s="5" t="s">
        <v>141</v>
      </c>
      <c r="E123" s="4" t="s">
        <v>106</v>
      </c>
      <c r="F123" s="4" t="s">
        <v>107</v>
      </c>
      <c r="G123" s="4" t="s">
        <v>108</v>
      </c>
      <c r="H123" s="12">
        <v>50</v>
      </c>
      <c r="I123" s="7">
        <v>5000</v>
      </c>
      <c r="J123" s="7">
        <f t="shared" si="5"/>
        <v>250000</v>
      </c>
      <c r="K123" s="8" t="s">
        <v>17</v>
      </c>
      <c r="L123" t="str">
        <f>IFERROR(VLOOKUP(F123,MÃ!$A:$B,2,0),0)</f>
        <v>NL100101</v>
      </c>
      <c r="M123" t="str">
        <f t="shared" si="6"/>
        <v>03/01/2026NL100101</v>
      </c>
      <c r="N123" s="15">
        <f>IFERROR(VLOOKUP(M123,'WS3'!$B$2:$Q$437,11,0),0)</f>
        <v>50</v>
      </c>
      <c r="O123" s="17">
        <f>IFERROR(VLOOKUP(M123,'WS3'!$B$2:$Q$437,12,0),0)</f>
        <v>5000</v>
      </c>
      <c r="P123" s="17">
        <f t="shared" si="7"/>
        <v>250000</v>
      </c>
      <c r="Q123" s="15">
        <f t="shared" si="8"/>
        <v>0</v>
      </c>
      <c r="R123" s="17">
        <f t="shared" si="9"/>
        <v>0</v>
      </c>
      <c r="S123" s="13"/>
    </row>
    <row r="124" spans="1:19" x14ac:dyDescent="0.25">
      <c r="A124" s="4" t="s">
        <v>140</v>
      </c>
      <c r="B124" s="5" t="s">
        <v>124</v>
      </c>
      <c r="C124" s="4" t="s">
        <v>13</v>
      </c>
      <c r="D124" s="5" t="s">
        <v>141</v>
      </c>
      <c r="E124" s="4" t="s">
        <v>87</v>
      </c>
      <c r="F124" s="4" t="s">
        <v>88</v>
      </c>
      <c r="G124" s="4" t="s">
        <v>16</v>
      </c>
      <c r="H124" s="12">
        <v>0.1</v>
      </c>
      <c r="I124" s="7">
        <v>220000</v>
      </c>
      <c r="J124" s="7">
        <f t="shared" si="5"/>
        <v>22000</v>
      </c>
      <c r="K124" s="8" t="s">
        <v>17</v>
      </c>
      <c r="L124" t="str">
        <f>IFERROR(VLOOKUP(F124,MÃ!$A:$B,2,0),0)</f>
        <v>NL300131</v>
      </c>
      <c r="M124" t="str">
        <f t="shared" si="6"/>
        <v>03/01/2026NL300131</v>
      </c>
      <c r="N124" s="15">
        <f>IFERROR(VLOOKUP(M124,'WS3'!$B$2:$Q$437,11,0),0)</f>
        <v>0.1</v>
      </c>
      <c r="O124" s="17">
        <f>IFERROR(VLOOKUP(M124,'WS3'!$B$2:$Q$437,12,0),0)</f>
        <v>220000</v>
      </c>
      <c r="P124" s="17">
        <f t="shared" si="7"/>
        <v>22000</v>
      </c>
      <c r="Q124" s="15">
        <f t="shared" si="8"/>
        <v>0</v>
      </c>
      <c r="R124" s="17">
        <f t="shared" si="9"/>
        <v>0</v>
      </c>
      <c r="S124" s="13"/>
    </row>
    <row r="125" spans="1:19" x14ac:dyDescent="0.25">
      <c r="A125" s="4" t="s">
        <v>140</v>
      </c>
      <c r="B125" s="5" t="s">
        <v>124</v>
      </c>
      <c r="C125" s="4" t="s">
        <v>13</v>
      </c>
      <c r="D125" s="5" t="s">
        <v>141</v>
      </c>
      <c r="E125" s="4" t="s">
        <v>54</v>
      </c>
      <c r="F125" s="4" t="s">
        <v>55</v>
      </c>
      <c r="G125" s="4" t="s">
        <v>16</v>
      </c>
      <c r="H125" s="12">
        <v>4</v>
      </c>
      <c r="I125" s="7">
        <v>62000</v>
      </c>
      <c r="J125" s="7">
        <f t="shared" si="5"/>
        <v>248000</v>
      </c>
      <c r="K125" s="8" t="s">
        <v>17</v>
      </c>
      <c r="L125" t="str">
        <f>IFERROR(VLOOKUP(F125,MÃ!$A:$B,2,0),0)</f>
        <v>NL300147</v>
      </c>
      <c r="M125" t="str">
        <f t="shared" si="6"/>
        <v>03/01/2026NL300147</v>
      </c>
      <c r="N125" s="15">
        <f>IFERROR(VLOOKUP(M125,'WS3'!$B$2:$Q$437,11,0),0)</f>
        <v>2.5</v>
      </c>
      <c r="O125" s="17">
        <f>IFERROR(VLOOKUP(M125,'WS3'!$B$2:$Q$437,12,0),0)</f>
        <v>62000</v>
      </c>
      <c r="P125" s="17">
        <f t="shared" si="7"/>
        <v>155000</v>
      </c>
      <c r="Q125" s="15">
        <f t="shared" si="8"/>
        <v>1.5</v>
      </c>
      <c r="R125" s="17">
        <f t="shared" si="9"/>
        <v>0</v>
      </c>
      <c r="S125" s="13" t="s">
        <v>543</v>
      </c>
    </row>
    <row r="126" spans="1:19" x14ac:dyDescent="0.25">
      <c r="A126" s="4" t="s">
        <v>142</v>
      </c>
      <c r="B126" s="5" t="s">
        <v>124</v>
      </c>
      <c r="C126" s="4" t="s">
        <v>13</v>
      </c>
      <c r="D126" s="5" t="s">
        <v>143</v>
      </c>
      <c r="E126" s="4" t="s">
        <v>18</v>
      </c>
      <c r="F126" s="4" t="s">
        <v>19</v>
      </c>
      <c r="G126" s="4" t="s">
        <v>16</v>
      </c>
      <c r="H126" s="12">
        <v>3</v>
      </c>
      <c r="I126" s="7">
        <v>15000</v>
      </c>
      <c r="J126" s="7">
        <f t="shared" si="5"/>
        <v>45000</v>
      </c>
      <c r="K126" s="8" t="s">
        <v>17</v>
      </c>
      <c r="L126" t="str">
        <f>IFERROR(VLOOKUP(F126,MÃ!$A:$B,2,0),0)</f>
        <v>NL300189</v>
      </c>
      <c r="M126" t="str">
        <f t="shared" si="6"/>
        <v>04/01/2026NL300189</v>
      </c>
      <c r="N126" s="15">
        <f>IFERROR(VLOOKUP(M126,'WS3'!$B$2:$Q$437,11,0),0)</f>
        <v>3</v>
      </c>
      <c r="O126" s="17">
        <f>IFERROR(VLOOKUP(M126,'WS3'!$B$2:$Q$437,12,0),0)</f>
        <v>15000</v>
      </c>
      <c r="P126" s="17">
        <f t="shared" si="7"/>
        <v>45000</v>
      </c>
      <c r="Q126" s="15">
        <f t="shared" si="8"/>
        <v>0</v>
      </c>
      <c r="R126" s="17">
        <f t="shared" si="9"/>
        <v>0</v>
      </c>
      <c r="S126" s="13"/>
    </row>
    <row r="127" spans="1:19" ht="28.5" x14ac:dyDescent="0.25">
      <c r="A127" s="4" t="s">
        <v>142</v>
      </c>
      <c r="B127" s="5" t="s">
        <v>124</v>
      </c>
      <c r="C127" s="4" t="s">
        <v>13</v>
      </c>
      <c r="D127" s="5" t="s">
        <v>143</v>
      </c>
      <c r="E127" s="4" t="s">
        <v>56</v>
      </c>
      <c r="F127" s="4" t="s">
        <v>57</v>
      </c>
      <c r="G127" s="4" t="s">
        <v>58</v>
      </c>
      <c r="H127" s="12">
        <v>15</v>
      </c>
      <c r="I127" s="7">
        <v>8500</v>
      </c>
      <c r="J127" s="7">
        <f t="shared" si="5"/>
        <v>127500</v>
      </c>
      <c r="K127" s="8" t="s">
        <v>17</v>
      </c>
      <c r="L127" t="str">
        <f>IFERROR(VLOOKUP(F127,MÃ!$A:$B,2,0),0)</f>
        <v>NL300107</v>
      </c>
      <c r="M127" t="str">
        <f t="shared" si="6"/>
        <v>04/01/2026NL300107</v>
      </c>
      <c r="N127" s="15">
        <f>IFERROR(VLOOKUP(M127,'WS3'!$B$2:$Q$437,11,0),0)</f>
        <v>15</v>
      </c>
      <c r="O127" s="17">
        <f>IFERROR(VLOOKUP(M127,'WS3'!$B$2:$Q$437,12,0),0)</f>
        <v>8500</v>
      </c>
      <c r="P127" s="17">
        <f t="shared" si="7"/>
        <v>127500</v>
      </c>
      <c r="Q127" s="15">
        <f t="shared" si="8"/>
        <v>0</v>
      </c>
      <c r="R127" s="17">
        <f t="shared" si="9"/>
        <v>0</v>
      </c>
      <c r="S127" s="13"/>
    </row>
    <row r="128" spans="1:19" x14ac:dyDescent="0.25">
      <c r="A128" s="4" t="s">
        <v>142</v>
      </c>
      <c r="B128" s="5" t="s">
        <v>124</v>
      </c>
      <c r="C128" s="4" t="s">
        <v>13</v>
      </c>
      <c r="D128" s="5" t="s">
        <v>143</v>
      </c>
      <c r="E128" s="4" t="s">
        <v>22</v>
      </c>
      <c r="F128" s="4" t="s">
        <v>23</v>
      </c>
      <c r="G128" s="4" t="s">
        <v>16</v>
      </c>
      <c r="H128" s="12">
        <v>4.7</v>
      </c>
      <c r="I128" s="7">
        <v>30000</v>
      </c>
      <c r="J128" s="7">
        <f t="shared" si="5"/>
        <v>141000</v>
      </c>
      <c r="K128" s="8" t="s">
        <v>17</v>
      </c>
      <c r="L128" t="str">
        <f>IFERROR(VLOOKUP(F128,MÃ!$A:$B,2,0),0)</f>
        <v>NL300007</v>
      </c>
      <c r="M128" t="str">
        <f t="shared" si="6"/>
        <v>04/01/2026NL300007</v>
      </c>
      <c r="N128" s="15">
        <f>IFERROR(VLOOKUP(M128,'WS3'!$B$2:$Q$437,11,0),0)</f>
        <v>4.7</v>
      </c>
      <c r="O128" s="17">
        <f>IFERROR(VLOOKUP(M128,'WS3'!$B$2:$Q$437,12,0),0)</f>
        <v>30000</v>
      </c>
      <c r="P128" s="17">
        <f t="shared" si="7"/>
        <v>141000</v>
      </c>
      <c r="Q128" s="15">
        <f t="shared" si="8"/>
        <v>0</v>
      </c>
      <c r="R128" s="17">
        <f t="shared" si="9"/>
        <v>0</v>
      </c>
      <c r="S128" s="13"/>
    </row>
    <row r="129" spans="1:19" x14ac:dyDescent="0.25">
      <c r="A129" s="4" t="s">
        <v>142</v>
      </c>
      <c r="B129" s="5" t="s">
        <v>124</v>
      </c>
      <c r="C129" s="4" t="s">
        <v>13</v>
      </c>
      <c r="D129" s="5" t="s">
        <v>143</v>
      </c>
      <c r="E129" s="4" t="s">
        <v>24</v>
      </c>
      <c r="F129" s="4" t="s">
        <v>25</v>
      </c>
      <c r="G129" s="4" t="s">
        <v>16</v>
      </c>
      <c r="H129" s="12">
        <v>14</v>
      </c>
      <c r="I129" s="7">
        <v>40000</v>
      </c>
      <c r="J129" s="7">
        <f t="shared" si="5"/>
        <v>560000</v>
      </c>
      <c r="K129" s="8" t="s">
        <v>17</v>
      </c>
      <c r="L129" t="str">
        <f>IFERROR(VLOOKUP(F129,MÃ!$A:$B,2,0),0)</f>
        <v>NL300008</v>
      </c>
      <c r="M129" t="str">
        <f t="shared" si="6"/>
        <v>04/01/2026NL300008</v>
      </c>
      <c r="N129" s="15">
        <f>IFERROR(VLOOKUP(M129,'WS3'!$B$2:$Q$437,11,0),0)</f>
        <v>11</v>
      </c>
      <c r="O129" s="17">
        <f>IFERROR(VLOOKUP(M129,'WS3'!$B$2:$Q$437,12,0),0)</f>
        <v>40000</v>
      </c>
      <c r="P129" s="17">
        <f t="shared" si="7"/>
        <v>440000</v>
      </c>
      <c r="Q129" s="15">
        <f t="shared" si="8"/>
        <v>3</v>
      </c>
      <c r="R129" s="17">
        <f t="shared" si="9"/>
        <v>0</v>
      </c>
      <c r="S129" s="13" t="s">
        <v>543</v>
      </c>
    </row>
    <row r="130" spans="1:19" x14ac:dyDescent="0.25">
      <c r="A130" s="4" t="s">
        <v>142</v>
      </c>
      <c r="B130" s="5" t="s">
        <v>124</v>
      </c>
      <c r="C130" s="4" t="s">
        <v>13</v>
      </c>
      <c r="D130" s="5" t="s">
        <v>143</v>
      </c>
      <c r="E130" s="4" t="s">
        <v>126</v>
      </c>
      <c r="F130" s="4" t="s">
        <v>127</v>
      </c>
      <c r="G130" s="4" t="s">
        <v>16</v>
      </c>
      <c r="H130" s="12">
        <v>2.9</v>
      </c>
      <c r="I130" s="7">
        <v>52000</v>
      </c>
      <c r="J130" s="7">
        <f t="shared" si="5"/>
        <v>150800</v>
      </c>
      <c r="K130" s="8" t="s">
        <v>17</v>
      </c>
      <c r="L130" t="str">
        <f>IFERROR(VLOOKUP(F130,MÃ!$A:$B,2,0),0)</f>
        <v>NL300137</v>
      </c>
      <c r="M130" t="str">
        <f t="shared" si="6"/>
        <v>04/01/2026NL300137</v>
      </c>
      <c r="N130" s="15">
        <f>IFERROR(VLOOKUP(M130,'WS3'!$B$2:$Q$437,11,0),0)</f>
        <v>2</v>
      </c>
      <c r="O130" s="17">
        <f>IFERROR(VLOOKUP(M130,'WS3'!$B$2:$Q$437,12,0),0)</f>
        <v>52000</v>
      </c>
      <c r="P130" s="17">
        <f t="shared" si="7"/>
        <v>104000</v>
      </c>
      <c r="Q130" s="15">
        <f t="shared" si="8"/>
        <v>0.89999999999999991</v>
      </c>
      <c r="R130" s="17">
        <f t="shared" si="9"/>
        <v>0</v>
      </c>
      <c r="S130" s="13" t="s">
        <v>543</v>
      </c>
    </row>
    <row r="131" spans="1:19" ht="42.75" x14ac:dyDescent="0.25">
      <c r="A131" s="4" t="s">
        <v>142</v>
      </c>
      <c r="B131" s="5" t="s">
        <v>124</v>
      </c>
      <c r="C131" s="4" t="s">
        <v>13</v>
      </c>
      <c r="D131" s="5" t="s">
        <v>143</v>
      </c>
      <c r="E131" s="4" t="s">
        <v>28</v>
      </c>
      <c r="F131" s="4" t="s">
        <v>29</v>
      </c>
      <c r="G131" s="4" t="s">
        <v>16</v>
      </c>
      <c r="H131" s="12">
        <v>2</v>
      </c>
      <c r="I131" s="7">
        <v>30000</v>
      </c>
      <c r="J131" s="7">
        <f t="shared" si="5"/>
        <v>60000</v>
      </c>
      <c r="K131" s="8" t="s">
        <v>17</v>
      </c>
      <c r="L131" t="str">
        <f>IFERROR(VLOOKUP(F131,MÃ!$A:$B,2,0),0)</f>
        <v>NL300020</v>
      </c>
      <c r="M131" t="str">
        <f t="shared" si="6"/>
        <v>04/01/2026NL300020</v>
      </c>
      <c r="N131" s="15">
        <f>IFERROR(VLOOKUP(M131,'WS3'!$B$2:$Q$437,11,0),0)</f>
        <v>1</v>
      </c>
      <c r="O131" s="17">
        <f>IFERROR(VLOOKUP(M131,'WS3'!$B$2:$Q$437,12,0),0)</f>
        <v>30000</v>
      </c>
      <c r="P131" s="17">
        <f t="shared" si="7"/>
        <v>30000</v>
      </c>
      <c r="Q131" s="15">
        <f t="shared" si="8"/>
        <v>1</v>
      </c>
      <c r="R131" s="17">
        <f t="shared" si="9"/>
        <v>0</v>
      </c>
      <c r="S131" s="13" t="s">
        <v>543</v>
      </c>
    </row>
    <row r="132" spans="1:19" x14ac:dyDescent="0.25">
      <c r="A132" s="4" t="s">
        <v>142</v>
      </c>
      <c r="B132" s="5" t="s">
        <v>124</v>
      </c>
      <c r="C132" s="4" t="s">
        <v>13</v>
      </c>
      <c r="D132" s="5" t="s">
        <v>143</v>
      </c>
      <c r="E132" s="4" t="s">
        <v>30</v>
      </c>
      <c r="F132" s="4" t="s">
        <v>31</v>
      </c>
      <c r="G132" s="4" t="s">
        <v>16</v>
      </c>
      <c r="H132" s="12">
        <v>1</v>
      </c>
      <c r="I132" s="7">
        <v>38000</v>
      </c>
      <c r="J132" s="7">
        <f t="shared" si="5"/>
        <v>38000</v>
      </c>
      <c r="K132" s="8" t="s">
        <v>17</v>
      </c>
      <c r="L132" t="str">
        <f>IFERROR(VLOOKUP(F132,MÃ!$A:$B,2,0),0)</f>
        <v>NL300054</v>
      </c>
      <c r="M132" t="str">
        <f t="shared" si="6"/>
        <v>04/01/2026NL300054</v>
      </c>
      <c r="N132" s="15">
        <f>IFERROR(VLOOKUP(M132,'WS3'!$B$2:$Q$437,11,0),0)</f>
        <v>1</v>
      </c>
      <c r="O132" s="17">
        <f>IFERROR(VLOOKUP(M132,'WS3'!$B$2:$Q$437,12,0),0)</f>
        <v>38000</v>
      </c>
      <c r="P132" s="17">
        <f t="shared" si="7"/>
        <v>38000</v>
      </c>
      <c r="Q132" s="15">
        <f t="shared" si="8"/>
        <v>0</v>
      </c>
      <c r="R132" s="17">
        <f t="shared" si="9"/>
        <v>0</v>
      </c>
      <c r="S132" s="13"/>
    </row>
    <row r="133" spans="1:19" x14ac:dyDescent="0.25">
      <c r="A133" s="4" t="s">
        <v>142</v>
      </c>
      <c r="B133" s="5" t="s">
        <v>124</v>
      </c>
      <c r="C133" s="4" t="s">
        <v>13</v>
      </c>
      <c r="D133" s="5" t="s">
        <v>143</v>
      </c>
      <c r="E133" s="4" t="s">
        <v>32</v>
      </c>
      <c r="F133" s="4" t="s">
        <v>33</v>
      </c>
      <c r="G133" s="4" t="s">
        <v>16</v>
      </c>
      <c r="H133" s="12">
        <v>0.2</v>
      </c>
      <c r="I133" s="7">
        <v>25000</v>
      </c>
      <c r="J133" s="7">
        <f t="shared" si="5"/>
        <v>5000</v>
      </c>
      <c r="K133" s="8" t="s">
        <v>17</v>
      </c>
      <c r="L133" t="str">
        <f>IFERROR(VLOOKUP(F133,MÃ!$A:$B,2,0),0)</f>
        <v>NL300035</v>
      </c>
      <c r="M133" t="str">
        <f t="shared" si="6"/>
        <v>04/01/2026NL300035</v>
      </c>
      <c r="N133" s="15">
        <f>IFERROR(VLOOKUP(M133,'WS3'!$B$2:$Q$437,11,0),0)</f>
        <v>0.2</v>
      </c>
      <c r="O133" s="17">
        <f>IFERROR(VLOOKUP(M133,'WS3'!$B$2:$Q$437,12,0),0)</f>
        <v>25000</v>
      </c>
      <c r="P133" s="17">
        <f t="shared" si="7"/>
        <v>5000</v>
      </c>
      <c r="Q133" s="15">
        <f t="shared" si="8"/>
        <v>0</v>
      </c>
      <c r="R133" s="17">
        <f t="shared" si="9"/>
        <v>0</v>
      </c>
      <c r="S133" s="13"/>
    </row>
    <row r="134" spans="1:19" x14ac:dyDescent="0.25">
      <c r="A134" s="4" t="s">
        <v>142</v>
      </c>
      <c r="B134" s="5" t="s">
        <v>124</v>
      </c>
      <c r="C134" s="4" t="s">
        <v>13</v>
      </c>
      <c r="D134" s="5" t="s">
        <v>143</v>
      </c>
      <c r="E134" s="4" t="s">
        <v>95</v>
      </c>
      <c r="F134" s="4" t="s">
        <v>96</v>
      </c>
      <c r="G134" s="4" t="s">
        <v>16</v>
      </c>
      <c r="H134" s="12">
        <v>1</v>
      </c>
      <c r="I134" s="7">
        <v>47000</v>
      </c>
      <c r="J134" s="7">
        <f t="shared" si="5"/>
        <v>47000</v>
      </c>
      <c r="K134" s="8" t="s">
        <v>17</v>
      </c>
      <c r="L134" t="str">
        <f>IFERROR(VLOOKUP(F134,MÃ!$A:$B,2,0),0)</f>
        <v>NL300036</v>
      </c>
      <c r="M134" t="str">
        <f t="shared" si="6"/>
        <v>04/01/2026NL300036</v>
      </c>
      <c r="N134" s="15">
        <f>IFERROR(VLOOKUP(M134,'WS3'!$B$2:$Q$437,11,0),0)</f>
        <v>1</v>
      </c>
      <c r="O134" s="17">
        <f>IFERROR(VLOOKUP(M134,'WS3'!$B$2:$Q$437,12,0),0)</f>
        <v>47000</v>
      </c>
      <c r="P134" s="17">
        <f t="shared" si="7"/>
        <v>47000</v>
      </c>
      <c r="Q134" s="15">
        <f t="shared" si="8"/>
        <v>0</v>
      </c>
      <c r="R134" s="17">
        <f t="shared" si="9"/>
        <v>0</v>
      </c>
      <c r="S134" s="13"/>
    </row>
    <row r="135" spans="1:19" ht="28.5" x14ac:dyDescent="0.25">
      <c r="A135" s="4" t="s">
        <v>142</v>
      </c>
      <c r="B135" s="5" t="s">
        <v>124</v>
      </c>
      <c r="C135" s="4" t="s">
        <v>13</v>
      </c>
      <c r="D135" s="5" t="s">
        <v>143</v>
      </c>
      <c r="E135" s="4" t="s">
        <v>97</v>
      </c>
      <c r="F135" s="4" t="s">
        <v>98</v>
      </c>
      <c r="G135" s="4" t="s">
        <v>99</v>
      </c>
      <c r="H135" s="12">
        <v>9</v>
      </c>
      <c r="I135" s="7">
        <v>15000</v>
      </c>
      <c r="J135" s="7">
        <f t="shared" si="5"/>
        <v>135000</v>
      </c>
      <c r="K135" s="8" t="s">
        <v>17</v>
      </c>
      <c r="L135" t="str">
        <f>IFERROR(VLOOKUP(F135,MÃ!$A:$B,2,0),0)</f>
        <v>NL300041</v>
      </c>
      <c r="M135" t="str">
        <f t="shared" si="6"/>
        <v>04/01/2026NL300041</v>
      </c>
      <c r="N135" s="15">
        <f>IFERROR(VLOOKUP(M135,'WS3'!$B$2:$Q$437,11,0),0)</f>
        <v>9</v>
      </c>
      <c r="O135" s="17">
        <f>IFERROR(VLOOKUP(M135,'WS3'!$B$2:$Q$437,12,0),0)</f>
        <v>15000</v>
      </c>
      <c r="P135" s="17">
        <f t="shared" si="7"/>
        <v>135000</v>
      </c>
      <c r="Q135" s="15">
        <f t="shared" si="8"/>
        <v>0</v>
      </c>
      <c r="R135" s="17">
        <f t="shared" si="9"/>
        <v>0</v>
      </c>
      <c r="S135" s="13"/>
    </row>
    <row r="136" spans="1:19" x14ac:dyDescent="0.25">
      <c r="A136" s="4" t="s">
        <v>142</v>
      </c>
      <c r="B136" s="5" t="s">
        <v>124</v>
      </c>
      <c r="C136" s="4" t="s">
        <v>13</v>
      </c>
      <c r="D136" s="5" t="s">
        <v>143</v>
      </c>
      <c r="E136" s="4" t="s">
        <v>38</v>
      </c>
      <c r="F136" s="4" t="s">
        <v>39</v>
      </c>
      <c r="G136" s="4" t="s">
        <v>16</v>
      </c>
      <c r="H136" s="12">
        <v>3</v>
      </c>
      <c r="I136" s="7">
        <v>55000</v>
      </c>
      <c r="J136" s="7">
        <f t="shared" si="5"/>
        <v>165000</v>
      </c>
      <c r="K136" s="8" t="s">
        <v>17</v>
      </c>
      <c r="L136" t="str">
        <f>IFERROR(VLOOKUP(F136,MÃ!$A:$B,2,0),0)</f>
        <v>NL300058</v>
      </c>
      <c r="M136" t="str">
        <f t="shared" si="6"/>
        <v>04/01/2026NL300058</v>
      </c>
      <c r="N136" s="15">
        <f>IFERROR(VLOOKUP(M136,'WS3'!$B$2:$Q$437,11,0),0)</f>
        <v>2</v>
      </c>
      <c r="O136" s="17">
        <f>IFERROR(VLOOKUP(M136,'WS3'!$B$2:$Q$437,12,0),0)</f>
        <v>55000</v>
      </c>
      <c r="P136" s="17">
        <f t="shared" si="7"/>
        <v>110000</v>
      </c>
      <c r="Q136" s="15">
        <f t="shared" si="8"/>
        <v>1</v>
      </c>
      <c r="R136" s="17">
        <f t="shared" si="9"/>
        <v>0</v>
      </c>
      <c r="S136" s="13" t="s">
        <v>543</v>
      </c>
    </row>
    <row r="137" spans="1:19" x14ac:dyDescent="0.25">
      <c r="A137" s="4" t="s">
        <v>142</v>
      </c>
      <c r="B137" s="5" t="s">
        <v>124</v>
      </c>
      <c r="C137" s="4" t="s">
        <v>13</v>
      </c>
      <c r="D137" s="5" t="s">
        <v>143</v>
      </c>
      <c r="E137" s="4" t="s">
        <v>113</v>
      </c>
      <c r="F137" s="4" t="s">
        <v>114</v>
      </c>
      <c r="G137" s="4" t="s">
        <v>16</v>
      </c>
      <c r="H137" s="12">
        <v>0.5</v>
      </c>
      <c r="I137" s="7">
        <v>13000</v>
      </c>
      <c r="J137" s="7">
        <f t="shared" si="5"/>
        <v>6500</v>
      </c>
      <c r="K137" s="8" t="s">
        <v>17</v>
      </c>
      <c r="L137" t="str">
        <f>IFERROR(VLOOKUP(F137,MÃ!$A:$B,2,0),0)</f>
        <v>NL300059</v>
      </c>
      <c r="M137" t="str">
        <f t="shared" si="6"/>
        <v>04/01/2026NL300059</v>
      </c>
      <c r="N137" s="15">
        <f>IFERROR(VLOOKUP(M137,'WS3'!$B$2:$Q$437,11,0),0)</f>
        <v>0.5</v>
      </c>
      <c r="O137" s="17">
        <f>IFERROR(VLOOKUP(M137,'WS3'!$B$2:$Q$437,12,0),0)</f>
        <v>13000</v>
      </c>
      <c r="P137" s="17">
        <f t="shared" si="7"/>
        <v>6500</v>
      </c>
      <c r="Q137" s="15">
        <f t="shared" si="8"/>
        <v>0</v>
      </c>
      <c r="R137" s="17">
        <f t="shared" si="9"/>
        <v>0</v>
      </c>
      <c r="S137" s="13"/>
    </row>
    <row r="138" spans="1:19" x14ac:dyDescent="0.25">
      <c r="A138" s="4" t="s">
        <v>142</v>
      </c>
      <c r="B138" s="5" t="s">
        <v>124</v>
      </c>
      <c r="C138" s="4" t="s">
        <v>13</v>
      </c>
      <c r="D138" s="5" t="s">
        <v>143</v>
      </c>
      <c r="E138" s="4" t="s">
        <v>14</v>
      </c>
      <c r="F138" s="4" t="s">
        <v>15</v>
      </c>
      <c r="G138" s="4" t="s">
        <v>16</v>
      </c>
      <c r="H138" s="12">
        <v>7</v>
      </c>
      <c r="I138" s="7">
        <v>27000</v>
      </c>
      <c r="J138" s="7">
        <f t="shared" si="5"/>
        <v>189000</v>
      </c>
      <c r="K138" s="8" t="s">
        <v>17</v>
      </c>
      <c r="L138" t="str">
        <f>IFERROR(VLOOKUP(F138,MÃ!$A:$B,2,0),0)</f>
        <v>NL300088</v>
      </c>
      <c r="M138" t="str">
        <f t="shared" si="6"/>
        <v>04/01/2026NL300088</v>
      </c>
      <c r="N138" s="15">
        <f>IFERROR(VLOOKUP(M138,'WS3'!$B$2:$Q$437,11,0),0)</f>
        <v>2</v>
      </c>
      <c r="O138" s="17">
        <f>IFERROR(VLOOKUP(M138,'WS3'!$B$2:$Q$437,12,0),0)</f>
        <v>27000</v>
      </c>
      <c r="P138" s="17">
        <f t="shared" si="7"/>
        <v>54000</v>
      </c>
      <c r="Q138" s="15">
        <f t="shared" si="8"/>
        <v>5</v>
      </c>
      <c r="R138" s="17">
        <f t="shared" si="9"/>
        <v>0</v>
      </c>
      <c r="S138" s="13" t="s">
        <v>543</v>
      </c>
    </row>
    <row r="139" spans="1:19" ht="28.5" x14ac:dyDescent="0.25">
      <c r="A139" s="4" t="s">
        <v>142</v>
      </c>
      <c r="B139" s="5" t="s">
        <v>124</v>
      </c>
      <c r="C139" s="4" t="s">
        <v>13</v>
      </c>
      <c r="D139" s="5" t="s">
        <v>143</v>
      </c>
      <c r="E139" s="4" t="s">
        <v>69</v>
      </c>
      <c r="F139" s="4" t="s">
        <v>70</v>
      </c>
      <c r="G139" s="4" t="s">
        <v>16</v>
      </c>
      <c r="H139" s="12">
        <v>5</v>
      </c>
      <c r="I139" s="7">
        <v>145000</v>
      </c>
      <c r="J139" s="7">
        <f t="shared" si="5"/>
        <v>725000</v>
      </c>
      <c r="K139" s="8" t="s">
        <v>17</v>
      </c>
      <c r="L139" t="str">
        <f>IFERROR(VLOOKUP(F139,MÃ!$A:$B,2,0),0)</f>
        <v>NL300090</v>
      </c>
      <c r="M139" t="str">
        <f t="shared" si="6"/>
        <v>04/01/2026NL300090</v>
      </c>
      <c r="N139" s="15">
        <f>IFERROR(VLOOKUP(M139,'WS3'!$B$2:$Q$437,11,0),0)</f>
        <v>4.8</v>
      </c>
      <c r="O139" s="17">
        <f>IFERROR(VLOOKUP(M139,'WS3'!$B$2:$Q$437,12,0),0)</f>
        <v>145000</v>
      </c>
      <c r="P139" s="17">
        <f t="shared" si="7"/>
        <v>696000</v>
      </c>
      <c r="Q139" s="15">
        <f t="shared" si="8"/>
        <v>0.20000000000000018</v>
      </c>
      <c r="R139" s="17">
        <f t="shared" si="9"/>
        <v>0</v>
      </c>
      <c r="S139" s="13" t="s">
        <v>543</v>
      </c>
    </row>
    <row r="140" spans="1:19" x14ac:dyDescent="0.25">
      <c r="A140" s="4" t="s">
        <v>142</v>
      </c>
      <c r="B140" s="5" t="s">
        <v>124</v>
      </c>
      <c r="C140" s="4" t="s">
        <v>13</v>
      </c>
      <c r="D140" s="5" t="s">
        <v>143</v>
      </c>
      <c r="E140" s="4" t="s">
        <v>71</v>
      </c>
      <c r="F140" s="4" t="s">
        <v>72</v>
      </c>
      <c r="G140" s="4" t="s">
        <v>16</v>
      </c>
      <c r="H140" s="12">
        <v>2</v>
      </c>
      <c r="I140" s="7">
        <v>47000</v>
      </c>
      <c r="J140" s="7">
        <f t="shared" si="5"/>
        <v>94000</v>
      </c>
      <c r="K140" s="8" t="s">
        <v>17</v>
      </c>
      <c r="L140" t="str">
        <f>IFERROR(VLOOKUP(F140,MÃ!$A:$B,2,0),0)</f>
        <v>NL300091</v>
      </c>
      <c r="M140" t="str">
        <f t="shared" si="6"/>
        <v>04/01/2026NL300091</v>
      </c>
      <c r="N140" s="15">
        <f>IFERROR(VLOOKUP(M140,'WS3'!$B$2:$Q$437,11,0),0)</f>
        <v>2</v>
      </c>
      <c r="O140" s="17">
        <f>IFERROR(VLOOKUP(M140,'WS3'!$B$2:$Q$437,12,0),0)</f>
        <v>47000</v>
      </c>
      <c r="P140" s="17">
        <f t="shared" si="7"/>
        <v>94000</v>
      </c>
      <c r="Q140" s="15">
        <f t="shared" si="8"/>
        <v>0</v>
      </c>
      <c r="R140" s="17">
        <f t="shared" si="9"/>
        <v>0</v>
      </c>
      <c r="S140" s="13"/>
    </row>
    <row r="141" spans="1:19" x14ac:dyDescent="0.25">
      <c r="A141" s="4" t="s">
        <v>142</v>
      </c>
      <c r="B141" s="5" t="s">
        <v>124</v>
      </c>
      <c r="C141" s="4" t="s">
        <v>13</v>
      </c>
      <c r="D141" s="5" t="s">
        <v>143</v>
      </c>
      <c r="E141" s="4" t="s">
        <v>73</v>
      </c>
      <c r="F141" s="4" t="s">
        <v>74</v>
      </c>
      <c r="G141" s="4" t="s">
        <v>16</v>
      </c>
      <c r="H141" s="12">
        <v>1.5</v>
      </c>
      <c r="I141" s="7">
        <v>90000</v>
      </c>
      <c r="J141" s="7">
        <f t="shared" si="5"/>
        <v>135000</v>
      </c>
      <c r="K141" s="8" t="s">
        <v>17</v>
      </c>
      <c r="L141" t="str">
        <f>IFERROR(VLOOKUP(F141,MÃ!$A:$B,2,0),0)</f>
        <v>NL300092</v>
      </c>
      <c r="M141" t="str">
        <f t="shared" si="6"/>
        <v>04/01/2026NL300092</v>
      </c>
      <c r="N141" s="15">
        <f>IFERROR(VLOOKUP(M141,'WS3'!$B$2:$Q$437,11,0),0)</f>
        <v>1.3</v>
      </c>
      <c r="O141" s="17">
        <f>IFERROR(VLOOKUP(M141,'WS3'!$B$2:$Q$437,12,0),0)</f>
        <v>90000</v>
      </c>
      <c r="P141" s="17">
        <f t="shared" si="7"/>
        <v>117000</v>
      </c>
      <c r="Q141" s="15">
        <f t="shared" si="8"/>
        <v>0.19999999999999996</v>
      </c>
      <c r="R141" s="17">
        <f t="shared" si="9"/>
        <v>0</v>
      </c>
      <c r="S141" s="13" t="s">
        <v>543</v>
      </c>
    </row>
    <row r="142" spans="1:19" ht="28.5" x14ac:dyDescent="0.25">
      <c r="A142" s="4" t="s">
        <v>142</v>
      </c>
      <c r="B142" s="5" t="s">
        <v>124</v>
      </c>
      <c r="C142" s="4" t="s">
        <v>13</v>
      </c>
      <c r="D142" s="5" t="s">
        <v>143</v>
      </c>
      <c r="E142" s="4" t="s">
        <v>44</v>
      </c>
      <c r="F142" s="4" t="s">
        <v>45</v>
      </c>
      <c r="G142" s="4" t="s">
        <v>16</v>
      </c>
      <c r="H142" s="12">
        <v>5</v>
      </c>
      <c r="I142" s="7">
        <v>45000</v>
      </c>
      <c r="J142" s="7">
        <f t="shared" si="5"/>
        <v>225000</v>
      </c>
      <c r="K142" s="8" t="s">
        <v>17</v>
      </c>
      <c r="L142" t="str">
        <f>IFERROR(VLOOKUP(F142,MÃ!$A:$B,2,0),0)</f>
        <v>NL300096</v>
      </c>
      <c r="M142" t="str">
        <f t="shared" si="6"/>
        <v>04/01/2026NL300096</v>
      </c>
      <c r="N142" s="15">
        <f>IFERROR(VLOOKUP(M142,'WS3'!$B$2:$Q$437,11,0),0)</f>
        <v>4.7</v>
      </c>
      <c r="O142" s="17">
        <f>IFERROR(VLOOKUP(M142,'WS3'!$B$2:$Q$437,12,0),0)</f>
        <v>45000</v>
      </c>
      <c r="P142" s="17">
        <f t="shared" si="7"/>
        <v>211500</v>
      </c>
      <c r="Q142" s="15">
        <f t="shared" si="8"/>
        <v>0.29999999999999982</v>
      </c>
      <c r="R142" s="17">
        <f t="shared" si="9"/>
        <v>0</v>
      </c>
      <c r="S142" s="13" t="s">
        <v>543</v>
      </c>
    </row>
    <row r="143" spans="1:19" x14ac:dyDescent="0.25">
      <c r="A143" s="4" t="s">
        <v>142</v>
      </c>
      <c r="B143" s="5" t="s">
        <v>124</v>
      </c>
      <c r="C143" s="4" t="s">
        <v>13</v>
      </c>
      <c r="D143" s="5" t="s">
        <v>143</v>
      </c>
      <c r="E143" s="4" t="s">
        <v>79</v>
      </c>
      <c r="F143" s="4" t="s">
        <v>80</v>
      </c>
      <c r="G143" s="4" t="s">
        <v>16</v>
      </c>
      <c r="H143" s="12">
        <v>0.1</v>
      </c>
      <c r="I143" s="7">
        <v>70000</v>
      </c>
      <c r="J143" s="7">
        <f t="shared" si="5"/>
        <v>7000</v>
      </c>
      <c r="K143" s="8" t="s">
        <v>17</v>
      </c>
      <c r="L143" t="str">
        <f>IFERROR(VLOOKUP(F143,MÃ!$A:$B,2,0),0)</f>
        <v>NL300126</v>
      </c>
      <c r="M143" t="str">
        <f t="shared" si="6"/>
        <v>04/01/2026NL300126</v>
      </c>
      <c r="N143" s="15">
        <f>IFERROR(VLOOKUP(M143,'WS3'!$B$2:$Q$437,11,0),0)</f>
        <v>0.1</v>
      </c>
      <c r="O143" s="17">
        <f>IFERROR(VLOOKUP(M143,'WS3'!$B$2:$Q$437,12,0),0)</f>
        <v>70000</v>
      </c>
      <c r="P143" s="17">
        <f t="shared" si="7"/>
        <v>7000</v>
      </c>
      <c r="Q143" s="15">
        <f t="shared" si="8"/>
        <v>0</v>
      </c>
      <c r="R143" s="17">
        <f t="shared" si="9"/>
        <v>0</v>
      </c>
      <c r="S143" s="13"/>
    </row>
    <row r="144" spans="1:19" x14ac:dyDescent="0.25">
      <c r="A144" s="4" t="s">
        <v>142</v>
      </c>
      <c r="B144" s="5" t="s">
        <v>124</v>
      </c>
      <c r="C144" s="4" t="s">
        <v>13</v>
      </c>
      <c r="D144" s="5" t="s">
        <v>143</v>
      </c>
      <c r="E144" s="4" t="s">
        <v>46</v>
      </c>
      <c r="F144" s="4" t="s">
        <v>47</v>
      </c>
      <c r="G144" s="4" t="s">
        <v>16</v>
      </c>
      <c r="H144" s="12">
        <v>0.3</v>
      </c>
      <c r="I144" s="7">
        <v>148000</v>
      </c>
      <c r="J144" s="7">
        <f t="shared" ref="J144:J207" si="10">H144*I144</f>
        <v>44400</v>
      </c>
      <c r="K144" s="8" t="s">
        <v>17</v>
      </c>
      <c r="L144" t="str">
        <f>IFERROR(VLOOKUP(F144,MÃ!$A:$B,2,0),0)</f>
        <v>NL300116</v>
      </c>
      <c r="M144" t="str">
        <f t="shared" ref="M144:M207" si="11">"0"&amp;DAY(A144)&amp;"/01/2026"&amp;L144</f>
        <v>04/01/2026NL300116</v>
      </c>
      <c r="N144" s="15">
        <f>IFERROR(VLOOKUP(M144,'WS3'!$B$2:$Q$437,11,0),0)</f>
        <v>0.2</v>
      </c>
      <c r="O144" s="17">
        <f>IFERROR(VLOOKUP(M144,'WS3'!$B$2:$Q$437,12,0),0)</f>
        <v>148000</v>
      </c>
      <c r="P144" s="17">
        <f t="shared" ref="P144:P207" si="12">N144*O144</f>
        <v>29600</v>
      </c>
      <c r="Q144" s="15">
        <f t="shared" ref="Q144:Q207" si="13">H144-N144</f>
        <v>9.9999999999999978E-2</v>
      </c>
      <c r="R144" s="17">
        <f t="shared" ref="R144:R207" si="14">I144-O144</f>
        <v>0</v>
      </c>
      <c r="S144" s="13" t="s">
        <v>543</v>
      </c>
    </row>
    <row r="145" spans="1:19" x14ac:dyDescent="0.25">
      <c r="A145" s="4" t="s">
        <v>142</v>
      </c>
      <c r="B145" s="5" t="s">
        <v>124</v>
      </c>
      <c r="C145" s="4" t="s">
        <v>13</v>
      </c>
      <c r="D145" s="5" t="s">
        <v>143</v>
      </c>
      <c r="E145" s="4" t="s">
        <v>48</v>
      </c>
      <c r="F145" s="4" t="s">
        <v>49</v>
      </c>
      <c r="G145" s="4" t="s">
        <v>16</v>
      </c>
      <c r="H145" s="12">
        <v>0.5</v>
      </c>
      <c r="I145" s="7">
        <v>42000</v>
      </c>
      <c r="J145" s="7">
        <f t="shared" si="10"/>
        <v>21000</v>
      </c>
      <c r="K145" s="8" t="s">
        <v>17</v>
      </c>
      <c r="L145" t="str">
        <f>IFERROR(VLOOKUP(F145,MÃ!$A:$B,2,0),0)</f>
        <v>NL300125</v>
      </c>
      <c r="M145" t="str">
        <f t="shared" si="11"/>
        <v>04/01/2026NL300125</v>
      </c>
      <c r="N145" s="15"/>
      <c r="O145" s="17">
        <f>IFERROR(VLOOKUP(M145,'WS3'!$B$2:$Q$437,12,0),0)</f>
        <v>42000</v>
      </c>
      <c r="P145" s="17">
        <f t="shared" si="12"/>
        <v>0</v>
      </c>
      <c r="Q145" s="15">
        <f t="shared" si="13"/>
        <v>0.5</v>
      </c>
      <c r="R145" s="17">
        <f t="shared" si="14"/>
        <v>0</v>
      </c>
      <c r="S145" s="13" t="s">
        <v>542</v>
      </c>
    </row>
    <row r="146" spans="1:19" x14ac:dyDescent="0.25">
      <c r="A146" s="4" t="s">
        <v>142</v>
      </c>
      <c r="B146" s="5" t="s">
        <v>124</v>
      </c>
      <c r="C146" s="4" t="s">
        <v>13</v>
      </c>
      <c r="D146" s="5" t="s">
        <v>143</v>
      </c>
      <c r="E146" s="4" t="s">
        <v>81</v>
      </c>
      <c r="F146" s="4" t="s">
        <v>82</v>
      </c>
      <c r="G146" s="4" t="s">
        <v>16</v>
      </c>
      <c r="H146" s="12">
        <v>1</v>
      </c>
      <c r="I146" s="7">
        <v>12000</v>
      </c>
      <c r="J146" s="7">
        <f t="shared" si="10"/>
        <v>12000</v>
      </c>
      <c r="K146" s="8" t="s">
        <v>17</v>
      </c>
      <c r="L146" t="str">
        <f>IFERROR(VLOOKUP(F146,MÃ!$A:$B,2,0),0)</f>
        <v>NL300132</v>
      </c>
      <c r="M146" t="str">
        <f t="shared" si="11"/>
        <v>04/01/2026NL300132</v>
      </c>
      <c r="N146" s="15">
        <f>IFERROR(VLOOKUP(M146,'WS3'!$B$2:$Q$437,11,0),0)</f>
        <v>1</v>
      </c>
      <c r="O146" s="17">
        <f>IFERROR(VLOOKUP(M146,'WS3'!$B$2:$Q$437,12,0),0)</f>
        <v>12000</v>
      </c>
      <c r="P146" s="17">
        <f t="shared" si="12"/>
        <v>12000</v>
      </c>
      <c r="Q146" s="15">
        <f t="shared" si="13"/>
        <v>0</v>
      </c>
      <c r="R146" s="17">
        <f t="shared" si="14"/>
        <v>0</v>
      </c>
      <c r="S146" s="13"/>
    </row>
    <row r="147" spans="1:19" x14ac:dyDescent="0.25">
      <c r="A147" s="4" t="s">
        <v>142</v>
      </c>
      <c r="B147" s="5" t="s">
        <v>124</v>
      </c>
      <c r="C147" s="4" t="s">
        <v>13</v>
      </c>
      <c r="D147" s="5" t="s">
        <v>143</v>
      </c>
      <c r="E147" s="4" t="s">
        <v>52</v>
      </c>
      <c r="F147" s="4" t="s">
        <v>53</v>
      </c>
      <c r="G147" s="4" t="s">
        <v>16</v>
      </c>
      <c r="H147" s="12">
        <v>1.5</v>
      </c>
      <c r="I147" s="7">
        <v>21000</v>
      </c>
      <c r="J147" s="7">
        <f t="shared" si="10"/>
        <v>31500</v>
      </c>
      <c r="K147" s="8" t="s">
        <v>17</v>
      </c>
      <c r="L147" t="str">
        <f>IFERROR(VLOOKUP(F147,MÃ!$A:$B,2,0),0)</f>
        <v>NL300119</v>
      </c>
      <c r="M147" t="str">
        <f t="shared" si="11"/>
        <v>04/01/2026NL300119</v>
      </c>
      <c r="N147" s="15">
        <f>IFERROR(VLOOKUP(M147,'WS3'!$B$2:$Q$437,11,0),0)</f>
        <v>1.5</v>
      </c>
      <c r="O147" s="17">
        <f>IFERROR(VLOOKUP(M147,'WS3'!$B$2:$Q$437,12,0),0)</f>
        <v>21000</v>
      </c>
      <c r="P147" s="17">
        <f t="shared" si="12"/>
        <v>31500</v>
      </c>
      <c r="Q147" s="15">
        <f t="shared" si="13"/>
        <v>0</v>
      </c>
      <c r="R147" s="17">
        <f t="shared" si="14"/>
        <v>0</v>
      </c>
      <c r="S147" s="13"/>
    </row>
    <row r="148" spans="1:19" x14ac:dyDescent="0.25">
      <c r="A148" s="4" t="s">
        <v>142</v>
      </c>
      <c r="B148" s="5" t="s">
        <v>124</v>
      </c>
      <c r="C148" s="4" t="s">
        <v>13</v>
      </c>
      <c r="D148" s="5" t="s">
        <v>143</v>
      </c>
      <c r="E148" s="4" t="s">
        <v>106</v>
      </c>
      <c r="F148" s="4" t="s">
        <v>107</v>
      </c>
      <c r="G148" s="4" t="s">
        <v>108</v>
      </c>
      <c r="H148" s="12">
        <v>50</v>
      </c>
      <c r="I148" s="7">
        <v>5000</v>
      </c>
      <c r="J148" s="7">
        <f t="shared" si="10"/>
        <v>250000</v>
      </c>
      <c r="K148" s="8" t="s">
        <v>17</v>
      </c>
      <c r="L148" t="str">
        <f>IFERROR(VLOOKUP(F148,MÃ!$A:$B,2,0),0)</f>
        <v>NL100101</v>
      </c>
      <c r="M148" t="str">
        <f t="shared" si="11"/>
        <v>04/01/2026NL100101</v>
      </c>
      <c r="N148" s="15">
        <f>IFERROR(VLOOKUP(M148,'WS3'!$B$2:$Q$437,11,0),0)</f>
        <v>50</v>
      </c>
      <c r="O148" s="17">
        <f>IFERROR(VLOOKUP(M148,'WS3'!$B$2:$Q$437,12,0),0)</f>
        <v>5000</v>
      </c>
      <c r="P148" s="17">
        <f t="shared" si="12"/>
        <v>250000</v>
      </c>
      <c r="Q148" s="15">
        <f t="shared" si="13"/>
        <v>0</v>
      </c>
      <c r="R148" s="17">
        <f t="shared" si="14"/>
        <v>0</v>
      </c>
      <c r="S148" s="13"/>
    </row>
    <row r="149" spans="1:19" x14ac:dyDescent="0.25">
      <c r="A149" s="4" t="s">
        <v>142</v>
      </c>
      <c r="B149" s="5" t="s">
        <v>124</v>
      </c>
      <c r="C149" s="4" t="s">
        <v>13</v>
      </c>
      <c r="D149" s="5" t="s">
        <v>143</v>
      </c>
      <c r="E149" s="4" t="s">
        <v>54</v>
      </c>
      <c r="F149" s="4" t="s">
        <v>55</v>
      </c>
      <c r="G149" s="4" t="s">
        <v>16</v>
      </c>
      <c r="H149" s="12">
        <v>5</v>
      </c>
      <c r="I149" s="7">
        <v>62000</v>
      </c>
      <c r="J149" s="7">
        <f t="shared" si="10"/>
        <v>310000</v>
      </c>
      <c r="K149" s="8" t="s">
        <v>17</v>
      </c>
      <c r="L149" t="str">
        <f>IFERROR(VLOOKUP(F149,MÃ!$A:$B,2,0),0)</f>
        <v>NL300147</v>
      </c>
      <c r="M149" t="str">
        <f t="shared" si="11"/>
        <v>04/01/2026NL300147</v>
      </c>
      <c r="N149" s="15">
        <f>IFERROR(VLOOKUP(M149,'WS3'!$B$2:$Q$437,11,0),0)</f>
        <v>3.5</v>
      </c>
      <c r="O149" s="17">
        <f>IFERROR(VLOOKUP(M149,'WS3'!$B$2:$Q$437,12,0),0)</f>
        <v>62000</v>
      </c>
      <c r="P149" s="17">
        <f t="shared" si="12"/>
        <v>217000</v>
      </c>
      <c r="Q149" s="15">
        <f t="shared" si="13"/>
        <v>1.5</v>
      </c>
      <c r="R149" s="17">
        <f t="shared" si="14"/>
        <v>0</v>
      </c>
      <c r="S149" s="13" t="s">
        <v>543</v>
      </c>
    </row>
    <row r="150" spans="1:19" x14ac:dyDescent="0.25">
      <c r="A150" s="4" t="s">
        <v>142</v>
      </c>
      <c r="B150" s="5" t="s">
        <v>124</v>
      </c>
      <c r="C150" s="4" t="s">
        <v>13</v>
      </c>
      <c r="D150" s="5" t="s">
        <v>144</v>
      </c>
      <c r="E150" s="4" t="s">
        <v>145</v>
      </c>
      <c r="F150" s="4" t="s">
        <v>146</v>
      </c>
      <c r="G150" s="4" t="s">
        <v>16</v>
      </c>
      <c r="H150" s="12">
        <v>0.5</v>
      </c>
      <c r="I150" s="7">
        <v>35000</v>
      </c>
      <c r="J150" s="7">
        <f t="shared" si="10"/>
        <v>17500</v>
      </c>
      <c r="K150" s="8" t="s">
        <v>17</v>
      </c>
      <c r="L150" t="str">
        <f>IFERROR(VLOOKUP(F150,MÃ!$A:$B,2,0),0)</f>
        <v>NL300125</v>
      </c>
      <c r="M150" t="str">
        <f t="shared" si="11"/>
        <v>04/01/2026NL300125</v>
      </c>
      <c r="N150" s="15">
        <f>IFERROR(VLOOKUP(M150,'WS3'!$B$2:$Q$437,11,0),0)</f>
        <v>0.5</v>
      </c>
      <c r="O150" s="17">
        <f>IFERROR(VLOOKUP(M150,'WS3'!$B$2:$Q$437,12,0),0)</f>
        <v>42000</v>
      </c>
      <c r="P150" s="17">
        <f t="shared" si="12"/>
        <v>21000</v>
      </c>
      <c r="Q150" s="15">
        <f t="shared" si="13"/>
        <v>0</v>
      </c>
      <c r="R150" s="17">
        <f t="shared" si="14"/>
        <v>-7000</v>
      </c>
      <c r="S150" s="13" t="s">
        <v>541</v>
      </c>
    </row>
    <row r="151" spans="1:19" x14ac:dyDescent="0.25">
      <c r="A151" s="4" t="s">
        <v>147</v>
      </c>
      <c r="B151" s="5" t="s">
        <v>124</v>
      </c>
      <c r="C151" s="4" t="s">
        <v>13</v>
      </c>
      <c r="D151" s="5" t="s">
        <v>148</v>
      </c>
      <c r="E151" s="4" t="s">
        <v>18</v>
      </c>
      <c r="F151" s="4" t="s">
        <v>19</v>
      </c>
      <c r="G151" s="4" t="s">
        <v>16</v>
      </c>
      <c r="H151" s="12">
        <v>3</v>
      </c>
      <c r="I151" s="7">
        <v>15000</v>
      </c>
      <c r="J151" s="7">
        <f t="shared" si="10"/>
        <v>45000</v>
      </c>
      <c r="K151" s="8" t="s">
        <v>17</v>
      </c>
      <c r="L151" t="str">
        <f>IFERROR(VLOOKUP(F151,MÃ!$A:$B,2,0),0)</f>
        <v>NL300189</v>
      </c>
      <c r="M151" t="str">
        <f t="shared" si="11"/>
        <v>05/01/2026NL300189</v>
      </c>
      <c r="N151" s="15">
        <f>IFERROR(VLOOKUP(M151,'WS3'!$B$2:$Q$437,11,0),0)</f>
        <v>3</v>
      </c>
      <c r="O151" s="17">
        <f>IFERROR(VLOOKUP(M151,'WS3'!$B$2:$Q$437,12,0),0)</f>
        <v>15000</v>
      </c>
      <c r="P151" s="17">
        <f t="shared" si="12"/>
        <v>45000</v>
      </c>
      <c r="Q151" s="15">
        <f t="shared" si="13"/>
        <v>0</v>
      </c>
      <c r="R151" s="17">
        <f t="shared" si="14"/>
        <v>0</v>
      </c>
      <c r="S151" s="13"/>
    </row>
    <row r="152" spans="1:19" x14ac:dyDescent="0.25">
      <c r="A152" s="4" t="s">
        <v>147</v>
      </c>
      <c r="B152" s="5" t="s">
        <v>124</v>
      </c>
      <c r="C152" s="4" t="s">
        <v>13</v>
      </c>
      <c r="D152" s="5" t="s">
        <v>148</v>
      </c>
      <c r="E152" s="4" t="s">
        <v>22</v>
      </c>
      <c r="F152" s="4" t="s">
        <v>23</v>
      </c>
      <c r="G152" s="4" t="s">
        <v>16</v>
      </c>
      <c r="H152" s="12">
        <v>1.9</v>
      </c>
      <c r="I152" s="7">
        <v>30000</v>
      </c>
      <c r="J152" s="7">
        <f t="shared" si="10"/>
        <v>57000</v>
      </c>
      <c r="K152" s="8" t="s">
        <v>17</v>
      </c>
      <c r="L152" t="str">
        <f>IFERROR(VLOOKUP(F152,MÃ!$A:$B,2,0),0)</f>
        <v>NL300007</v>
      </c>
      <c r="M152" t="str">
        <f t="shared" si="11"/>
        <v>05/01/2026NL300007</v>
      </c>
      <c r="N152" s="15">
        <f>IFERROR(VLOOKUP(M152,'WS3'!$B$2:$Q$437,11,0),0)</f>
        <v>1.9</v>
      </c>
      <c r="O152" s="17">
        <f>IFERROR(VLOOKUP(M152,'WS3'!$B$2:$Q$437,12,0),0)</f>
        <v>30000</v>
      </c>
      <c r="P152" s="17">
        <f t="shared" si="12"/>
        <v>57000</v>
      </c>
      <c r="Q152" s="15">
        <f t="shared" si="13"/>
        <v>0</v>
      </c>
      <c r="R152" s="17">
        <f t="shared" si="14"/>
        <v>0</v>
      </c>
      <c r="S152" s="13"/>
    </row>
    <row r="153" spans="1:19" x14ac:dyDescent="0.25">
      <c r="A153" s="4" t="s">
        <v>147</v>
      </c>
      <c r="B153" s="5" t="s">
        <v>124</v>
      </c>
      <c r="C153" s="4" t="s">
        <v>13</v>
      </c>
      <c r="D153" s="5" t="s">
        <v>148</v>
      </c>
      <c r="E153" s="4" t="s">
        <v>24</v>
      </c>
      <c r="F153" s="4" t="s">
        <v>25</v>
      </c>
      <c r="G153" s="4" t="s">
        <v>16</v>
      </c>
      <c r="H153" s="12">
        <v>6.4</v>
      </c>
      <c r="I153" s="7">
        <v>40000</v>
      </c>
      <c r="J153" s="7">
        <f t="shared" si="10"/>
        <v>256000</v>
      </c>
      <c r="K153" s="8" t="s">
        <v>17</v>
      </c>
      <c r="L153" t="str">
        <f>IFERROR(VLOOKUP(F153,MÃ!$A:$B,2,0),0)</f>
        <v>NL300008</v>
      </c>
      <c r="M153" t="str">
        <f t="shared" si="11"/>
        <v>05/01/2026NL300008</v>
      </c>
      <c r="N153" s="15">
        <f>IFERROR(VLOOKUP(M153,'WS3'!$B$2:$Q$437,11,0),0)</f>
        <v>5</v>
      </c>
      <c r="O153" s="17">
        <f>IFERROR(VLOOKUP(M153,'WS3'!$B$2:$Q$437,12,0),0)</f>
        <v>40000</v>
      </c>
      <c r="P153" s="17">
        <f t="shared" si="12"/>
        <v>200000</v>
      </c>
      <c r="Q153" s="15">
        <f t="shared" si="13"/>
        <v>1.4000000000000004</v>
      </c>
      <c r="R153" s="17">
        <f t="shared" si="14"/>
        <v>0</v>
      </c>
      <c r="S153" s="13" t="s">
        <v>543</v>
      </c>
    </row>
    <row r="154" spans="1:19" x14ac:dyDescent="0.25">
      <c r="A154" s="4" t="s">
        <v>147</v>
      </c>
      <c r="B154" s="5" t="s">
        <v>124</v>
      </c>
      <c r="C154" s="4" t="s">
        <v>13</v>
      </c>
      <c r="D154" s="5" t="s">
        <v>148</v>
      </c>
      <c r="E154" s="4" t="s">
        <v>126</v>
      </c>
      <c r="F154" s="4" t="s">
        <v>127</v>
      </c>
      <c r="G154" s="4" t="s">
        <v>16</v>
      </c>
      <c r="H154" s="12">
        <v>3.5</v>
      </c>
      <c r="I154" s="7">
        <v>52000</v>
      </c>
      <c r="J154" s="7">
        <f t="shared" si="10"/>
        <v>182000</v>
      </c>
      <c r="K154" s="8" t="s">
        <v>17</v>
      </c>
      <c r="L154" t="str">
        <f>IFERROR(VLOOKUP(F154,MÃ!$A:$B,2,0),0)</f>
        <v>NL300137</v>
      </c>
      <c r="M154" t="str">
        <f t="shared" si="11"/>
        <v>05/01/2026NL300137</v>
      </c>
      <c r="N154" s="15">
        <f>IFERROR(VLOOKUP(M154,'WS3'!$B$2:$Q$437,11,0),0)</f>
        <v>2.8</v>
      </c>
      <c r="O154" s="17">
        <f>IFERROR(VLOOKUP(M154,'WS3'!$B$2:$Q$437,12,0),0)</f>
        <v>52000</v>
      </c>
      <c r="P154" s="17">
        <f t="shared" si="12"/>
        <v>145600</v>
      </c>
      <c r="Q154" s="15">
        <f t="shared" si="13"/>
        <v>0.70000000000000018</v>
      </c>
      <c r="R154" s="17">
        <f t="shared" si="14"/>
        <v>0</v>
      </c>
      <c r="S154" s="13" t="s">
        <v>543</v>
      </c>
    </row>
    <row r="155" spans="1:19" ht="42.75" x14ac:dyDescent="0.25">
      <c r="A155" s="4" t="s">
        <v>147</v>
      </c>
      <c r="B155" s="5" t="s">
        <v>124</v>
      </c>
      <c r="C155" s="4" t="s">
        <v>13</v>
      </c>
      <c r="D155" s="5" t="s">
        <v>148</v>
      </c>
      <c r="E155" s="4" t="s">
        <v>28</v>
      </c>
      <c r="F155" s="4" t="s">
        <v>29</v>
      </c>
      <c r="G155" s="4" t="s">
        <v>16</v>
      </c>
      <c r="H155" s="12">
        <v>1.8</v>
      </c>
      <c r="I155" s="7">
        <v>30000</v>
      </c>
      <c r="J155" s="7">
        <f t="shared" si="10"/>
        <v>54000</v>
      </c>
      <c r="K155" s="8" t="s">
        <v>17</v>
      </c>
      <c r="L155" t="str">
        <f>IFERROR(VLOOKUP(F155,MÃ!$A:$B,2,0),0)</f>
        <v>NL300020</v>
      </c>
      <c r="M155" t="str">
        <f t="shared" si="11"/>
        <v>05/01/2026NL300020</v>
      </c>
      <c r="N155" s="15">
        <f>IFERROR(VLOOKUP(M155,'WS3'!$B$2:$Q$437,11,0),0)</f>
        <v>1</v>
      </c>
      <c r="O155" s="17">
        <f>IFERROR(VLOOKUP(M155,'WS3'!$B$2:$Q$437,12,0),0)</f>
        <v>30000</v>
      </c>
      <c r="P155" s="17">
        <f t="shared" si="12"/>
        <v>30000</v>
      </c>
      <c r="Q155" s="15">
        <f t="shared" si="13"/>
        <v>0.8</v>
      </c>
      <c r="R155" s="17">
        <f t="shared" si="14"/>
        <v>0</v>
      </c>
      <c r="S155" s="13" t="s">
        <v>543</v>
      </c>
    </row>
    <row r="156" spans="1:19" x14ac:dyDescent="0.25">
      <c r="A156" s="4" t="s">
        <v>147</v>
      </c>
      <c r="B156" s="5" t="s">
        <v>124</v>
      </c>
      <c r="C156" s="4" t="s">
        <v>13</v>
      </c>
      <c r="D156" s="5" t="s">
        <v>148</v>
      </c>
      <c r="E156" s="4" t="s">
        <v>89</v>
      </c>
      <c r="F156" s="4" t="s">
        <v>90</v>
      </c>
      <c r="G156" s="4" t="s">
        <v>16</v>
      </c>
      <c r="H156" s="12">
        <v>1.1000000000000001</v>
      </c>
      <c r="I156" s="7">
        <v>44000</v>
      </c>
      <c r="J156" s="7">
        <f t="shared" si="10"/>
        <v>48400.000000000007</v>
      </c>
      <c r="K156" s="8" t="s">
        <v>17</v>
      </c>
      <c r="L156" t="str">
        <f>IFERROR(VLOOKUP(F156,MÃ!$A:$B,2,0),0)</f>
        <v>NL300025</v>
      </c>
      <c r="M156" t="str">
        <f t="shared" si="11"/>
        <v>05/01/2026NL300025</v>
      </c>
      <c r="N156" s="15">
        <f>IFERROR(VLOOKUP(M156,'WS3'!$B$2:$Q$437,11,0),0)</f>
        <v>1</v>
      </c>
      <c r="O156" s="17">
        <f>IFERROR(VLOOKUP(M156,'WS3'!$B$2:$Q$437,12,0),0)</f>
        <v>44000</v>
      </c>
      <c r="P156" s="17">
        <f t="shared" si="12"/>
        <v>44000</v>
      </c>
      <c r="Q156" s="15">
        <f t="shared" si="13"/>
        <v>0.10000000000000009</v>
      </c>
      <c r="R156" s="17">
        <f t="shared" si="14"/>
        <v>0</v>
      </c>
      <c r="S156" s="13" t="s">
        <v>543</v>
      </c>
    </row>
    <row r="157" spans="1:19" x14ac:dyDescent="0.25">
      <c r="A157" s="4" t="s">
        <v>147</v>
      </c>
      <c r="B157" s="5" t="s">
        <v>124</v>
      </c>
      <c r="C157" s="4" t="s">
        <v>13</v>
      </c>
      <c r="D157" s="5" t="s">
        <v>148</v>
      </c>
      <c r="E157" s="4" t="s">
        <v>32</v>
      </c>
      <c r="F157" s="4" t="s">
        <v>33</v>
      </c>
      <c r="G157" s="4" t="s">
        <v>16</v>
      </c>
      <c r="H157" s="12">
        <v>0.2</v>
      </c>
      <c r="I157" s="7">
        <v>25000</v>
      </c>
      <c r="J157" s="7">
        <f t="shared" si="10"/>
        <v>5000</v>
      </c>
      <c r="K157" s="8" t="s">
        <v>17</v>
      </c>
      <c r="L157" t="str">
        <f>IFERROR(VLOOKUP(F157,MÃ!$A:$B,2,0),0)</f>
        <v>NL300035</v>
      </c>
      <c r="M157" t="str">
        <f t="shared" si="11"/>
        <v>05/01/2026NL300035</v>
      </c>
      <c r="N157" s="15">
        <f>IFERROR(VLOOKUP(M157,'WS3'!$B$2:$Q$437,11,0),0)</f>
        <v>0.2</v>
      </c>
      <c r="O157" s="17">
        <f>IFERROR(VLOOKUP(M157,'WS3'!$B$2:$Q$437,12,0),0)</f>
        <v>25000</v>
      </c>
      <c r="P157" s="17">
        <f t="shared" si="12"/>
        <v>5000</v>
      </c>
      <c r="Q157" s="15">
        <f t="shared" si="13"/>
        <v>0</v>
      </c>
      <c r="R157" s="17">
        <f t="shared" si="14"/>
        <v>0</v>
      </c>
      <c r="S157" s="13"/>
    </row>
    <row r="158" spans="1:19" x14ac:dyDescent="0.25">
      <c r="A158" s="4" t="s">
        <v>147</v>
      </c>
      <c r="B158" s="5" t="s">
        <v>124</v>
      </c>
      <c r="C158" s="4" t="s">
        <v>13</v>
      </c>
      <c r="D158" s="5" t="s">
        <v>148</v>
      </c>
      <c r="E158" s="4" t="s">
        <v>34</v>
      </c>
      <c r="F158" s="4" t="s">
        <v>35</v>
      </c>
      <c r="G158" s="4" t="s">
        <v>16</v>
      </c>
      <c r="H158" s="12">
        <v>1.6</v>
      </c>
      <c r="I158" s="7">
        <v>32000</v>
      </c>
      <c r="J158" s="7">
        <f t="shared" si="10"/>
        <v>51200</v>
      </c>
      <c r="K158" s="8" t="s">
        <v>17</v>
      </c>
      <c r="L158" t="str">
        <f>IFERROR(VLOOKUP(F158,MÃ!$A:$B,2,0),0)</f>
        <v>NL300038</v>
      </c>
      <c r="M158" t="str">
        <f t="shared" si="11"/>
        <v>05/01/2026NL300038</v>
      </c>
      <c r="N158" s="15">
        <f>IFERROR(VLOOKUP(M158,'WS3'!$B$2:$Q$437,11,0),0)</f>
        <v>1</v>
      </c>
      <c r="O158" s="17">
        <f>IFERROR(VLOOKUP(M158,'WS3'!$B$2:$Q$437,12,0),0)</f>
        <v>32000</v>
      </c>
      <c r="P158" s="17">
        <f t="shared" si="12"/>
        <v>32000</v>
      </c>
      <c r="Q158" s="15">
        <f t="shared" si="13"/>
        <v>0.60000000000000009</v>
      </c>
      <c r="R158" s="17">
        <f t="shared" si="14"/>
        <v>0</v>
      </c>
      <c r="S158" s="13" t="s">
        <v>543</v>
      </c>
    </row>
    <row r="159" spans="1:19" x14ac:dyDescent="0.25">
      <c r="A159" s="4" t="s">
        <v>147</v>
      </c>
      <c r="B159" s="5" t="s">
        <v>124</v>
      </c>
      <c r="C159" s="4" t="s">
        <v>13</v>
      </c>
      <c r="D159" s="5" t="s">
        <v>148</v>
      </c>
      <c r="E159" s="4" t="s">
        <v>38</v>
      </c>
      <c r="F159" s="4" t="s">
        <v>39</v>
      </c>
      <c r="G159" s="4" t="s">
        <v>16</v>
      </c>
      <c r="H159" s="12">
        <v>4.5999999999999996</v>
      </c>
      <c r="I159" s="7">
        <v>55000</v>
      </c>
      <c r="J159" s="7">
        <f t="shared" si="10"/>
        <v>252999.99999999997</v>
      </c>
      <c r="K159" s="8" t="s">
        <v>17</v>
      </c>
      <c r="L159" t="str">
        <f>IFERROR(VLOOKUP(F159,MÃ!$A:$B,2,0),0)</f>
        <v>NL300058</v>
      </c>
      <c r="M159" t="str">
        <f t="shared" si="11"/>
        <v>05/01/2026NL300058</v>
      </c>
      <c r="N159" s="15">
        <f>IFERROR(VLOOKUP(M159,'WS3'!$B$2:$Q$437,11,0),0)</f>
        <v>3.6</v>
      </c>
      <c r="O159" s="17">
        <f>IFERROR(VLOOKUP(M159,'WS3'!$B$2:$Q$437,12,0),0)</f>
        <v>55000</v>
      </c>
      <c r="P159" s="17">
        <f t="shared" si="12"/>
        <v>198000</v>
      </c>
      <c r="Q159" s="15">
        <f t="shared" si="13"/>
        <v>0.99999999999999956</v>
      </c>
      <c r="R159" s="17">
        <f t="shared" si="14"/>
        <v>0</v>
      </c>
      <c r="S159" s="13" t="s">
        <v>543</v>
      </c>
    </row>
    <row r="160" spans="1:19" x14ac:dyDescent="0.25">
      <c r="A160" s="4" t="s">
        <v>147</v>
      </c>
      <c r="B160" s="5" t="s">
        <v>124</v>
      </c>
      <c r="C160" s="4" t="s">
        <v>13</v>
      </c>
      <c r="D160" s="5" t="s">
        <v>148</v>
      </c>
      <c r="E160" s="4" t="s">
        <v>115</v>
      </c>
      <c r="F160" s="4" t="s">
        <v>116</v>
      </c>
      <c r="G160" s="4" t="s">
        <v>16</v>
      </c>
      <c r="H160" s="12">
        <v>1.2</v>
      </c>
      <c r="I160" s="7">
        <v>38000</v>
      </c>
      <c r="J160" s="7">
        <f t="shared" si="10"/>
        <v>45600</v>
      </c>
      <c r="K160" s="8" t="s">
        <v>17</v>
      </c>
      <c r="L160" t="str">
        <f>IFERROR(VLOOKUP(F160,MÃ!$A:$B,2,0),0)</f>
        <v>NL300061</v>
      </c>
      <c r="M160" t="str">
        <f t="shared" si="11"/>
        <v>05/01/2026NL300061</v>
      </c>
      <c r="N160" s="15">
        <f>IFERROR(VLOOKUP(M160,'WS3'!$B$2:$Q$437,11,0),0)</f>
        <v>1.2</v>
      </c>
      <c r="O160" s="17">
        <f>IFERROR(VLOOKUP(M160,'WS3'!$B$2:$Q$437,12,0),0)</f>
        <v>38000</v>
      </c>
      <c r="P160" s="17">
        <f t="shared" si="12"/>
        <v>45600</v>
      </c>
      <c r="Q160" s="15">
        <f t="shared" si="13"/>
        <v>0</v>
      </c>
      <c r="R160" s="17">
        <f t="shared" si="14"/>
        <v>0</v>
      </c>
      <c r="S160" s="13"/>
    </row>
    <row r="161" spans="1:19" x14ac:dyDescent="0.25">
      <c r="A161" s="4" t="s">
        <v>147</v>
      </c>
      <c r="B161" s="5" t="s">
        <v>124</v>
      </c>
      <c r="C161" s="4" t="s">
        <v>13</v>
      </c>
      <c r="D161" s="5" t="s">
        <v>148</v>
      </c>
      <c r="E161" s="4" t="s">
        <v>40</v>
      </c>
      <c r="F161" s="4" t="s">
        <v>41</v>
      </c>
      <c r="G161" s="4" t="s">
        <v>16</v>
      </c>
      <c r="H161" s="12">
        <v>0.45</v>
      </c>
      <c r="I161" s="7">
        <v>80000</v>
      </c>
      <c r="J161" s="7">
        <f t="shared" si="10"/>
        <v>36000</v>
      </c>
      <c r="K161" s="8" t="s">
        <v>17</v>
      </c>
      <c r="L161" t="str">
        <f>IFERROR(VLOOKUP(F161,MÃ!$A:$B,2,0),0)</f>
        <v>NL300055</v>
      </c>
      <c r="M161" t="str">
        <f t="shared" si="11"/>
        <v>05/01/2026NL300055</v>
      </c>
      <c r="N161" s="15">
        <f>IFERROR(VLOOKUP(M161,'WS3'!$B$2:$Q$437,11,0),0)</f>
        <v>0.45</v>
      </c>
      <c r="O161" s="17">
        <f>IFERROR(VLOOKUP(M161,'WS3'!$B$2:$Q$437,12,0),0)</f>
        <v>80000</v>
      </c>
      <c r="P161" s="17">
        <f t="shared" si="12"/>
        <v>36000</v>
      </c>
      <c r="Q161" s="15">
        <f t="shared" si="13"/>
        <v>0</v>
      </c>
      <c r="R161" s="17">
        <f t="shared" si="14"/>
        <v>0</v>
      </c>
      <c r="S161" s="13"/>
    </row>
    <row r="162" spans="1:19" x14ac:dyDescent="0.25">
      <c r="A162" s="4" t="s">
        <v>147</v>
      </c>
      <c r="B162" s="5" t="s">
        <v>124</v>
      </c>
      <c r="C162" s="4" t="s">
        <v>13</v>
      </c>
      <c r="D162" s="5" t="s">
        <v>148</v>
      </c>
      <c r="E162" s="4" t="s">
        <v>65</v>
      </c>
      <c r="F162" s="4" t="s">
        <v>66</v>
      </c>
      <c r="G162" s="4" t="s">
        <v>16</v>
      </c>
      <c r="H162" s="12">
        <v>0.9</v>
      </c>
      <c r="I162" s="7">
        <v>23000</v>
      </c>
      <c r="J162" s="7">
        <f t="shared" si="10"/>
        <v>20700</v>
      </c>
      <c r="K162" s="8" t="s">
        <v>17</v>
      </c>
      <c r="L162" t="str">
        <f>IFERROR(VLOOKUP(F162,MÃ!$A:$B,2,0),0)</f>
        <v>NL300070</v>
      </c>
      <c r="M162" t="str">
        <f t="shared" si="11"/>
        <v>05/01/2026NL300070</v>
      </c>
      <c r="N162" s="15">
        <f>IFERROR(VLOOKUP(M162,'WS3'!$B$2:$Q$437,11,0),0)</f>
        <v>0.9</v>
      </c>
      <c r="O162" s="17">
        <f>IFERROR(VLOOKUP(M162,'WS3'!$B$2:$Q$437,12,0),0)</f>
        <v>23000</v>
      </c>
      <c r="P162" s="17">
        <f t="shared" si="12"/>
        <v>20700</v>
      </c>
      <c r="Q162" s="15">
        <f t="shared" si="13"/>
        <v>0</v>
      </c>
      <c r="R162" s="17">
        <f t="shared" si="14"/>
        <v>0</v>
      </c>
      <c r="S162" s="13"/>
    </row>
    <row r="163" spans="1:19" x14ac:dyDescent="0.25">
      <c r="A163" s="4" t="s">
        <v>147</v>
      </c>
      <c r="B163" s="5" t="s">
        <v>124</v>
      </c>
      <c r="C163" s="4" t="s">
        <v>13</v>
      </c>
      <c r="D163" s="5" t="s">
        <v>148</v>
      </c>
      <c r="E163" s="4" t="s">
        <v>14</v>
      </c>
      <c r="F163" s="4" t="s">
        <v>15</v>
      </c>
      <c r="G163" s="4" t="s">
        <v>16</v>
      </c>
      <c r="H163" s="12">
        <v>5.2</v>
      </c>
      <c r="I163" s="7">
        <v>27000</v>
      </c>
      <c r="J163" s="7">
        <f t="shared" si="10"/>
        <v>140400</v>
      </c>
      <c r="K163" s="8" t="s">
        <v>17</v>
      </c>
      <c r="L163" t="str">
        <f>IFERROR(VLOOKUP(F163,MÃ!$A:$B,2,0),0)</f>
        <v>NL300088</v>
      </c>
      <c r="M163" t="str">
        <f t="shared" si="11"/>
        <v>05/01/2026NL300088</v>
      </c>
      <c r="N163" s="15">
        <f>IFERROR(VLOOKUP(M163,'WS3'!$B$2:$Q$437,11,0),0)</f>
        <v>1</v>
      </c>
      <c r="O163" s="17">
        <f>IFERROR(VLOOKUP(M163,'WS3'!$B$2:$Q$437,12,0),0)</f>
        <v>27000</v>
      </c>
      <c r="P163" s="17">
        <f t="shared" si="12"/>
        <v>27000</v>
      </c>
      <c r="Q163" s="15">
        <f t="shared" si="13"/>
        <v>4.2</v>
      </c>
      <c r="R163" s="17">
        <f t="shared" si="14"/>
        <v>0</v>
      </c>
      <c r="S163" s="13" t="s">
        <v>543</v>
      </c>
    </row>
    <row r="164" spans="1:19" ht="28.5" x14ac:dyDescent="0.25">
      <c r="A164" s="4" t="s">
        <v>147</v>
      </c>
      <c r="B164" s="5" t="s">
        <v>124</v>
      </c>
      <c r="C164" s="4" t="s">
        <v>13</v>
      </c>
      <c r="D164" s="5" t="s">
        <v>148</v>
      </c>
      <c r="E164" s="4" t="s">
        <v>69</v>
      </c>
      <c r="F164" s="4" t="s">
        <v>70</v>
      </c>
      <c r="G164" s="4" t="s">
        <v>16</v>
      </c>
      <c r="H164" s="12">
        <v>5</v>
      </c>
      <c r="I164" s="7">
        <v>145000</v>
      </c>
      <c r="J164" s="7">
        <f t="shared" si="10"/>
        <v>725000</v>
      </c>
      <c r="K164" s="8" t="s">
        <v>17</v>
      </c>
      <c r="L164" t="str">
        <f>IFERROR(VLOOKUP(F164,MÃ!$A:$B,2,0),0)</f>
        <v>NL300090</v>
      </c>
      <c r="M164" t="str">
        <f t="shared" si="11"/>
        <v>05/01/2026NL300090</v>
      </c>
      <c r="N164" s="15">
        <f>IFERROR(VLOOKUP(M164,'WS3'!$B$2:$Q$437,11,0),0)</f>
        <v>5</v>
      </c>
      <c r="O164" s="17">
        <f>IFERROR(VLOOKUP(M164,'WS3'!$B$2:$Q$437,12,0),0)</f>
        <v>145000</v>
      </c>
      <c r="P164" s="17">
        <f t="shared" si="12"/>
        <v>725000</v>
      </c>
      <c r="Q164" s="15">
        <f t="shared" si="13"/>
        <v>0</v>
      </c>
      <c r="R164" s="17">
        <f t="shared" si="14"/>
        <v>0</v>
      </c>
      <c r="S164" s="13"/>
    </row>
    <row r="165" spans="1:19" x14ac:dyDescent="0.25">
      <c r="A165" s="4" t="s">
        <v>147</v>
      </c>
      <c r="B165" s="5" t="s">
        <v>124</v>
      </c>
      <c r="C165" s="4" t="s">
        <v>13</v>
      </c>
      <c r="D165" s="5" t="s">
        <v>148</v>
      </c>
      <c r="E165" s="4" t="s">
        <v>71</v>
      </c>
      <c r="F165" s="4" t="s">
        <v>72</v>
      </c>
      <c r="G165" s="4" t="s">
        <v>16</v>
      </c>
      <c r="H165" s="12">
        <v>5</v>
      </c>
      <c r="I165" s="7">
        <v>47000</v>
      </c>
      <c r="J165" s="7">
        <f t="shared" si="10"/>
        <v>235000</v>
      </c>
      <c r="K165" s="8" t="s">
        <v>17</v>
      </c>
      <c r="L165" t="str">
        <f>IFERROR(VLOOKUP(F165,MÃ!$A:$B,2,0),0)</f>
        <v>NL300091</v>
      </c>
      <c r="M165" t="str">
        <f t="shared" si="11"/>
        <v>05/01/2026NL300091</v>
      </c>
      <c r="N165" s="15">
        <f>IFERROR(VLOOKUP(M165,'WS3'!$B$2:$Q$437,11,0),0)</f>
        <v>5</v>
      </c>
      <c r="O165" s="17">
        <f>IFERROR(VLOOKUP(M165,'WS3'!$B$2:$Q$437,12,0),0)</f>
        <v>47000</v>
      </c>
      <c r="P165" s="17">
        <f t="shared" si="12"/>
        <v>235000</v>
      </c>
      <c r="Q165" s="15">
        <f t="shared" si="13"/>
        <v>0</v>
      </c>
      <c r="R165" s="17">
        <f t="shared" si="14"/>
        <v>0</v>
      </c>
      <c r="S165" s="13"/>
    </row>
    <row r="166" spans="1:19" ht="28.5" x14ac:dyDescent="0.25">
      <c r="A166" s="4" t="s">
        <v>147</v>
      </c>
      <c r="B166" s="5" t="s">
        <v>124</v>
      </c>
      <c r="C166" s="4" t="s">
        <v>13</v>
      </c>
      <c r="D166" s="5" t="s">
        <v>148</v>
      </c>
      <c r="E166" s="4" t="s">
        <v>44</v>
      </c>
      <c r="F166" s="4" t="s">
        <v>45</v>
      </c>
      <c r="G166" s="4" t="s">
        <v>16</v>
      </c>
      <c r="H166" s="12">
        <v>7</v>
      </c>
      <c r="I166" s="7">
        <v>45000</v>
      </c>
      <c r="J166" s="7">
        <f t="shared" si="10"/>
        <v>315000</v>
      </c>
      <c r="K166" s="8" t="s">
        <v>17</v>
      </c>
      <c r="L166" t="str">
        <f>IFERROR(VLOOKUP(F166,MÃ!$A:$B,2,0),0)</f>
        <v>NL300096</v>
      </c>
      <c r="M166" t="str">
        <f t="shared" si="11"/>
        <v>05/01/2026NL300096</v>
      </c>
      <c r="N166" s="15">
        <f>IFERROR(VLOOKUP(M166,'WS3'!$B$2:$Q$437,11,0),0)</f>
        <v>7</v>
      </c>
      <c r="O166" s="17">
        <f>IFERROR(VLOOKUP(M166,'WS3'!$B$2:$Q$437,12,0),0)</f>
        <v>45000</v>
      </c>
      <c r="P166" s="17">
        <f t="shared" si="12"/>
        <v>315000</v>
      </c>
      <c r="Q166" s="15">
        <f t="shared" si="13"/>
        <v>0</v>
      </c>
      <c r="R166" s="17">
        <f t="shared" si="14"/>
        <v>0</v>
      </c>
      <c r="S166" s="13"/>
    </row>
    <row r="167" spans="1:19" x14ac:dyDescent="0.25">
      <c r="A167" s="4" t="s">
        <v>147</v>
      </c>
      <c r="B167" s="5" t="s">
        <v>124</v>
      </c>
      <c r="C167" s="4" t="s">
        <v>13</v>
      </c>
      <c r="D167" s="5" t="s">
        <v>148</v>
      </c>
      <c r="E167" s="4" t="s">
        <v>81</v>
      </c>
      <c r="F167" s="4" t="s">
        <v>82</v>
      </c>
      <c r="G167" s="4" t="s">
        <v>16</v>
      </c>
      <c r="H167" s="12">
        <v>1.2</v>
      </c>
      <c r="I167" s="7">
        <v>12000</v>
      </c>
      <c r="J167" s="7">
        <f t="shared" si="10"/>
        <v>14400</v>
      </c>
      <c r="K167" s="8" t="s">
        <v>17</v>
      </c>
      <c r="L167" t="str">
        <f>IFERROR(VLOOKUP(F167,MÃ!$A:$B,2,0),0)</f>
        <v>NL300132</v>
      </c>
      <c r="M167" t="str">
        <f t="shared" si="11"/>
        <v>05/01/2026NL300132</v>
      </c>
      <c r="N167" s="15">
        <f>IFERROR(VLOOKUP(M167,'WS3'!$B$2:$Q$437,11,0),0)</f>
        <v>1.2</v>
      </c>
      <c r="O167" s="17">
        <f>IFERROR(VLOOKUP(M167,'WS3'!$B$2:$Q$437,12,0),0)</f>
        <v>12000</v>
      </c>
      <c r="P167" s="17">
        <f t="shared" si="12"/>
        <v>14400</v>
      </c>
      <c r="Q167" s="15">
        <f t="shared" si="13"/>
        <v>0</v>
      </c>
      <c r="R167" s="17">
        <f t="shared" si="14"/>
        <v>0</v>
      </c>
      <c r="S167" s="13"/>
    </row>
    <row r="168" spans="1:19" x14ac:dyDescent="0.25">
      <c r="A168" s="4" t="s">
        <v>147</v>
      </c>
      <c r="B168" s="5" t="s">
        <v>124</v>
      </c>
      <c r="C168" s="4" t="s">
        <v>13</v>
      </c>
      <c r="D168" s="5" t="s">
        <v>148</v>
      </c>
      <c r="E168" s="4" t="s">
        <v>54</v>
      </c>
      <c r="F168" s="4" t="s">
        <v>55</v>
      </c>
      <c r="G168" s="4" t="s">
        <v>16</v>
      </c>
      <c r="H168" s="12">
        <v>3.3</v>
      </c>
      <c r="I168" s="7">
        <v>62000</v>
      </c>
      <c r="J168" s="7">
        <f t="shared" si="10"/>
        <v>204600</v>
      </c>
      <c r="K168" s="8" t="s">
        <v>17</v>
      </c>
      <c r="L168" t="str">
        <f>IFERROR(VLOOKUP(F168,MÃ!$A:$B,2,0),0)</f>
        <v>NL300147</v>
      </c>
      <c r="M168" t="str">
        <f t="shared" si="11"/>
        <v>05/01/2026NL300147</v>
      </c>
      <c r="N168" s="15">
        <f>IFERROR(VLOOKUP(M168,'WS3'!$B$2:$Q$437,11,0),0)</f>
        <v>2</v>
      </c>
      <c r="O168" s="17">
        <f>IFERROR(VLOOKUP(M168,'WS3'!$B$2:$Q$437,12,0),0)</f>
        <v>62000</v>
      </c>
      <c r="P168" s="17">
        <f t="shared" si="12"/>
        <v>124000</v>
      </c>
      <c r="Q168" s="15">
        <f t="shared" si="13"/>
        <v>1.2999999999999998</v>
      </c>
      <c r="R168" s="17">
        <f t="shared" si="14"/>
        <v>0</v>
      </c>
      <c r="S168" s="13" t="s">
        <v>543</v>
      </c>
    </row>
    <row r="169" spans="1:19" x14ac:dyDescent="0.25">
      <c r="A169" s="4" t="s">
        <v>147</v>
      </c>
      <c r="B169" s="5" t="s">
        <v>124</v>
      </c>
      <c r="C169" s="4" t="s">
        <v>13</v>
      </c>
      <c r="D169" s="5" t="s">
        <v>149</v>
      </c>
      <c r="E169" s="4" t="s">
        <v>59</v>
      </c>
      <c r="F169" s="4" t="s">
        <v>60</v>
      </c>
      <c r="G169" s="4" t="s">
        <v>16</v>
      </c>
      <c r="H169" s="12">
        <v>0.6</v>
      </c>
      <c r="I169" s="7">
        <v>75000</v>
      </c>
      <c r="J169" s="7">
        <f t="shared" si="10"/>
        <v>45000</v>
      </c>
      <c r="K169" s="8" t="s">
        <v>17</v>
      </c>
      <c r="L169" t="str">
        <f>IFERROR(VLOOKUP(F169,MÃ!$A:$B,2,0),0)</f>
        <v>NL600067</v>
      </c>
      <c r="M169" t="str">
        <f t="shared" si="11"/>
        <v>05/01/2026NL600067</v>
      </c>
      <c r="N169" s="15">
        <f>IFERROR(VLOOKUP(M169,'WS3'!$B$2:$Q$437,11,0),0)</f>
        <v>0.6</v>
      </c>
      <c r="O169" s="17">
        <f>IFERROR(VLOOKUP(M169,'WS3'!$B$2:$Q$437,12,0),0)</f>
        <v>75000</v>
      </c>
      <c r="P169" s="17">
        <f t="shared" si="12"/>
        <v>45000</v>
      </c>
      <c r="Q169" s="15">
        <f t="shared" si="13"/>
        <v>0</v>
      </c>
      <c r="R169" s="17">
        <f t="shared" si="14"/>
        <v>0</v>
      </c>
      <c r="S169" s="13"/>
    </row>
    <row r="170" spans="1:19" x14ac:dyDescent="0.25">
      <c r="A170" s="4" t="s">
        <v>147</v>
      </c>
      <c r="B170" s="5" t="s">
        <v>124</v>
      </c>
      <c r="C170" s="4" t="s">
        <v>13</v>
      </c>
      <c r="D170" s="5" t="s">
        <v>149</v>
      </c>
      <c r="E170" s="4" t="s">
        <v>91</v>
      </c>
      <c r="F170" s="4" t="s">
        <v>92</v>
      </c>
      <c r="G170" s="4" t="s">
        <v>16</v>
      </c>
      <c r="H170" s="12">
        <v>1</v>
      </c>
      <c r="I170" s="7">
        <v>34000</v>
      </c>
      <c r="J170" s="7">
        <f t="shared" si="10"/>
        <v>34000</v>
      </c>
      <c r="K170" s="8" t="s">
        <v>17</v>
      </c>
      <c r="L170" t="str">
        <f>IFERROR(VLOOKUP(F170,MÃ!$A:$B,2,0),0)</f>
        <v>NL300030</v>
      </c>
      <c r="M170" t="str">
        <f t="shared" si="11"/>
        <v>05/01/2026NL300030</v>
      </c>
      <c r="N170" s="15">
        <f>IFERROR(VLOOKUP(M170,'WS3'!$B$2:$Q$437,11,0),0)</f>
        <v>1</v>
      </c>
      <c r="O170" s="17">
        <f>IFERROR(VLOOKUP(M170,'WS3'!$B$2:$Q$437,12,0),0)</f>
        <v>34000</v>
      </c>
      <c r="P170" s="17">
        <f t="shared" si="12"/>
        <v>34000</v>
      </c>
      <c r="Q170" s="15">
        <f t="shared" si="13"/>
        <v>0</v>
      </c>
      <c r="R170" s="17">
        <f t="shared" si="14"/>
        <v>0</v>
      </c>
      <c r="S170" s="13"/>
    </row>
    <row r="171" spans="1:19" x14ac:dyDescent="0.25">
      <c r="A171" s="4" t="s">
        <v>147</v>
      </c>
      <c r="B171" s="5" t="s">
        <v>124</v>
      </c>
      <c r="C171" s="4" t="s">
        <v>13</v>
      </c>
      <c r="D171" s="5" t="s">
        <v>149</v>
      </c>
      <c r="E171" s="4" t="s">
        <v>93</v>
      </c>
      <c r="F171" s="4" t="s">
        <v>94</v>
      </c>
      <c r="G171" s="4" t="s">
        <v>16</v>
      </c>
      <c r="H171" s="12">
        <v>0.4</v>
      </c>
      <c r="I171" s="7">
        <v>95000</v>
      </c>
      <c r="J171" s="7">
        <f t="shared" si="10"/>
        <v>38000</v>
      </c>
      <c r="K171" s="8" t="s">
        <v>17</v>
      </c>
      <c r="L171" t="str">
        <f>IFERROR(VLOOKUP(F171,MÃ!$A:$B,2,0),0)</f>
        <v>NL600068</v>
      </c>
      <c r="M171" t="str">
        <f t="shared" si="11"/>
        <v>05/01/2026NL600068</v>
      </c>
      <c r="N171" s="15">
        <f>IFERROR(VLOOKUP(M171,'WS3'!$B$2:$Q$437,11,0),0)</f>
        <v>0.4</v>
      </c>
      <c r="O171" s="17">
        <f>IFERROR(VLOOKUP(M171,'WS3'!$B$2:$Q$437,12,0),0)</f>
        <v>95000</v>
      </c>
      <c r="P171" s="17">
        <f t="shared" si="12"/>
        <v>38000</v>
      </c>
      <c r="Q171" s="15">
        <f t="shared" si="13"/>
        <v>0</v>
      </c>
      <c r="R171" s="17">
        <f t="shared" si="14"/>
        <v>0</v>
      </c>
      <c r="S171" s="13"/>
    </row>
    <row r="172" spans="1:19" x14ac:dyDescent="0.25">
      <c r="A172" s="4" t="s">
        <v>147</v>
      </c>
      <c r="B172" s="5" t="s">
        <v>124</v>
      </c>
      <c r="C172" s="4" t="s">
        <v>13</v>
      </c>
      <c r="D172" s="5" t="s">
        <v>149</v>
      </c>
      <c r="E172" s="4" t="s">
        <v>36</v>
      </c>
      <c r="F172" s="4" t="s">
        <v>37</v>
      </c>
      <c r="G172" s="4" t="s">
        <v>16</v>
      </c>
      <c r="H172" s="12">
        <v>25</v>
      </c>
      <c r="I172" s="7">
        <v>18000</v>
      </c>
      <c r="J172" s="7">
        <f t="shared" si="10"/>
        <v>450000</v>
      </c>
      <c r="K172" s="8" t="s">
        <v>17</v>
      </c>
      <c r="L172" t="str">
        <f>IFERROR(VLOOKUP(F172,MÃ!$A:$B,2,0),0)</f>
        <v>NL600004</v>
      </c>
      <c r="M172" t="str">
        <f t="shared" si="11"/>
        <v>05/01/2026NL600004</v>
      </c>
      <c r="N172" s="15">
        <f>IFERROR(VLOOKUP(M172,'WS3'!$B$2:$Q$437,11,0),0)</f>
        <v>25</v>
      </c>
      <c r="O172" s="17">
        <f>IFERROR(VLOOKUP(M172,'WS3'!$B$2:$Q$437,12,0),0)</f>
        <v>18000</v>
      </c>
      <c r="P172" s="17">
        <f t="shared" si="12"/>
        <v>450000</v>
      </c>
      <c r="Q172" s="15">
        <f t="shared" si="13"/>
        <v>0</v>
      </c>
      <c r="R172" s="17">
        <f t="shared" si="14"/>
        <v>0</v>
      </c>
      <c r="S172" s="13"/>
    </row>
    <row r="173" spans="1:19" x14ac:dyDescent="0.25">
      <c r="A173" s="4" t="s">
        <v>147</v>
      </c>
      <c r="B173" s="5" t="s">
        <v>124</v>
      </c>
      <c r="C173" s="4" t="s">
        <v>13</v>
      </c>
      <c r="D173" s="5" t="s">
        <v>149</v>
      </c>
      <c r="E173" s="4" t="s">
        <v>48</v>
      </c>
      <c r="F173" s="4" t="s">
        <v>49</v>
      </c>
      <c r="G173" s="4" t="s">
        <v>16</v>
      </c>
      <c r="H173" s="12">
        <v>0.5</v>
      </c>
      <c r="I173" s="7">
        <v>42000</v>
      </c>
      <c r="J173" s="7">
        <f t="shared" si="10"/>
        <v>21000</v>
      </c>
      <c r="K173" s="8" t="s">
        <v>17</v>
      </c>
      <c r="L173" t="str">
        <f>IFERROR(VLOOKUP(F173,MÃ!$A:$B,2,0),0)</f>
        <v>NL300125</v>
      </c>
      <c r="M173" t="str">
        <f t="shared" si="11"/>
        <v>05/01/2026NL300125</v>
      </c>
      <c r="N173" s="15">
        <f>IFERROR(VLOOKUP(M173,'WS3'!$B$2:$Q$437,11,0),0)</f>
        <v>0.5</v>
      </c>
      <c r="O173" s="17">
        <f>IFERROR(VLOOKUP(M173,'WS3'!$B$2:$Q$437,12,0),0)</f>
        <v>42000</v>
      </c>
      <c r="P173" s="17">
        <f t="shared" si="12"/>
        <v>21000</v>
      </c>
      <c r="Q173" s="15">
        <f t="shared" si="13"/>
        <v>0</v>
      </c>
      <c r="R173" s="17">
        <f t="shared" si="14"/>
        <v>0</v>
      </c>
      <c r="S173" s="13"/>
    </row>
    <row r="174" spans="1:19" x14ac:dyDescent="0.25">
      <c r="A174" s="4" t="s">
        <v>147</v>
      </c>
      <c r="B174" s="5" t="s">
        <v>124</v>
      </c>
      <c r="C174" s="4" t="s">
        <v>13</v>
      </c>
      <c r="D174" s="5" t="s">
        <v>149</v>
      </c>
      <c r="E174" s="4" t="s">
        <v>87</v>
      </c>
      <c r="F174" s="4" t="s">
        <v>88</v>
      </c>
      <c r="G174" s="4" t="s">
        <v>16</v>
      </c>
      <c r="H174" s="12">
        <v>0.1</v>
      </c>
      <c r="I174" s="7">
        <v>220000</v>
      </c>
      <c r="J174" s="7">
        <f t="shared" si="10"/>
        <v>22000</v>
      </c>
      <c r="K174" s="8" t="s">
        <v>17</v>
      </c>
      <c r="L174" t="str">
        <f>IFERROR(VLOOKUP(F174,MÃ!$A:$B,2,0),0)</f>
        <v>NL300131</v>
      </c>
      <c r="M174" t="str">
        <f t="shared" si="11"/>
        <v>05/01/2026NL300131</v>
      </c>
      <c r="N174" s="15">
        <f>IFERROR(VLOOKUP(M174,'WS3'!$B$2:$Q$437,11,0),0)</f>
        <v>0.1</v>
      </c>
      <c r="O174" s="17">
        <f>IFERROR(VLOOKUP(M174,'WS3'!$B$2:$Q$437,12,0),0)</f>
        <v>220000</v>
      </c>
      <c r="P174" s="17">
        <f t="shared" si="12"/>
        <v>22000</v>
      </c>
      <c r="Q174" s="15">
        <f t="shared" si="13"/>
        <v>0</v>
      </c>
      <c r="R174" s="17">
        <f t="shared" si="14"/>
        <v>0</v>
      </c>
      <c r="S174" s="13"/>
    </row>
    <row r="175" spans="1:19" x14ac:dyDescent="0.25">
      <c r="A175" s="4" t="s">
        <v>150</v>
      </c>
      <c r="B175" s="5" t="s">
        <v>124</v>
      </c>
      <c r="C175" s="4" t="s">
        <v>13</v>
      </c>
      <c r="D175" s="5" t="s">
        <v>151</v>
      </c>
      <c r="E175" s="4" t="s">
        <v>18</v>
      </c>
      <c r="F175" s="4" t="s">
        <v>19</v>
      </c>
      <c r="G175" s="4" t="s">
        <v>16</v>
      </c>
      <c r="H175" s="12">
        <v>2.7</v>
      </c>
      <c r="I175" s="7">
        <v>15000</v>
      </c>
      <c r="J175" s="7">
        <f t="shared" si="10"/>
        <v>40500</v>
      </c>
      <c r="K175" s="8" t="s">
        <v>17</v>
      </c>
      <c r="L175" t="str">
        <f>IFERROR(VLOOKUP(F175,MÃ!$A:$B,2,0),0)</f>
        <v>NL300189</v>
      </c>
      <c r="M175" t="str">
        <f t="shared" si="11"/>
        <v>06/01/2026NL300189</v>
      </c>
      <c r="N175" s="15">
        <f>IFERROR(VLOOKUP(M175,'WS3'!$B$2:$Q$437,11,0),0)</f>
        <v>2.7</v>
      </c>
      <c r="O175" s="17">
        <f>IFERROR(VLOOKUP(M175,'WS3'!$B$2:$Q$437,12,0),0)</f>
        <v>15000</v>
      </c>
      <c r="P175" s="17">
        <f t="shared" si="12"/>
        <v>40500</v>
      </c>
      <c r="Q175" s="15">
        <f t="shared" si="13"/>
        <v>0</v>
      </c>
      <c r="R175" s="17">
        <f t="shared" si="14"/>
        <v>0</v>
      </c>
      <c r="S175" s="13"/>
    </row>
    <row r="176" spans="1:19" x14ac:dyDescent="0.25">
      <c r="A176" s="4" t="s">
        <v>150</v>
      </c>
      <c r="B176" s="5" t="s">
        <v>124</v>
      </c>
      <c r="C176" s="4" t="s">
        <v>13</v>
      </c>
      <c r="D176" s="5" t="s">
        <v>151</v>
      </c>
      <c r="E176" s="4" t="s">
        <v>20</v>
      </c>
      <c r="F176" s="4" t="s">
        <v>21</v>
      </c>
      <c r="G176" s="4" t="s">
        <v>16</v>
      </c>
      <c r="H176" s="12">
        <v>5.0999999999999996</v>
      </c>
      <c r="I176" s="7">
        <v>19000</v>
      </c>
      <c r="J176" s="7">
        <f t="shared" si="10"/>
        <v>96900</v>
      </c>
      <c r="K176" s="8" t="s">
        <v>17</v>
      </c>
      <c r="L176" t="str">
        <f>IFERROR(VLOOKUP(F176,MÃ!$A:$B,2,0),0)</f>
        <v>NL300004</v>
      </c>
      <c r="M176" t="str">
        <f t="shared" si="11"/>
        <v>06/01/2026NL300004</v>
      </c>
      <c r="N176" s="15">
        <f>IFERROR(VLOOKUP(M176,'WS3'!$B$2:$Q$437,11,0),0)</f>
        <v>5.0999999999999996</v>
      </c>
      <c r="O176" s="17">
        <f>IFERROR(VLOOKUP(M176,'WS3'!$B$2:$Q$437,12,0),0)</f>
        <v>19000</v>
      </c>
      <c r="P176" s="17">
        <f t="shared" si="12"/>
        <v>96900</v>
      </c>
      <c r="Q176" s="15">
        <f t="shared" si="13"/>
        <v>0</v>
      </c>
      <c r="R176" s="17">
        <f t="shared" si="14"/>
        <v>0</v>
      </c>
      <c r="S176" s="13"/>
    </row>
    <row r="177" spans="1:19" x14ac:dyDescent="0.25">
      <c r="A177" s="4" t="s">
        <v>150</v>
      </c>
      <c r="B177" s="5" t="s">
        <v>124</v>
      </c>
      <c r="C177" s="4" t="s">
        <v>13</v>
      </c>
      <c r="D177" s="5" t="s">
        <v>151</v>
      </c>
      <c r="E177" s="4" t="s">
        <v>22</v>
      </c>
      <c r="F177" s="4" t="s">
        <v>23</v>
      </c>
      <c r="G177" s="4" t="s">
        <v>16</v>
      </c>
      <c r="H177" s="12">
        <v>3</v>
      </c>
      <c r="I177" s="7">
        <v>30000</v>
      </c>
      <c r="J177" s="7">
        <f t="shared" si="10"/>
        <v>90000</v>
      </c>
      <c r="K177" s="8" t="s">
        <v>17</v>
      </c>
      <c r="L177" t="str">
        <f>IFERROR(VLOOKUP(F177,MÃ!$A:$B,2,0),0)</f>
        <v>NL300007</v>
      </c>
      <c r="M177" t="str">
        <f t="shared" si="11"/>
        <v>06/01/2026NL300007</v>
      </c>
      <c r="N177" s="15">
        <f>IFERROR(VLOOKUP(M177,'WS3'!$B$2:$Q$437,11,0),0)</f>
        <v>3</v>
      </c>
      <c r="O177" s="17">
        <f>IFERROR(VLOOKUP(M177,'WS3'!$B$2:$Q$437,12,0),0)</f>
        <v>30000</v>
      </c>
      <c r="P177" s="17">
        <f t="shared" si="12"/>
        <v>90000</v>
      </c>
      <c r="Q177" s="15">
        <f t="shared" si="13"/>
        <v>0</v>
      </c>
      <c r="R177" s="17">
        <f t="shared" si="14"/>
        <v>0</v>
      </c>
      <c r="S177" s="13"/>
    </row>
    <row r="178" spans="1:19" x14ac:dyDescent="0.25">
      <c r="A178" s="4" t="s">
        <v>150</v>
      </c>
      <c r="B178" s="5" t="s">
        <v>124</v>
      </c>
      <c r="C178" s="4" t="s">
        <v>13</v>
      </c>
      <c r="D178" s="5" t="s">
        <v>151</v>
      </c>
      <c r="E178" s="4" t="s">
        <v>24</v>
      </c>
      <c r="F178" s="4" t="s">
        <v>25</v>
      </c>
      <c r="G178" s="4" t="s">
        <v>16</v>
      </c>
      <c r="H178" s="12">
        <v>10</v>
      </c>
      <c r="I178" s="7">
        <v>40000</v>
      </c>
      <c r="J178" s="7">
        <f t="shared" si="10"/>
        <v>400000</v>
      </c>
      <c r="K178" s="8" t="s">
        <v>17</v>
      </c>
      <c r="L178" t="str">
        <f>IFERROR(VLOOKUP(F178,MÃ!$A:$B,2,0),0)</f>
        <v>NL300008</v>
      </c>
      <c r="M178" t="str">
        <f t="shared" si="11"/>
        <v>06/01/2026NL300008</v>
      </c>
      <c r="N178" s="15">
        <f>IFERROR(VLOOKUP(M178,'WS3'!$B$2:$Q$437,11,0),0)</f>
        <v>6</v>
      </c>
      <c r="O178" s="17">
        <f>IFERROR(VLOOKUP(M178,'WS3'!$B$2:$Q$437,12,0),0)</f>
        <v>40000</v>
      </c>
      <c r="P178" s="17">
        <f t="shared" si="12"/>
        <v>240000</v>
      </c>
      <c r="Q178" s="15">
        <f t="shared" si="13"/>
        <v>4</v>
      </c>
      <c r="R178" s="17">
        <f t="shared" si="14"/>
        <v>0</v>
      </c>
      <c r="S178" s="13" t="s">
        <v>543</v>
      </c>
    </row>
    <row r="179" spans="1:19" x14ac:dyDescent="0.25">
      <c r="A179" s="4" t="s">
        <v>150</v>
      </c>
      <c r="B179" s="5" t="s">
        <v>124</v>
      </c>
      <c r="C179" s="4" t="s">
        <v>13</v>
      </c>
      <c r="D179" s="5" t="s">
        <v>151</v>
      </c>
      <c r="E179" s="4" t="s">
        <v>26</v>
      </c>
      <c r="F179" s="4" t="s">
        <v>27</v>
      </c>
      <c r="G179" s="4" t="s">
        <v>16</v>
      </c>
      <c r="H179" s="12">
        <v>0.5</v>
      </c>
      <c r="I179" s="7">
        <v>75000</v>
      </c>
      <c r="J179" s="7">
        <f t="shared" si="10"/>
        <v>37500</v>
      </c>
      <c r="K179" s="8" t="s">
        <v>17</v>
      </c>
      <c r="L179" t="str">
        <f>IFERROR(VLOOKUP(F179,MÃ!$A:$B,2,0),0)</f>
        <v>NL300028</v>
      </c>
      <c r="M179" t="str">
        <f t="shared" si="11"/>
        <v>06/01/2026NL300028</v>
      </c>
      <c r="N179" s="15">
        <f>IFERROR(VLOOKUP(M179,'WS3'!$B$2:$Q$437,11,0),0)</f>
        <v>0.2</v>
      </c>
      <c r="O179" s="17">
        <f>IFERROR(VLOOKUP(M179,'WS3'!$B$2:$Q$437,12,0),0)</f>
        <v>75000</v>
      </c>
      <c r="P179" s="17">
        <f t="shared" si="12"/>
        <v>15000</v>
      </c>
      <c r="Q179" s="15">
        <f t="shared" si="13"/>
        <v>0.3</v>
      </c>
      <c r="R179" s="17">
        <f t="shared" si="14"/>
        <v>0</v>
      </c>
      <c r="S179" s="13" t="s">
        <v>543</v>
      </c>
    </row>
    <row r="180" spans="1:19" ht="42.75" x14ac:dyDescent="0.25">
      <c r="A180" s="4" t="s">
        <v>150</v>
      </c>
      <c r="B180" s="5" t="s">
        <v>124</v>
      </c>
      <c r="C180" s="4" t="s">
        <v>13</v>
      </c>
      <c r="D180" s="5" t="s">
        <v>151</v>
      </c>
      <c r="E180" s="4" t="s">
        <v>28</v>
      </c>
      <c r="F180" s="4" t="s">
        <v>29</v>
      </c>
      <c r="G180" s="4" t="s">
        <v>16</v>
      </c>
      <c r="H180" s="12">
        <v>2</v>
      </c>
      <c r="I180" s="7">
        <v>30000</v>
      </c>
      <c r="J180" s="7">
        <f t="shared" si="10"/>
        <v>60000</v>
      </c>
      <c r="K180" s="8" t="s">
        <v>17</v>
      </c>
      <c r="L180" t="str">
        <f>IFERROR(VLOOKUP(F180,MÃ!$A:$B,2,0),0)</f>
        <v>NL300020</v>
      </c>
      <c r="M180" t="str">
        <f t="shared" si="11"/>
        <v>06/01/2026NL300020</v>
      </c>
      <c r="N180" s="15">
        <f>IFERROR(VLOOKUP(M180,'WS3'!$B$2:$Q$437,11,0),0)</f>
        <v>1</v>
      </c>
      <c r="O180" s="17">
        <f>IFERROR(VLOOKUP(M180,'WS3'!$B$2:$Q$437,12,0),0)</f>
        <v>30000</v>
      </c>
      <c r="P180" s="17">
        <f t="shared" si="12"/>
        <v>30000</v>
      </c>
      <c r="Q180" s="15">
        <f t="shared" si="13"/>
        <v>1</v>
      </c>
      <c r="R180" s="17">
        <f t="shared" si="14"/>
        <v>0</v>
      </c>
      <c r="S180" s="13" t="s">
        <v>543</v>
      </c>
    </row>
    <row r="181" spans="1:19" x14ac:dyDescent="0.25">
      <c r="A181" s="4" t="s">
        <v>150</v>
      </c>
      <c r="B181" s="5" t="s">
        <v>124</v>
      </c>
      <c r="C181" s="4" t="s">
        <v>13</v>
      </c>
      <c r="D181" s="5" t="s">
        <v>151</v>
      </c>
      <c r="E181" s="4" t="s">
        <v>89</v>
      </c>
      <c r="F181" s="4" t="s">
        <v>90</v>
      </c>
      <c r="G181" s="4" t="s">
        <v>16</v>
      </c>
      <c r="H181" s="12">
        <v>0.7</v>
      </c>
      <c r="I181" s="7">
        <v>44000</v>
      </c>
      <c r="J181" s="7">
        <f t="shared" si="10"/>
        <v>30799.999999999996</v>
      </c>
      <c r="K181" s="8" t="s">
        <v>17</v>
      </c>
      <c r="L181" t="str">
        <f>IFERROR(VLOOKUP(F181,MÃ!$A:$B,2,0),0)</f>
        <v>NL300025</v>
      </c>
      <c r="M181" t="str">
        <f t="shared" si="11"/>
        <v>06/01/2026NL300025</v>
      </c>
      <c r="N181" s="15">
        <f>IFERROR(VLOOKUP(M181,'WS3'!$B$2:$Q$437,11,0),0)</f>
        <v>0.7</v>
      </c>
      <c r="O181" s="17">
        <f>IFERROR(VLOOKUP(M181,'WS3'!$B$2:$Q$437,12,0),0)</f>
        <v>44000</v>
      </c>
      <c r="P181" s="17">
        <f t="shared" si="12"/>
        <v>30799.999999999996</v>
      </c>
      <c r="Q181" s="15">
        <f t="shared" si="13"/>
        <v>0</v>
      </c>
      <c r="R181" s="17">
        <f t="shared" si="14"/>
        <v>0</v>
      </c>
      <c r="S181" s="13"/>
    </row>
    <row r="182" spans="1:19" x14ac:dyDescent="0.25">
      <c r="A182" s="4" t="s">
        <v>150</v>
      </c>
      <c r="B182" s="5" t="s">
        <v>124</v>
      </c>
      <c r="C182" s="4" t="s">
        <v>13</v>
      </c>
      <c r="D182" s="5" t="s">
        <v>151</v>
      </c>
      <c r="E182" s="4" t="s">
        <v>61</v>
      </c>
      <c r="F182" s="4" t="s">
        <v>62</v>
      </c>
      <c r="G182" s="4" t="s">
        <v>16</v>
      </c>
      <c r="H182" s="12">
        <v>2</v>
      </c>
      <c r="I182" s="7">
        <v>22000</v>
      </c>
      <c r="J182" s="7">
        <f t="shared" si="10"/>
        <v>44000</v>
      </c>
      <c r="K182" s="8" t="s">
        <v>17</v>
      </c>
      <c r="L182" t="str">
        <f>IFERROR(VLOOKUP(F182,MÃ!$A:$B,2,0),0)</f>
        <v>NL300029</v>
      </c>
      <c r="M182" t="str">
        <f t="shared" si="11"/>
        <v>06/01/2026NL300029</v>
      </c>
      <c r="N182" s="15">
        <f>IFERROR(VLOOKUP(M182,'WS3'!$B$2:$Q$437,11,0),0)</f>
        <v>2</v>
      </c>
      <c r="O182" s="17">
        <f>IFERROR(VLOOKUP(M182,'WS3'!$B$2:$Q$437,12,0),0)</f>
        <v>22000</v>
      </c>
      <c r="P182" s="17">
        <f t="shared" si="12"/>
        <v>44000</v>
      </c>
      <c r="Q182" s="15">
        <f t="shared" si="13"/>
        <v>0</v>
      </c>
      <c r="R182" s="17">
        <f t="shared" si="14"/>
        <v>0</v>
      </c>
      <c r="S182" s="13"/>
    </row>
    <row r="183" spans="1:19" x14ac:dyDescent="0.25">
      <c r="A183" s="4" t="s">
        <v>150</v>
      </c>
      <c r="B183" s="5" t="s">
        <v>124</v>
      </c>
      <c r="C183" s="4" t="s">
        <v>13</v>
      </c>
      <c r="D183" s="5" t="s">
        <v>151</v>
      </c>
      <c r="E183" s="4" t="s">
        <v>30</v>
      </c>
      <c r="F183" s="4" t="s">
        <v>31</v>
      </c>
      <c r="G183" s="4" t="s">
        <v>16</v>
      </c>
      <c r="H183" s="12">
        <v>2</v>
      </c>
      <c r="I183" s="7">
        <v>38000</v>
      </c>
      <c r="J183" s="7">
        <f t="shared" si="10"/>
        <v>76000</v>
      </c>
      <c r="K183" s="8" t="s">
        <v>17</v>
      </c>
      <c r="L183" t="str">
        <f>IFERROR(VLOOKUP(F183,MÃ!$A:$B,2,0),0)</f>
        <v>NL300054</v>
      </c>
      <c r="M183" t="str">
        <f t="shared" si="11"/>
        <v>06/01/2026NL300054</v>
      </c>
      <c r="N183" s="15">
        <f>IFERROR(VLOOKUP(M183,'WS3'!$B$2:$Q$437,11,0),0)</f>
        <v>2</v>
      </c>
      <c r="O183" s="17">
        <f>IFERROR(VLOOKUP(M183,'WS3'!$B$2:$Q$437,12,0),0)</f>
        <v>38000</v>
      </c>
      <c r="P183" s="17">
        <f t="shared" si="12"/>
        <v>76000</v>
      </c>
      <c r="Q183" s="15">
        <f t="shared" si="13"/>
        <v>0</v>
      </c>
      <c r="R183" s="17">
        <f t="shared" si="14"/>
        <v>0</v>
      </c>
      <c r="S183" s="13"/>
    </row>
    <row r="184" spans="1:19" x14ac:dyDescent="0.25">
      <c r="A184" s="4" t="s">
        <v>150</v>
      </c>
      <c r="B184" s="5" t="s">
        <v>124</v>
      </c>
      <c r="C184" s="4" t="s">
        <v>13</v>
      </c>
      <c r="D184" s="5" t="s">
        <v>151</v>
      </c>
      <c r="E184" s="4" t="s">
        <v>34</v>
      </c>
      <c r="F184" s="4" t="s">
        <v>35</v>
      </c>
      <c r="G184" s="4" t="s">
        <v>16</v>
      </c>
      <c r="H184" s="12">
        <v>2</v>
      </c>
      <c r="I184" s="7">
        <v>32000</v>
      </c>
      <c r="J184" s="7">
        <f t="shared" si="10"/>
        <v>64000</v>
      </c>
      <c r="K184" s="8" t="s">
        <v>17</v>
      </c>
      <c r="L184" t="str">
        <f>IFERROR(VLOOKUP(F184,MÃ!$A:$B,2,0),0)</f>
        <v>NL300038</v>
      </c>
      <c r="M184" t="str">
        <f t="shared" si="11"/>
        <v>06/01/2026NL300038</v>
      </c>
      <c r="N184" s="15">
        <f>IFERROR(VLOOKUP(M184,'WS3'!$B$2:$Q$437,11,0),0)</f>
        <v>2</v>
      </c>
      <c r="O184" s="17">
        <f>IFERROR(VLOOKUP(M184,'WS3'!$B$2:$Q$437,12,0),0)</f>
        <v>32000</v>
      </c>
      <c r="P184" s="17">
        <f t="shared" si="12"/>
        <v>64000</v>
      </c>
      <c r="Q184" s="15">
        <f t="shared" si="13"/>
        <v>0</v>
      </c>
      <c r="R184" s="17">
        <f t="shared" si="14"/>
        <v>0</v>
      </c>
      <c r="S184" s="13"/>
    </row>
    <row r="185" spans="1:19" ht="28.5" x14ac:dyDescent="0.25">
      <c r="A185" s="4" t="s">
        <v>150</v>
      </c>
      <c r="B185" s="5" t="s">
        <v>124</v>
      </c>
      <c r="C185" s="4" t="s">
        <v>13</v>
      </c>
      <c r="D185" s="5" t="s">
        <v>151</v>
      </c>
      <c r="E185" s="4" t="s">
        <v>97</v>
      </c>
      <c r="F185" s="4" t="s">
        <v>98</v>
      </c>
      <c r="G185" s="4" t="s">
        <v>99</v>
      </c>
      <c r="H185" s="12">
        <v>9</v>
      </c>
      <c r="I185" s="7">
        <v>15000</v>
      </c>
      <c r="J185" s="7">
        <f t="shared" si="10"/>
        <v>135000</v>
      </c>
      <c r="K185" s="8" t="s">
        <v>17</v>
      </c>
      <c r="L185" t="str">
        <f>IFERROR(VLOOKUP(F185,MÃ!$A:$B,2,0),0)</f>
        <v>NL300041</v>
      </c>
      <c r="M185" t="str">
        <f t="shared" si="11"/>
        <v>06/01/2026NL300041</v>
      </c>
      <c r="N185" s="15">
        <f>IFERROR(VLOOKUP(M185,'WS3'!$B$2:$Q$437,11,0),0)</f>
        <v>9</v>
      </c>
      <c r="O185" s="17">
        <f>IFERROR(VLOOKUP(M185,'WS3'!$B$2:$Q$437,12,0),0)</f>
        <v>15000</v>
      </c>
      <c r="P185" s="17">
        <f t="shared" si="12"/>
        <v>135000</v>
      </c>
      <c r="Q185" s="15">
        <f t="shared" si="13"/>
        <v>0</v>
      </c>
      <c r="R185" s="17">
        <f t="shared" si="14"/>
        <v>0</v>
      </c>
      <c r="S185" s="13"/>
    </row>
    <row r="186" spans="1:19" x14ac:dyDescent="0.25">
      <c r="A186" s="4" t="s">
        <v>150</v>
      </c>
      <c r="B186" s="5" t="s">
        <v>124</v>
      </c>
      <c r="C186" s="4" t="s">
        <v>13</v>
      </c>
      <c r="D186" s="5" t="s">
        <v>151</v>
      </c>
      <c r="E186" s="4" t="s">
        <v>36</v>
      </c>
      <c r="F186" s="4" t="s">
        <v>37</v>
      </c>
      <c r="G186" s="4" t="s">
        <v>16</v>
      </c>
      <c r="H186" s="12">
        <v>19</v>
      </c>
      <c r="I186" s="7">
        <v>18000</v>
      </c>
      <c r="J186" s="7">
        <f t="shared" si="10"/>
        <v>342000</v>
      </c>
      <c r="K186" s="8" t="s">
        <v>17</v>
      </c>
      <c r="L186" t="str">
        <f>IFERROR(VLOOKUP(F186,MÃ!$A:$B,2,0),0)</f>
        <v>NL600004</v>
      </c>
      <c r="M186" t="str">
        <f t="shared" si="11"/>
        <v>06/01/2026NL600004</v>
      </c>
      <c r="N186" s="15">
        <f>IFERROR(VLOOKUP(M186,'WS3'!$B$2:$Q$437,11,0),0)</f>
        <v>19</v>
      </c>
      <c r="O186" s="17">
        <f>IFERROR(VLOOKUP(M186,'WS3'!$B$2:$Q$437,12,0),0)</f>
        <v>18000</v>
      </c>
      <c r="P186" s="17">
        <f t="shared" si="12"/>
        <v>342000</v>
      </c>
      <c r="Q186" s="15">
        <f t="shared" si="13"/>
        <v>0</v>
      </c>
      <c r="R186" s="17">
        <f t="shared" si="14"/>
        <v>0</v>
      </c>
      <c r="S186" s="13"/>
    </row>
    <row r="187" spans="1:19" x14ac:dyDescent="0.25">
      <c r="A187" s="4" t="s">
        <v>150</v>
      </c>
      <c r="B187" s="5" t="s">
        <v>124</v>
      </c>
      <c r="C187" s="4" t="s">
        <v>13</v>
      </c>
      <c r="D187" s="5" t="s">
        <v>151</v>
      </c>
      <c r="E187" s="4" t="s">
        <v>38</v>
      </c>
      <c r="F187" s="4" t="s">
        <v>39</v>
      </c>
      <c r="G187" s="4" t="s">
        <v>16</v>
      </c>
      <c r="H187" s="12">
        <v>3</v>
      </c>
      <c r="I187" s="7">
        <v>55000</v>
      </c>
      <c r="J187" s="7">
        <f t="shared" si="10"/>
        <v>165000</v>
      </c>
      <c r="K187" s="8" t="s">
        <v>17</v>
      </c>
      <c r="L187" t="str">
        <f>IFERROR(VLOOKUP(F187,MÃ!$A:$B,2,0),0)</f>
        <v>NL300058</v>
      </c>
      <c r="M187" t="str">
        <f t="shared" si="11"/>
        <v>06/01/2026NL300058</v>
      </c>
      <c r="N187" s="15">
        <f>IFERROR(VLOOKUP(M187,'WS3'!$B$2:$Q$437,11,0),0)</f>
        <v>2</v>
      </c>
      <c r="O187" s="17">
        <f>IFERROR(VLOOKUP(M187,'WS3'!$B$2:$Q$437,12,0),0)</f>
        <v>55000</v>
      </c>
      <c r="P187" s="17">
        <f t="shared" si="12"/>
        <v>110000</v>
      </c>
      <c r="Q187" s="15">
        <f t="shared" si="13"/>
        <v>1</v>
      </c>
      <c r="R187" s="17">
        <f t="shared" si="14"/>
        <v>0</v>
      </c>
      <c r="S187" s="13" t="s">
        <v>543</v>
      </c>
    </row>
    <row r="188" spans="1:19" x14ac:dyDescent="0.25">
      <c r="A188" s="4" t="s">
        <v>150</v>
      </c>
      <c r="B188" s="5" t="s">
        <v>124</v>
      </c>
      <c r="C188" s="4" t="s">
        <v>13</v>
      </c>
      <c r="D188" s="5" t="s">
        <v>151</v>
      </c>
      <c r="E188" s="4" t="s">
        <v>113</v>
      </c>
      <c r="F188" s="4" t="s">
        <v>114</v>
      </c>
      <c r="G188" s="4" t="s">
        <v>16</v>
      </c>
      <c r="H188" s="12">
        <v>0.5</v>
      </c>
      <c r="I188" s="7">
        <v>13000</v>
      </c>
      <c r="J188" s="7">
        <f t="shared" si="10"/>
        <v>6500</v>
      </c>
      <c r="K188" s="8" t="s">
        <v>17</v>
      </c>
      <c r="L188" t="str">
        <f>IFERROR(VLOOKUP(F188,MÃ!$A:$B,2,0),0)</f>
        <v>NL300059</v>
      </c>
      <c r="M188" t="str">
        <f t="shared" si="11"/>
        <v>06/01/2026NL300059</v>
      </c>
      <c r="N188" s="15">
        <f>IFERROR(VLOOKUP(M188,'WS3'!$B$2:$Q$437,11,0),0)</f>
        <v>0.5</v>
      </c>
      <c r="O188" s="17">
        <f>IFERROR(VLOOKUP(M188,'WS3'!$B$2:$Q$437,12,0),0)</f>
        <v>13000</v>
      </c>
      <c r="P188" s="17">
        <f t="shared" si="12"/>
        <v>6500</v>
      </c>
      <c r="Q188" s="15">
        <f t="shared" si="13"/>
        <v>0</v>
      </c>
      <c r="R188" s="17">
        <f t="shared" si="14"/>
        <v>0</v>
      </c>
      <c r="S188" s="13"/>
    </row>
    <row r="189" spans="1:19" x14ac:dyDescent="0.25">
      <c r="A189" s="4" t="s">
        <v>150</v>
      </c>
      <c r="B189" s="5" t="s">
        <v>124</v>
      </c>
      <c r="C189" s="4" t="s">
        <v>13</v>
      </c>
      <c r="D189" s="5" t="s">
        <v>151</v>
      </c>
      <c r="E189" s="4" t="s">
        <v>63</v>
      </c>
      <c r="F189" s="4" t="s">
        <v>64</v>
      </c>
      <c r="G189" s="4" t="s">
        <v>16</v>
      </c>
      <c r="H189" s="12">
        <v>0.1</v>
      </c>
      <c r="I189" s="7">
        <v>65000</v>
      </c>
      <c r="J189" s="7">
        <f t="shared" si="10"/>
        <v>6500</v>
      </c>
      <c r="K189" s="8" t="s">
        <v>17</v>
      </c>
      <c r="L189" t="str">
        <f>IFERROR(VLOOKUP(F189,MÃ!$A:$B,2,0),0)</f>
        <v>NL300062</v>
      </c>
      <c r="M189" t="str">
        <f t="shared" si="11"/>
        <v>06/01/2026NL300062</v>
      </c>
      <c r="N189" s="15">
        <f>IFERROR(VLOOKUP(M189,'WS3'!$B$2:$Q$437,11,0),0)</f>
        <v>0.1</v>
      </c>
      <c r="O189" s="17">
        <f>IFERROR(VLOOKUP(M189,'WS3'!$B$2:$Q$437,12,0),0)</f>
        <v>65000</v>
      </c>
      <c r="P189" s="17">
        <f t="shared" si="12"/>
        <v>6500</v>
      </c>
      <c r="Q189" s="15">
        <f t="shared" si="13"/>
        <v>0</v>
      </c>
      <c r="R189" s="17">
        <f t="shared" si="14"/>
        <v>0</v>
      </c>
      <c r="S189" s="13"/>
    </row>
    <row r="190" spans="1:19" x14ac:dyDescent="0.25">
      <c r="A190" s="4" t="s">
        <v>150</v>
      </c>
      <c r="B190" s="5" t="s">
        <v>124</v>
      </c>
      <c r="C190" s="4" t="s">
        <v>13</v>
      </c>
      <c r="D190" s="5" t="s">
        <v>151</v>
      </c>
      <c r="E190" s="4" t="s">
        <v>67</v>
      </c>
      <c r="F190" s="4" t="s">
        <v>68</v>
      </c>
      <c r="G190" s="4" t="s">
        <v>16</v>
      </c>
      <c r="H190" s="12">
        <v>0.5</v>
      </c>
      <c r="I190" s="7">
        <v>18000</v>
      </c>
      <c r="J190" s="7">
        <f t="shared" si="10"/>
        <v>9000</v>
      </c>
      <c r="K190" s="8" t="s">
        <v>17</v>
      </c>
      <c r="L190" t="str">
        <f>IFERROR(VLOOKUP(F190,MÃ!$A:$B,2,0),0)</f>
        <v>NL300184</v>
      </c>
      <c r="M190" t="str">
        <f t="shared" si="11"/>
        <v>06/01/2026NL300184</v>
      </c>
      <c r="N190" s="15">
        <f>IFERROR(VLOOKUP(M190,'WS3'!$B$2:$Q$437,11,0),0)</f>
        <v>0.5</v>
      </c>
      <c r="O190" s="17">
        <f>IFERROR(VLOOKUP(M190,'WS3'!$B$2:$Q$437,12,0),0)</f>
        <v>18000</v>
      </c>
      <c r="P190" s="17">
        <f t="shared" si="12"/>
        <v>9000</v>
      </c>
      <c r="Q190" s="15">
        <f t="shared" si="13"/>
        <v>0</v>
      </c>
      <c r="R190" s="17">
        <f t="shared" si="14"/>
        <v>0</v>
      </c>
      <c r="S190" s="13"/>
    </row>
    <row r="191" spans="1:19" x14ac:dyDescent="0.25">
      <c r="A191" s="4" t="s">
        <v>150</v>
      </c>
      <c r="B191" s="5" t="s">
        <v>124</v>
      </c>
      <c r="C191" s="4" t="s">
        <v>13</v>
      </c>
      <c r="D191" s="5" t="s">
        <v>151</v>
      </c>
      <c r="E191" s="4" t="s">
        <v>73</v>
      </c>
      <c r="F191" s="4" t="s">
        <v>74</v>
      </c>
      <c r="G191" s="4" t="s">
        <v>16</v>
      </c>
      <c r="H191" s="12">
        <v>0.6</v>
      </c>
      <c r="I191" s="7">
        <v>90000</v>
      </c>
      <c r="J191" s="7">
        <f t="shared" si="10"/>
        <v>54000</v>
      </c>
      <c r="K191" s="8" t="s">
        <v>17</v>
      </c>
      <c r="L191" t="str">
        <f>IFERROR(VLOOKUP(F191,MÃ!$A:$B,2,0),0)</f>
        <v>NL300092</v>
      </c>
      <c r="M191" t="str">
        <f t="shared" si="11"/>
        <v>06/01/2026NL300092</v>
      </c>
      <c r="N191" s="15">
        <f>IFERROR(VLOOKUP(M191,'WS3'!$B$2:$Q$437,11,0),0)</f>
        <v>0.6</v>
      </c>
      <c r="O191" s="17">
        <f>IFERROR(VLOOKUP(M191,'WS3'!$B$2:$Q$437,12,0),0)</f>
        <v>90000</v>
      </c>
      <c r="P191" s="17">
        <f t="shared" si="12"/>
        <v>54000</v>
      </c>
      <c r="Q191" s="15">
        <f t="shared" si="13"/>
        <v>0</v>
      </c>
      <c r="R191" s="17">
        <f t="shared" si="14"/>
        <v>0</v>
      </c>
      <c r="S191" s="13"/>
    </row>
    <row r="192" spans="1:19" x14ac:dyDescent="0.25">
      <c r="A192" s="4" t="s">
        <v>150</v>
      </c>
      <c r="B192" s="5" t="s">
        <v>124</v>
      </c>
      <c r="C192" s="4" t="s">
        <v>13</v>
      </c>
      <c r="D192" s="5" t="s">
        <v>151</v>
      </c>
      <c r="E192" s="4" t="s">
        <v>100</v>
      </c>
      <c r="F192" s="4" t="s">
        <v>101</v>
      </c>
      <c r="G192" s="4" t="s">
        <v>16</v>
      </c>
      <c r="H192" s="12">
        <v>1</v>
      </c>
      <c r="I192" s="7">
        <v>80000</v>
      </c>
      <c r="J192" s="7">
        <f t="shared" si="10"/>
        <v>80000</v>
      </c>
      <c r="K192" s="8" t="s">
        <v>17</v>
      </c>
      <c r="L192" t="str">
        <f>IFERROR(VLOOKUP(F192,MÃ!$A:$B,2,0),0)</f>
        <v>NL300094</v>
      </c>
      <c r="M192" t="str">
        <f t="shared" si="11"/>
        <v>06/01/2026NL300094</v>
      </c>
      <c r="N192" s="15">
        <f>IFERROR(VLOOKUP(M192,'WS3'!$B$2:$Q$437,11,0),0)</f>
        <v>1</v>
      </c>
      <c r="O192" s="17">
        <f>IFERROR(VLOOKUP(M192,'WS3'!$B$2:$Q$437,12,0),0)</f>
        <v>80000</v>
      </c>
      <c r="P192" s="17">
        <f t="shared" si="12"/>
        <v>80000</v>
      </c>
      <c r="Q192" s="15">
        <f t="shared" si="13"/>
        <v>0</v>
      </c>
      <c r="R192" s="17">
        <f t="shared" si="14"/>
        <v>0</v>
      </c>
      <c r="S192" s="13"/>
    </row>
    <row r="193" spans="1:19" ht="28.5" x14ac:dyDescent="0.25">
      <c r="A193" s="4" t="s">
        <v>150</v>
      </c>
      <c r="B193" s="5" t="s">
        <v>124</v>
      </c>
      <c r="C193" s="4" t="s">
        <v>13</v>
      </c>
      <c r="D193" s="5" t="s">
        <v>151</v>
      </c>
      <c r="E193" s="4" t="s">
        <v>75</v>
      </c>
      <c r="F193" s="4" t="s">
        <v>76</v>
      </c>
      <c r="G193" s="4" t="s">
        <v>16</v>
      </c>
      <c r="H193" s="12">
        <v>0.5</v>
      </c>
      <c r="I193" s="7">
        <v>90000</v>
      </c>
      <c r="J193" s="7">
        <f t="shared" si="10"/>
        <v>45000</v>
      </c>
      <c r="K193" s="8" t="s">
        <v>17</v>
      </c>
      <c r="L193" t="str">
        <f>IFERROR(VLOOKUP(F193,MÃ!$A:$B,2,0),0)</f>
        <v>NL300097</v>
      </c>
      <c r="M193" t="str">
        <f t="shared" si="11"/>
        <v>06/01/2026NL300097</v>
      </c>
      <c r="N193" s="15">
        <f>IFERROR(VLOOKUP(M193,'WS3'!$B$2:$Q$437,11,0),0)</f>
        <v>0.5</v>
      </c>
      <c r="O193" s="17">
        <f>IFERROR(VLOOKUP(M193,'WS3'!$B$2:$Q$437,12,0),0)</f>
        <v>90000</v>
      </c>
      <c r="P193" s="17">
        <f t="shared" si="12"/>
        <v>45000</v>
      </c>
      <c r="Q193" s="15">
        <f t="shared" si="13"/>
        <v>0</v>
      </c>
      <c r="R193" s="17">
        <f t="shared" si="14"/>
        <v>0</v>
      </c>
      <c r="S193" s="13"/>
    </row>
    <row r="194" spans="1:19" x14ac:dyDescent="0.25">
      <c r="A194" s="4" t="s">
        <v>150</v>
      </c>
      <c r="B194" s="5" t="s">
        <v>124</v>
      </c>
      <c r="C194" s="4" t="s">
        <v>13</v>
      </c>
      <c r="D194" s="5" t="s">
        <v>151</v>
      </c>
      <c r="E194" s="4" t="s">
        <v>111</v>
      </c>
      <c r="F194" s="4" t="s">
        <v>112</v>
      </c>
      <c r="G194" s="4" t="s">
        <v>16</v>
      </c>
      <c r="H194" s="12">
        <v>0.2</v>
      </c>
      <c r="I194" s="7">
        <v>250000</v>
      </c>
      <c r="J194" s="7">
        <f t="shared" si="10"/>
        <v>50000</v>
      </c>
      <c r="K194" s="8" t="s">
        <v>17</v>
      </c>
      <c r="L194" t="str">
        <f>IFERROR(VLOOKUP(F194,MÃ!$A:$B,2,0),0)</f>
        <v>NL300158</v>
      </c>
      <c r="M194" t="str">
        <f t="shared" si="11"/>
        <v>06/01/2026NL300158</v>
      </c>
      <c r="N194" s="15">
        <f>IFERROR(VLOOKUP(M194,'WS3'!$B$2:$Q$437,11,0),0)</f>
        <v>0.2</v>
      </c>
      <c r="O194" s="17">
        <f>IFERROR(VLOOKUP(M194,'WS3'!$B$2:$Q$437,12,0),0)</f>
        <v>250000</v>
      </c>
      <c r="P194" s="17">
        <f t="shared" si="12"/>
        <v>50000</v>
      </c>
      <c r="Q194" s="15">
        <f t="shared" si="13"/>
        <v>0</v>
      </c>
      <c r="R194" s="17">
        <f t="shared" si="14"/>
        <v>0</v>
      </c>
      <c r="S194" s="13"/>
    </row>
    <row r="195" spans="1:19" x14ac:dyDescent="0.25">
      <c r="A195" s="4" t="s">
        <v>150</v>
      </c>
      <c r="B195" s="5" t="s">
        <v>124</v>
      </c>
      <c r="C195" s="4" t="s">
        <v>13</v>
      </c>
      <c r="D195" s="5" t="s">
        <v>151</v>
      </c>
      <c r="E195" s="4" t="s">
        <v>109</v>
      </c>
      <c r="F195" s="4" t="s">
        <v>110</v>
      </c>
      <c r="G195" s="4" t="s">
        <v>16</v>
      </c>
      <c r="H195" s="12">
        <v>0.5</v>
      </c>
      <c r="I195" s="7">
        <v>195000</v>
      </c>
      <c r="J195" s="7">
        <f t="shared" si="10"/>
        <v>97500</v>
      </c>
      <c r="K195" s="8" t="s">
        <v>17</v>
      </c>
      <c r="L195" t="str">
        <f>IFERROR(VLOOKUP(F195,MÃ!$A:$B,2,0),0)</f>
        <v>NL300101</v>
      </c>
      <c r="M195" t="str">
        <f t="shared" si="11"/>
        <v>06/01/2026NL300101</v>
      </c>
      <c r="N195" s="15">
        <f>IFERROR(VLOOKUP(M195,'WS3'!$B$2:$Q$437,11,0),0)</f>
        <v>0.5</v>
      </c>
      <c r="O195" s="17">
        <f>IFERROR(VLOOKUP(M195,'WS3'!$B$2:$Q$437,12,0),0)</f>
        <v>195000</v>
      </c>
      <c r="P195" s="17">
        <f t="shared" si="12"/>
        <v>97500</v>
      </c>
      <c r="Q195" s="15">
        <f t="shared" si="13"/>
        <v>0</v>
      </c>
      <c r="R195" s="17">
        <f t="shared" si="14"/>
        <v>0</v>
      </c>
      <c r="S195" s="13"/>
    </row>
    <row r="196" spans="1:19" x14ac:dyDescent="0.25">
      <c r="A196" s="4" t="s">
        <v>150</v>
      </c>
      <c r="B196" s="5" t="s">
        <v>124</v>
      </c>
      <c r="C196" s="4" t="s">
        <v>13</v>
      </c>
      <c r="D196" s="5" t="s">
        <v>151</v>
      </c>
      <c r="E196" s="4" t="s">
        <v>77</v>
      </c>
      <c r="F196" s="4" t="s">
        <v>78</v>
      </c>
      <c r="G196" s="4" t="s">
        <v>16</v>
      </c>
      <c r="H196" s="12">
        <v>2</v>
      </c>
      <c r="I196" s="7">
        <v>45000</v>
      </c>
      <c r="J196" s="7">
        <f t="shared" si="10"/>
        <v>90000</v>
      </c>
      <c r="K196" s="8" t="s">
        <v>17</v>
      </c>
      <c r="L196" t="str">
        <f>IFERROR(VLOOKUP(F196,MÃ!$A:$B,2,0),0)</f>
        <v>NL300085</v>
      </c>
      <c r="M196" t="str">
        <f t="shared" si="11"/>
        <v>06/01/2026NL300085</v>
      </c>
      <c r="N196" s="15">
        <f>IFERROR(VLOOKUP(M196,'WS3'!$B$2:$Q$437,11,0),0)</f>
        <v>1</v>
      </c>
      <c r="O196" s="17">
        <f>IFERROR(VLOOKUP(M196,'WS3'!$B$2:$Q$437,12,0),0)</f>
        <v>45000</v>
      </c>
      <c r="P196" s="17">
        <f t="shared" si="12"/>
        <v>45000</v>
      </c>
      <c r="Q196" s="15">
        <f t="shared" si="13"/>
        <v>1</v>
      </c>
      <c r="R196" s="17">
        <f t="shared" si="14"/>
        <v>0</v>
      </c>
      <c r="S196" s="13" t="s">
        <v>543</v>
      </c>
    </row>
    <row r="197" spans="1:19" x14ac:dyDescent="0.25">
      <c r="A197" s="4" t="s">
        <v>150</v>
      </c>
      <c r="B197" s="5" t="s">
        <v>124</v>
      </c>
      <c r="C197" s="4" t="s">
        <v>13</v>
      </c>
      <c r="D197" s="5" t="s">
        <v>151</v>
      </c>
      <c r="E197" s="4" t="s">
        <v>79</v>
      </c>
      <c r="F197" s="4" t="s">
        <v>80</v>
      </c>
      <c r="G197" s="4" t="s">
        <v>16</v>
      </c>
      <c r="H197" s="12">
        <v>0.1</v>
      </c>
      <c r="I197" s="7">
        <v>70000</v>
      </c>
      <c r="J197" s="7">
        <f t="shared" si="10"/>
        <v>7000</v>
      </c>
      <c r="K197" s="8" t="s">
        <v>17</v>
      </c>
      <c r="L197" t="str">
        <f>IFERROR(VLOOKUP(F197,MÃ!$A:$B,2,0),0)</f>
        <v>NL300126</v>
      </c>
      <c r="M197" t="str">
        <f t="shared" si="11"/>
        <v>06/01/2026NL300126</v>
      </c>
      <c r="N197" s="15">
        <f>IFERROR(VLOOKUP(M197,'WS3'!$B$2:$Q$437,11,0),0)</f>
        <v>0.1</v>
      </c>
      <c r="O197" s="17">
        <f>IFERROR(VLOOKUP(M197,'WS3'!$B$2:$Q$437,12,0),0)</f>
        <v>70000</v>
      </c>
      <c r="P197" s="17">
        <f t="shared" si="12"/>
        <v>7000</v>
      </c>
      <c r="Q197" s="15">
        <f t="shared" si="13"/>
        <v>0</v>
      </c>
      <c r="R197" s="17">
        <f t="shared" si="14"/>
        <v>0</v>
      </c>
      <c r="S197" s="13"/>
    </row>
    <row r="198" spans="1:19" x14ac:dyDescent="0.25">
      <c r="A198" s="4" t="s">
        <v>150</v>
      </c>
      <c r="B198" s="5" t="s">
        <v>124</v>
      </c>
      <c r="C198" s="4" t="s">
        <v>13</v>
      </c>
      <c r="D198" s="5" t="s">
        <v>151</v>
      </c>
      <c r="E198" s="4" t="s">
        <v>46</v>
      </c>
      <c r="F198" s="4" t="s">
        <v>47</v>
      </c>
      <c r="G198" s="4" t="s">
        <v>16</v>
      </c>
      <c r="H198" s="12">
        <v>0.2</v>
      </c>
      <c r="I198" s="7">
        <v>148000</v>
      </c>
      <c r="J198" s="7">
        <f t="shared" si="10"/>
        <v>29600</v>
      </c>
      <c r="K198" s="8" t="s">
        <v>17</v>
      </c>
      <c r="L198" t="str">
        <f>IFERROR(VLOOKUP(F198,MÃ!$A:$B,2,0),0)</f>
        <v>NL300116</v>
      </c>
      <c r="M198" t="str">
        <f t="shared" si="11"/>
        <v>06/01/2026NL300116</v>
      </c>
      <c r="N198" s="15">
        <f>IFERROR(VLOOKUP(M198,'WS3'!$B$2:$Q$437,11,0),0)</f>
        <v>0.2</v>
      </c>
      <c r="O198" s="17">
        <f>IFERROR(VLOOKUP(M198,'WS3'!$B$2:$Q$437,12,0),0)</f>
        <v>148000</v>
      </c>
      <c r="P198" s="17">
        <f t="shared" si="12"/>
        <v>29600</v>
      </c>
      <c r="Q198" s="15">
        <f t="shared" si="13"/>
        <v>0</v>
      </c>
      <c r="R198" s="17">
        <f t="shared" si="14"/>
        <v>0</v>
      </c>
      <c r="S198" s="13"/>
    </row>
    <row r="199" spans="1:19" x14ac:dyDescent="0.25">
      <c r="A199" s="4" t="s">
        <v>150</v>
      </c>
      <c r="B199" s="5" t="s">
        <v>124</v>
      </c>
      <c r="C199" s="4" t="s">
        <v>13</v>
      </c>
      <c r="D199" s="5" t="s">
        <v>151</v>
      </c>
      <c r="E199" s="4" t="s">
        <v>50</v>
      </c>
      <c r="F199" s="4" t="s">
        <v>51</v>
      </c>
      <c r="G199" s="4" t="s">
        <v>16</v>
      </c>
      <c r="H199" s="12">
        <v>0.1</v>
      </c>
      <c r="I199" s="7">
        <v>22000</v>
      </c>
      <c r="J199" s="7">
        <f t="shared" si="10"/>
        <v>2200</v>
      </c>
      <c r="K199" s="8" t="s">
        <v>17</v>
      </c>
      <c r="L199" t="str">
        <f>IFERROR(VLOOKUP(F199,MÃ!$A:$B,2,0),0)</f>
        <v>NL300121</v>
      </c>
      <c r="M199" t="str">
        <f t="shared" si="11"/>
        <v>06/01/2026NL300121</v>
      </c>
      <c r="N199" s="15">
        <f>IFERROR(VLOOKUP(M199,'WS3'!$B$2:$Q$437,11,0),0)</f>
        <v>0.1</v>
      </c>
      <c r="O199" s="17">
        <f>IFERROR(VLOOKUP(M199,'WS3'!$B$2:$Q$437,12,0),0)</f>
        <v>22000</v>
      </c>
      <c r="P199" s="17">
        <f t="shared" si="12"/>
        <v>2200</v>
      </c>
      <c r="Q199" s="15">
        <f t="shared" si="13"/>
        <v>0</v>
      </c>
      <c r="R199" s="17">
        <f t="shared" si="14"/>
        <v>0</v>
      </c>
      <c r="S199" s="13"/>
    </row>
    <row r="200" spans="1:19" x14ac:dyDescent="0.25">
      <c r="A200" s="4" t="s">
        <v>150</v>
      </c>
      <c r="B200" s="5" t="s">
        <v>124</v>
      </c>
      <c r="C200" s="4" t="s">
        <v>13</v>
      </c>
      <c r="D200" s="5" t="s">
        <v>151</v>
      </c>
      <c r="E200" s="4" t="s">
        <v>52</v>
      </c>
      <c r="F200" s="4" t="s">
        <v>53</v>
      </c>
      <c r="G200" s="4" t="s">
        <v>16</v>
      </c>
      <c r="H200" s="12">
        <v>1</v>
      </c>
      <c r="I200" s="7">
        <v>21000</v>
      </c>
      <c r="J200" s="7">
        <f t="shared" si="10"/>
        <v>21000</v>
      </c>
      <c r="K200" s="8" t="s">
        <v>17</v>
      </c>
      <c r="L200" t="str">
        <f>IFERROR(VLOOKUP(F200,MÃ!$A:$B,2,0),0)</f>
        <v>NL300119</v>
      </c>
      <c r="M200" t="str">
        <f t="shared" si="11"/>
        <v>06/01/2026NL300119</v>
      </c>
      <c r="N200" s="15">
        <f>IFERROR(VLOOKUP(M200,'WS3'!$B$2:$Q$437,11,0),0)</f>
        <v>0.8</v>
      </c>
      <c r="O200" s="17">
        <f>IFERROR(VLOOKUP(M200,'WS3'!$B$2:$Q$437,12,0),0)</f>
        <v>21000</v>
      </c>
      <c r="P200" s="17">
        <f t="shared" si="12"/>
        <v>16800</v>
      </c>
      <c r="Q200" s="15">
        <f t="shared" si="13"/>
        <v>0.19999999999999996</v>
      </c>
      <c r="R200" s="17">
        <f t="shared" si="14"/>
        <v>0</v>
      </c>
      <c r="S200" s="13" t="s">
        <v>543</v>
      </c>
    </row>
    <row r="201" spans="1:19" x14ac:dyDescent="0.25">
      <c r="A201" s="4" t="s">
        <v>150</v>
      </c>
      <c r="B201" s="5" t="s">
        <v>124</v>
      </c>
      <c r="C201" s="4" t="s">
        <v>13</v>
      </c>
      <c r="D201" s="5" t="s">
        <v>151</v>
      </c>
      <c r="E201" s="4" t="s">
        <v>106</v>
      </c>
      <c r="F201" s="4" t="s">
        <v>107</v>
      </c>
      <c r="G201" s="4" t="s">
        <v>108</v>
      </c>
      <c r="H201" s="12">
        <v>50</v>
      </c>
      <c r="I201" s="7">
        <v>5000</v>
      </c>
      <c r="J201" s="7">
        <f t="shared" si="10"/>
        <v>250000</v>
      </c>
      <c r="K201" s="8" t="s">
        <v>17</v>
      </c>
      <c r="L201" t="str">
        <f>IFERROR(VLOOKUP(F201,MÃ!$A:$B,2,0),0)</f>
        <v>NL100101</v>
      </c>
      <c r="M201" t="str">
        <f t="shared" si="11"/>
        <v>06/01/2026NL100101</v>
      </c>
      <c r="N201" s="15">
        <f>IFERROR(VLOOKUP(M201,'WS3'!$B$2:$Q$437,11,0),0)</f>
        <v>49</v>
      </c>
      <c r="O201" s="17">
        <f>IFERROR(VLOOKUP(M201,'WS3'!$B$2:$Q$437,12,0),0)</f>
        <v>5000</v>
      </c>
      <c r="P201" s="17">
        <f t="shared" si="12"/>
        <v>245000</v>
      </c>
      <c r="Q201" s="15">
        <f t="shared" si="13"/>
        <v>1</v>
      </c>
      <c r="R201" s="17">
        <f t="shared" si="14"/>
        <v>0</v>
      </c>
      <c r="S201" s="13" t="s">
        <v>543</v>
      </c>
    </row>
    <row r="202" spans="1:19" x14ac:dyDescent="0.25">
      <c r="A202" s="4" t="s">
        <v>150</v>
      </c>
      <c r="B202" s="5" t="s">
        <v>124</v>
      </c>
      <c r="C202" s="4" t="s">
        <v>13</v>
      </c>
      <c r="D202" s="5" t="s">
        <v>151</v>
      </c>
      <c r="E202" s="4" t="s">
        <v>87</v>
      </c>
      <c r="F202" s="4" t="s">
        <v>88</v>
      </c>
      <c r="G202" s="4" t="s">
        <v>16</v>
      </c>
      <c r="H202" s="12">
        <v>0.2</v>
      </c>
      <c r="I202" s="7">
        <v>220000</v>
      </c>
      <c r="J202" s="7">
        <f t="shared" si="10"/>
        <v>44000</v>
      </c>
      <c r="K202" s="8" t="s">
        <v>17</v>
      </c>
      <c r="L202" t="str">
        <f>IFERROR(VLOOKUP(F202,MÃ!$A:$B,2,0),0)</f>
        <v>NL300131</v>
      </c>
      <c r="M202" t="str">
        <f t="shared" si="11"/>
        <v>06/01/2026NL300131</v>
      </c>
      <c r="N202" s="15">
        <f>IFERROR(VLOOKUP(M202,'WS3'!$B$2:$Q$437,11,0),0)</f>
        <v>0.2</v>
      </c>
      <c r="O202" s="17">
        <f>IFERROR(VLOOKUP(M202,'WS3'!$B$2:$Q$437,12,0),0)</f>
        <v>220000</v>
      </c>
      <c r="P202" s="17">
        <f t="shared" si="12"/>
        <v>44000</v>
      </c>
      <c r="Q202" s="15">
        <f t="shared" si="13"/>
        <v>0</v>
      </c>
      <c r="R202" s="17">
        <f t="shared" si="14"/>
        <v>0</v>
      </c>
      <c r="S202" s="13"/>
    </row>
    <row r="203" spans="1:19" x14ac:dyDescent="0.25">
      <c r="A203" s="4" t="s">
        <v>150</v>
      </c>
      <c r="B203" s="5" t="s">
        <v>124</v>
      </c>
      <c r="C203" s="4" t="s">
        <v>13</v>
      </c>
      <c r="D203" s="5" t="s">
        <v>151</v>
      </c>
      <c r="E203" s="4" t="s">
        <v>54</v>
      </c>
      <c r="F203" s="4" t="s">
        <v>55</v>
      </c>
      <c r="G203" s="4" t="s">
        <v>16</v>
      </c>
      <c r="H203" s="12">
        <v>3</v>
      </c>
      <c r="I203" s="7">
        <v>62000</v>
      </c>
      <c r="J203" s="7">
        <f t="shared" si="10"/>
        <v>186000</v>
      </c>
      <c r="K203" s="8" t="s">
        <v>17</v>
      </c>
      <c r="L203" t="str">
        <f>IFERROR(VLOOKUP(F203,MÃ!$A:$B,2,0),0)</f>
        <v>NL300147</v>
      </c>
      <c r="M203" t="str">
        <f t="shared" si="11"/>
        <v>06/01/2026NL300147</v>
      </c>
      <c r="N203" s="15">
        <f>IFERROR(VLOOKUP(M203,'WS3'!$B$2:$Q$437,11,0),0)</f>
        <v>2</v>
      </c>
      <c r="O203" s="17">
        <f>IFERROR(VLOOKUP(M203,'WS3'!$B$2:$Q$437,12,0),0)</f>
        <v>62000</v>
      </c>
      <c r="P203" s="17">
        <f t="shared" si="12"/>
        <v>124000</v>
      </c>
      <c r="Q203" s="15">
        <f t="shared" si="13"/>
        <v>1</v>
      </c>
      <c r="R203" s="17">
        <f t="shared" si="14"/>
        <v>0</v>
      </c>
      <c r="S203" s="13" t="s">
        <v>543</v>
      </c>
    </row>
    <row r="204" spans="1:19" x14ac:dyDescent="0.25">
      <c r="A204" s="4" t="s">
        <v>152</v>
      </c>
      <c r="B204" s="5" t="s">
        <v>124</v>
      </c>
      <c r="C204" s="4" t="s">
        <v>13</v>
      </c>
      <c r="D204" s="5" t="s">
        <v>153</v>
      </c>
      <c r="E204" s="4" t="s">
        <v>18</v>
      </c>
      <c r="F204" s="4" t="s">
        <v>19</v>
      </c>
      <c r="G204" s="4" t="s">
        <v>16</v>
      </c>
      <c r="H204" s="12">
        <v>3</v>
      </c>
      <c r="I204" s="7">
        <v>15000</v>
      </c>
      <c r="J204" s="7">
        <f t="shared" si="10"/>
        <v>45000</v>
      </c>
      <c r="K204" s="8" t="s">
        <v>17</v>
      </c>
      <c r="L204" t="str">
        <f>IFERROR(VLOOKUP(F204,MÃ!$A:$B,2,0),0)</f>
        <v>NL300189</v>
      </c>
      <c r="M204" t="str">
        <f t="shared" si="11"/>
        <v>07/01/2026NL300189</v>
      </c>
      <c r="N204" s="15">
        <f>IFERROR(VLOOKUP(M204,'WS3'!$B$2:$Q$437,11,0),0)</f>
        <v>2</v>
      </c>
      <c r="O204" s="17">
        <f>IFERROR(VLOOKUP(M204,'WS3'!$B$2:$Q$437,12,0),0)</f>
        <v>15000</v>
      </c>
      <c r="P204" s="17">
        <f t="shared" si="12"/>
        <v>30000</v>
      </c>
      <c r="Q204" s="15">
        <f t="shared" si="13"/>
        <v>1</v>
      </c>
      <c r="R204" s="17">
        <f t="shared" si="14"/>
        <v>0</v>
      </c>
      <c r="S204" s="13" t="s">
        <v>543</v>
      </c>
    </row>
    <row r="205" spans="1:19" x14ac:dyDescent="0.25">
      <c r="A205" s="4" t="s">
        <v>152</v>
      </c>
      <c r="B205" s="5" t="s">
        <v>124</v>
      </c>
      <c r="C205" s="4" t="s">
        <v>13</v>
      </c>
      <c r="D205" s="5" t="s">
        <v>153</v>
      </c>
      <c r="E205" s="4" t="s">
        <v>20</v>
      </c>
      <c r="F205" s="4" t="s">
        <v>21</v>
      </c>
      <c r="G205" s="4" t="s">
        <v>16</v>
      </c>
      <c r="H205" s="12">
        <v>6</v>
      </c>
      <c r="I205" s="7">
        <v>19000</v>
      </c>
      <c r="J205" s="7">
        <f t="shared" si="10"/>
        <v>114000</v>
      </c>
      <c r="K205" s="8" t="s">
        <v>17</v>
      </c>
      <c r="L205" t="str">
        <f>IFERROR(VLOOKUP(F205,MÃ!$A:$B,2,0),0)</f>
        <v>NL300004</v>
      </c>
      <c r="M205" t="str">
        <f t="shared" si="11"/>
        <v>07/01/2026NL300004</v>
      </c>
      <c r="N205" s="15">
        <f>IFERROR(VLOOKUP(M205,'WS3'!$B$2:$Q$437,11,0),0)</f>
        <v>3</v>
      </c>
      <c r="O205" s="17">
        <f>IFERROR(VLOOKUP(M205,'WS3'!$B$2:$Q$437,12,0),0)</f>
        <v>19000</v>
      </c>
      <c r="P205" s="17">
        <f t="shared" si="12"/>
        <v>57000</v>
      </c>
      <c r="Q205" s="15">
        <f t="shared" si="13"/>
        <v>3</v>
      </c>
      <c r="R205" s="17">
        <f t="shared" si="14"/>
        <v>0</v>
      </c>
      <c r="S205" s="13" t="s">
        <v>543</v>
      </c>
    </row>
    <row r="206" spans="1:19" ht="28.5" x14ac:dyDescent="0.25">
      <c r="A206" s="4" t="s">
        <v>152</v>
      </c>
      <c r="B206" s="5" t="s">
        <v>124</v>
      </c>
      <c r="C206" s="4" t="s">
        <v>13</v>
      </c>
      <c r="D206" s="5" t="s">
        <v>153</v>
      </c>
      <c r="E206" s="4" t="s">
        <v>56</v>
      </c>
      <c r="F206" s="4" t="s">
        <v>57</v>
      </c>
      <c r="G206" s="4" t="s">
        <v>58</v>
      </c>
      <c r="H206" s="12">
        <v>10</v>
      </c>
      <c r="I206" s="7">
        <v>8500</v>
      </c>
      <c r="J206" s="7">
        <f t="shared" si="10"/>
        <v>85000</v>
      </c>
      <c r="K206" s="8" t="s">
        <v>17</v>
      </c>
      <c r="L206" t="str">
        <f>IFERROR(VLOOKUP(F206,MÃ!$A:$B,2,0),0)</f>
        <v>NL300107</v>
      </c>
      <c r="M206" t="str">
        <f t="shared" si="11"/>
        <v>07/01/2026NL300107</v>
      </c>
      <c r="N206" s="15">
        <f>IFERROR(VLOOKUP(M206,'WS3'!$B$2:$Q$437,11,0),0)</f>
        <v>7</v>
      </c>
      <c r="O206" s="17">
        <f>IFERROR(VLOOKUP(M206,'WS3'!$B$2:$Q$437,12,0),0)</f>
        <v>8500</v>
      </c>
      <c r="P206" s="17">
        <f t="shared" si="12"/>
        <v>59500</v>
      </c>
      <c r="Q206" s="15">
        <f t="shared" si="13"/>
        <v>3</v>
      </c>
      <c r="R206" s="17">
        <f t="shared" si="14"/>
        <v>0</v>
      </c>
      <c r="S206" s="13" t="s">
        <v>543</v>
      </c>
    </row>
    <row r="207" spans="1:19" x14ac:dyDescent="0.25">
      <c r="A207" s="4" t="s">
        <v>152</v>
      </c>
      <c r="B207" s="5" t="s">
        <v>124</v>
      </c>
      <c r="C207" s="4" t="s">
        <v>13</v>
      </c>
      <c r="D207" s="5" t="s">
        <v>153</v>
      </c>
      <c r="E207" s="4" t="s">
        <v>22</v>
      </c>
      <c r="F207" s="4" t="s">
        <v>23</v>
      </c>
      <c r="G207" s="4" t="s">
        <v>16</v>
      </c>
      <c r="H207" s="12">
        <v>5.0999999999999996</v>
      </c>
      <c r="I207" s="7">
        <v>30000</v>
      </c>
      <c r="J207" s="7">
        <f t="shared" si="10"/>
        <v>153000</v>
      </c>
      <c r="K207" s="8" t="s">
        <v>17</v>
      </c>
      <c r="L207" t="str">
        <f>IFERROR(VLOOKUP(F207,MÃ!$A:$B,2,0),0)</f>
        <v>NL300007</v>
      </c>
      <c r="M207" t="str">
        <f t="shared" si="11"/>
        <v>07/01/2026NL300007</v>
      </c>
      <c r="N207" s="15">
        <f>IFERROR(VLOOKUP(M207,'WS3'!$B$2:$Q$437,11,0),0)</f>
        <v>4</v>
      </c>
      <c r="O207" s="17">
        <f>IFERROR(VLOOKUP(M207,'WS3'!$B$2:$Q$437,12,0),0)</f>
        <v>30000</v>
      </c>
      <c r="P207" s="17">
        <f t="shared" si="12"/>
        <v>120000</v>
      </c>
      <c r="Q207" s="15">
        <f t="shared" si="13"/>
        <v>1.0999999999999996</v>
      </c>
      <c r="R207" s="17">
        <f t="shared" si="14"/>
        <v>0</v>
      </c>
      <c r="S207" s="13" t="s">
        <v>543</v>
      </c>
    </row>
    <row r="208" spans="1:19" x14ac:dyDescent="0.25">
      <c r="A208" s="4" t="s">
        <v>152</v>
      </c>
      <c r="B208" s="5" t="s">
        <v>124</v>
      </c>
      <c r="C208" s="4" t="s">
        <v>13</v>
      </c>
      <c r="D208" s="5" t="s">
        <v>153</v>
      </c>
      <c r="E208" s="4" t="s">
        <v>24</v>
      </c>
      <c r="F208" s="4" t="s">
        <v>25</v>
      </c>
      <c r="G208" s="4" t="s">
        <v>16</v>
      </c>
      <c r="H208" s="12">
        <v>10</v>
      </c>
      <c r="I208" s="7">
        <v>40000</v>
      </c>
      <c r="J208" s="7">
        <f t="shared" ref="J208:J271" si="15">H208*I208</f>
        <v>400000</v>
      </c>
      <c r="K208" s="8" t="s">
        <v>17</v>
      </c>
      <c r="L208" t="str">
        <f>IFERROR(VLOOKUP(F208,MÃ!$A:$B,2,0),0)</f>
        <v>NL300008</v>
      </c>
      <c r="M208" t="str">
        <f t="shared" ref="M208:M271" si="16">"0"&amp;DAY(A208)&amp;"/01/2026"&amp;L208</f>
        <v>07/01/2026NL300008</v>
      </c>
      <c r="N208" s="15">
        <f>IFERROR(VLOOKUP(M208,'WS3'!$B$2:$Q$437,11,0),0)</f>
        <v>7</v>
      </c>
      <c r="O208" s="17">
        <f>IFERROR(VLOOKUP(M208,'WS3'!$B$2:$Q$437,12,0),0)</f>
        <v>40000</v>
      </c>
      <c r="P208" s="17">
        <f t="shared" ref="P208:P271" si="17">N208*O208</f>
        <v>280000</v>
      </c>
      <c r="Q208" s="15">
        <f t="shared" ref="Q208:Q271" si="18">H208-N208</f>
        <v>3</v>
      </c>
      <c r="R208" s="17">
        <f t="shared" ref="R208:R271" si="19">I208-O208</f>
        <v>0</v>
      </c>
      <c r="S208" s="13" t="s">
        <v>543</v>
      </c>
    </row>
    <row r="209" spans="1:19" x14ac:dyDescent="0.25">
      <c r="A209" s="4" t="s">
        <v>152</v>
      </c>
      <c r="B209" s="5" t="s">
        <v>124</v>
      </c>
      <c r="C209" s="4" t="s">
        <v>13</v>
      </c>
      <c r="D209" s="5" t="s">
        <v>153</v>
      </c>
      <c r="E209" s="4" t="s">
        <v>126</v>
      </c>
      <c r="F209" s="4" t="s">
        <v>127</v>
      </c>
      <c r="G209" s="4" t="s">
        <v>16</v>
      </c>
      <c r="H209" s="12">
        <v>3.6</v>
      </c>
      <c r="I209" s="7">
        <v>52000</v>
      </c>
      <c r="J209" s="7">
        <f t="shared" si="15"/>
        <v>187200</v>
      </c>
      <c r="K209" s="8" t="s">
        <v>17</v>
      </c>
      <c r="L209" t="str">
        <f>IFERROR(VLOOKUP(F209,MÃ!$A:$B,2,0),0)</f>
        <v>NL300137</v>
      </c>
      <c r="M209" t="str">
        <f t="shared" si="16"/>
        <v>07/01/2026NL300137</v>
      </c>
      <c r="N209" s="15">
        <f>IFERROR(VLOOKUP(M209,'WS3'!$B$2:$Q$437,11,0),0)</f>
        <v>2</v>
      </c>
      <c r="O209" s="17">
        <f>IFERROR(VLOOKUP(M209,'WS3'!$B$2:$Q$437,12,0),0)</f>
        <v>52000</v>
      </c>
      <c r="P209" s="17">
        <f t="shared" si="17"/>
        <v>104000</v>
      </c>
      <c r="Q209" s="15">
        <f t="shared" si="18"/>
        <v>1.6</v>
      </c>
      <c r="R209" s="17">
        <f t="shared" si="19"/>
        <v>0</v>
      </c>
      <c r="S209" s="13" t="s">
        <v>543</v>
      </c>
    </row>
    <row r="210" spans="1:19" ht="42.75" x14ac:dyDescent="0.25">
      <c r="A210" s="4" t="s">
        <v>152</v>
      </c>
      <c r="B210" s="5" t="s">
        <v>124</v>
      </c>
      <c r="C210" s="4" t="s">
        <v>13</v>
      </c>
      <c r="D210" s="5" t="s">
        <v>153</v>
      </c>
      <c r="E210" s="4" t="s">
        <v>28</v>
      </c>
      <c r="F210" s="4" t="s">
        <v>29</v>
      </c>
      <c r="G210" s="4" t="s">
        <v>16</v>
      </c>
      <c r="H210" s="12">
        <v>2</v>
      </c>
      <c r="I210" s="7">
        <v>30000</v>
      </c>
      <c r="J210" s="7">
        <f t="shared" si="15"/>
        <v>60000</v>
      </c>
      <c r="K210" s="8" t="s">
        <v>17</v>
      </c>
      <c r="L210" t="str">
        <f>IFERROR(VLOOKUP(F210,MÃ!$A:$B,2,0),0)</f>
        <v>NL300020</v>
      </c>
      <c r="M210" t="str">
        <f t="shared" si="16"/>
        <v>07/01/2026NL300020</v>
      </c>
      <c r="N210" s="15">
        <f>IFERROR(VLOOKUP(M210,'WS3'!$B$2:$Q$437,11,0),0)</f>
        <v>1.2</v>
      </c>
      <c r="O210" s="17">
        <f>IFERROR(VLOOKUP(M210,'WS3'!$B$2:$Q$437,12,0),0)</f>
        <v>30000</v>
      </c>
      <c r="P210" s="17">
        <f t="shared" si="17"/>
        <v>36000</v>
      </c>
      <c r="Q210" s="15">
        <f t="shared" si="18"/>
        <v>0.8</v>
      </c>
      <c r="R210" s="17">
        <f t="shared" si="19"/>
        <v>0</v>
      </c>
      <c r="S210" s="13" t="s">
        <v>543</v>
      </c>
    </row>
    <row r="211" spans="1:19" x14ac:dyDescent="0.25">
      <c r="A211" s="4" t="s">
        <v>152</v>
      </c>
      <c r="B211" s="5" t="s">
        <v>124</v>
      </c>
      <c r="C211" s="4" t="s">
        <v>13</v>
      </c>
      <c r="D211" s="5" t="s">
        <v>153</v>
      </c>
      <c r="E211" s="4" t="s">
        <v>89</v>
      </c>
      <c r="F211" s="4" t="s">
        <v>90</v>
      </c>
      <c r="G211" s="4" t="s">
        <v>16</v>
      </c>
      <c r="H211" s="12">
        <v>1</v>
      </c>
      <c r="I211" s="7">
        <v>44000</v>
      </c>
      <c r="J211" s="7">
        <f t="shared" si="15"/>
        <v>44000</v>
      </c>
      <c r="K211" s="8" t="s">
        <v>17</v>
      </c>
      <c r="L211" t="str">
        <f>IFERROR(VLOOKUP(F211,MÃ!$A:$B,2,0),0)</f>
        <v>NL300025</v>
      </c>
      <c r="M211" t="str">
        <f t="shared" si="16"/>
        <v>07/01/2026NL300025</v>
      </c>
      <c r="N211" s="15">
        <f>IFERROR(VLOOKUP(M211,'WS3'!$B$2:$Q$437,11,0),0)</f>
        <v>1</v>
      </c>
      <c r="O211" s="17">
        <f>IFERROR(VLOOKUP(M211,'WS3'!$B$2:$Q$437,12,0),0)</f>
        <v>44000</v>
      </c>
      <c r="P211" s="17">
        <f t="shared" si="17"/>
        <v>44000</v>
      </c>
      <c r="Q211" s="15">
        <f t="shared" si="18"/>
        <v>0</v>
      </c>
      <c r="R211" s="17">
        <f t="shared" si="19"/>
        <v>0</v>
      </c>
      <c r="S211" s="13"/>
    </row>
    <row r="212" spans="1:19" x14ac:dyDescent="0.25">
      <c r="A212" s="4" t="s">
        <v>152</v>
      </c>
      <c r="B212" s="5" t="s">
        <v>124</v>
      </c>
      <c r="C212" s="4" t="s">
        <v>13</v>
      </c>
      <c r="D212" s="5" t="s">
        <v>153</v>
      </c>
      <c r="E212" s="4" t="s">
        <v>95</v>
      </c>
      <c r="F212" s="4" t="s">
        <v>96</v>
      </c>
      <c r="G212" s="4" t="s">
        <v>16</v>
      </c>
      <c r="H212" s="12">
        <v>1</v>
      </c>
      <c r="I212" s="7">
        <v>47000</v>
      </c>
      <c r="J212" s="7">
        <f t="shared" si="15"/>
        <v>47000</v>
      </c>
      <c r="K212" s="8" t="s">
        <v>17</v>
      </c>
      <c r="L212" t="str">
        <f>IFERROR(VLOOKUP(F212,MÃ!$A:$B,2,0),0)</f>
        <v>NL300036</v>
      </c>
      <c r="M212" t="str">
        <f t="shared" si="16"/>
        <v>07/01/2026NL300036</v>
      </c>
      <c r="N212" s="15">
        <f>IFERROR(VLOOKUP(M212,'WS3'!$B$2:$Q$437,11,0),0)</f>
        <v>1</v>
      </c>
      <c r="O212" s="17">
        <f>IFERROR(VLOOKUP(M212,'WS3'!$B$2:$Q$437,12,0),0)</f>
        <v>47000</v>
      </c>
      <c r="P212" s="17">
        <f t="shared" si="17"/>
        <v>47000</v>
      </c>
      <c r="Q212" s="15">
        <f t="shared" si="18"/>
        <v>0</v>
      </c>
      <c r="R212" s="17">
        <f t="shared" si="19"/>
        <v>0</v>
      </c>
      <c r="S212" s="13"/>
    </row>
    <row r="213" spans="1:19" x14ac:dyDescent="0.25">
      <c r="A213" s="4" t="s">
        <v>152</v>
      </c>
      <c r="B213" s="5" t="s">
        <v>124</v>
      </c>
      <c r="C213" s="4" t="s">
        <v>13</v>
      </c>
      <c r="D213" s="5" t="s">
        <v>153</v>
      </c>
      <c r="E213" s="4" t="s">
        <v>34</v>
      </c>
      <c r="F213" s="4" t="s">
        <v>35</v>
      </c>
      <c r="G213" s="4" t="s">
        <v>16</v>
      </c>
      <c r="H213" s="12">
        <v>2</v>
      </c>
      <c r="I213" s="7">
        <v>32000</v>
      </c>
      <c r="J213" s="7">
        <f t="shared" si="15"/>
        <v>64000</v>
      </c>
      <c r="K213" s="8" t="s">
        <v>17</v>
      </c>
      <c r="L213" t="str">
        <f>IFERROR(VLOOKUP(F213,MÃ!$A:$B,2,0),0)</f>
        <v>NL300038</v>
      </c>
      <c r="M213" t="str">
        <f t="shared" si="16"/>
        <v>07/01/2026NL300038</v>
      </c>
      <c r="N213" s="15">
        <f>IFERROR(VLOOKUP(M213,'WS3'!$B$2:$Q$437,11,0),0)</f>
        <v>1.8</v>
      </c>
      <c r="O213" s="17">
        <f>IFERROR(VLOOKUP(M213,'WS3'!$B$2:$Q$437,12,0),0)</f>
        <v>32000</v>
      </c>
      <c r="P213" s="17">
        <f t="shared" si="17"/>
        <v>57600</v>
      </c>
      <c r="Q213" s="15">
        <f t="shared" si="18"/>
        <v>0.19999999999999996</v>
      </c>
      <c r="R213" s="17">
        <f t="shared" si="19"/>
        <v>0</v>
      </c>
      <c r="S213" s="13" t="s">
        <v>543</v>
      </c>
    </row>
    <row r="214" spans="1:19" x14ac:dyDescent="0.25">
      <c r="A214" s="4" t="s">
        <v>152</v>
      </c>
      <c r="B214" s="5" t="s">
        <v>124</v>
      </c>
      <c r="C214" s="4" t="s">
        <v>13</v>
      </c>
      <c r="D214" s="5" t="s">
        <v>153</v>
      </c>
      <c r="E214" s="4" t="s">
        <v>38</v>
      </c>
      <c r="F214" s="4" t="s">
        <v>39</v>
      </c>
      <c r="G214" s="4" t="s">
        <v>16</v>
      </c>
      <c r="H214" s="12">
        <v>3</v>
      </c>
      <c r="I214" s="7">
        <v>55000</v>
      </c>
      <c r="J214" s="7">
        <f t="shared" si="15"/>
        <v>165000</v>
      </c>
      <c r="K214" s="8" t="s">
        <v>17</v>
      </c>
      <c r="L214" t="str">
        <f>IFERROR(VLOOKUP(F214,MÃ!$A:$B,2,0),0)</f>
        <v>NL300058</v>
      </c>
      <c r="M214" t="str">
        <f t="shared" si="16"/>
        <v>07/01/2026NL300058</v>
      </c>
      <c r="N214" s="15">
        <f>IFERROR(VLOOKUP(M214,'WS3'!$B$2:$Q$437,11,0),0)</f>
        <v>2.2000000000000002</v>
      </c>
      <c r="O214" s="17">
        <f>IFERROR(VLOOKUP(M214,'WS3'!$B$2:$Q$437,12,0),0)</f>
        <v>55000</v>
      </c>
      <c r="P214" s="17">
        <f t="shared" si="17"/>
        <v>121000.00000000001</v>
      </c>
      <c r="Q214" s="15">
        <f t="shared" si="18"/>
        <v>0.79999999999999982</v>
      </c>
      <c r="R214" s="17">
        <f t="shared" si="19"/>
        <v>0</v>
      </c>
      <c r="S214" s="13" t="s">
        <v>543</v>
      </c>
    </row>
    <row r="215" spans="1:19" x14ac:dyDescent="0.25">
      <c r="A215" s="4" t="s">
        <v>152</v>
      </c>
      <c r="B215" s="5" t="s">
        <v>124</v>
      </c>
      <c r="C215" s="4" t="s">
        <v>13</v>
      </c>
      <c r="D215" s="5" t="s">
        <v>153</v>
      </c>
      <c r="E215" s="4" t="s">
        <v>65</v>
      </c>
      <c r="F215" s="4" t="s">
        <v>66</v>
      </c>
      <c r="G215" s="4" t="s">
        <v>16</v>
      </c>
      <c r="H215" s="12">
        <v>1</v>
      </c>
      <c r="I215" s="7">
        <v>23000</v>
      </c>
      <c r="J215" s="7">
        <f t="shared" si="15"/>
        <v>23000</v>
      </c>
      <c r="K215" s="8" t="s">
        <v>17</v>
      </c>
      <c r="L215" t="str">
        <f>IFERROR(VLOOKUP(F215,MÃ!$A:$B,2,0),0)</f>
        <v>NL300070</v>
      </c>
      <c r="M215" t="str">
        <f t="shared" si="16"/>
        <v>07/01/2026NL300070</v>
      </c>
      <c r="N215" s="15">
        <f>IFERROR(VLOOKUP(M215,'WS3'!$B$2:$Q$437,11,0),0)</f>
        <v>0</v>
      </c>
      <c r="O215" s="17">
        <f>IFERROR(VLOOKUP(M215,'WS3'!$B$2:$Q$437,12,0),0)</f>
        <v>0</v>
      </c>
      <c r="P215" s="17">
        <f t="shared" si="17"/>
        <v>0</v>
      </c>
      <c r="Q215" s="15">
        <f t="shared" si="18"/>
        <v>1</v>
      </c>
      <c r="R215" s="17">
        <f t="shared" si="19"/>
        <v>23000</v>
      </c>
      <c r="S215" s="13" t="s">
        <v>540</v>
      </c>
    </row>
    <row r="216" spans="1:19" x14ac:dyDescent="0.25">
      <c r="A216" s="4" t="s">
        <v>152</v>
      </c>
      <c r="B216" s="5" t="s">
        <v>124</v>
      </c>
      <c r="C216" s="4" t="s">
        <v>13</v>
      </c>
      <c r="D216" s="5" t="s">
        <v>153</v>
      </c>
      <c r="E216" s="4" t="s">
        <v>14</v>
      </c>
      <c r="F216" s="4" t="s">
        <v>15</v>
      </c>
      <c r="G216" s="4" t="s">
        <v>16</v>
      </c>
      <c r="H216" s="12">
        <v>8</v>
      </c>
      <c r="I216" s="7">
        <v>27000</v>
      </c>
      <c r="J216" s="7">
        <f t="shared" si="15"/>
        <v>216000</v>
      </c>
      <c r="K216" s="8" t="s">
        <v>17</v>
      </c>
      <c r="L216" t="str">
        <f>IFERROR(VLOOKUP(F216,MÃ!$A:$B,2,0),0)</f>
        <v>NL300088</v>
      </c>
      <c r="M216" t="str">
        <f t="shared" si="16"/>
        <v>07/01/2026NL300088</v>
      </c>
      <c r="N216" s="15">
        <f>IFERROR(VLOOKUP(M216,'WS3'!$B$2:$Q$437,11,0),0)</f>
        <v>3</v>
      </c>
      <c r="O216" s="17">
        <f>IFERROR(VLOOKUP(M216,'WS3'!$B$2:$Q$437,12,0),0)</f>
        <v>27000</v>
      </c>
      <c r="P216" s="17">
        <f t="shared" si="17"/>
        <v>81000</v>
      </c>
      <c r="Q216" s="15">
        <f t="shared" si="18"/>
        <v>5</v>
      </c>
      <c r="R216" s="17">
        <f t="shared" si="19"/>
        <v>0</v>
      </c>
      <c r="S216" s="13" t="s">
        <v>543</v>
      </c>
    </row>
    <row r="217" spans="1:19" ht="28.5" x14ac:dyDescent="0.25">
      <c r="A217" s="4" t="s">
        <v>152</v>
      </c>
      <c r="B217" s="5" t="s">
        <v>124</v>
      </c>
      <c r="C217" s="4" t="s">
        <v>13</v>
      </c>
      <c r="D217" s="5" t="s">
        <v>153</v>
      </c>
      <c r="E217" s="4" t="s">
        <v>44</v>
      </c>
      <c r="F217" s="4" t="s">
        <v>45</v>
      </c>
      <c r="G217" s="4" t="s">
        <v>16</v>
      </c>
      <c r="H217" s="12">
        <v>4</v>
      </c>
      <c r="I217" s="7">
        <v>45000</v>
      </c>
      <c r="J217" s="7">
        <f t="shared" si="15"/>
        <v>180000</v>
      </c>
      <c r="K217" s="8" t="s">
        <v>17</v>
      </c>
      <c r="L217" t="str">
        <f>IFERROR(VLOOKUP(F217,MÃ!$A:$B,2,0),0)</f>
        <v>NL300096</v>
      </c>
      <c r="M217" t="str">
        <f t="shared" si="16"/>
        <v>07/01/2026NL300096</v>
      </c>
      <c r="N217" s="15">
        <f>IFERROR(VLOOKUP(M217,'WS3'!$B$2:$Q$437,11,0),0)</f>
        <v>4</v>
      </c>
      <c r="O217" s="17">
        <f>IFERROR(VLOOKUP(M217,'WS3'!$B$2:$Q$437,12,0),0)</f>
        <v>45000</v>
      </c>
      <c r="P217" s="17">
        <f t="shared" si="17"/>
        <v>180000</v>
      </c>
      <c r="Q217" s="15">
        <f t="shared" si="18"/>
        <v>0</v>
      </c>
      <c r="R217" s="17">
        <f t="shared" si="19"/>
        <v>0</v>
      </c>
      <c r="S217" s="13"/>
    </row>
    <row r="218" spans="1:19" x14ac:dyDescent="0.25">
      <c r="A218" s="4" t="s">
        <v>152</v>
      </c>
      <c r="B218" s="5" t="s">
        <v>124</v>
      </c>
      <c r="C218" s="4" t="s">
        <v>13</v>
      </c>
      <c r="D218" s="5" t="s">
        <v>153</v>
      </c>
      <c r="E218" s="4" t="s">
        <v>77</v>
      </c>
      <c r="F218" s="4" t="s">
        <v>78</v>
      </c>
      <c r="G218" s="4" t="s">
        <v>16</v>
      </c>
      <c r="H218" s="12">
        <v>3</v>
      </c>
      <c r="I218" s="7">
        <v>45000</v>
      </c>
      <c r="J218" s="7">
        <f t="shared" si="15"/>
        <v>135000</v>
      </c>
      <c r="K218" s="8" t="s">
        <v>17</v>
      </c>
      <c r="L218" t="str">
        <f>IFERROR(VLOOKUP(F218,MÃ!$A:$B,2,0),0)</f>
        <v>NL300085</v>
      </c>
      <c r="M218" t="str">
        <f t="shared" si="16"/>
        <v>07/01/2026NL300085</v>
      </c>
      <c r="N218" s="15">
        <f>IFERROR(VLOOKUP(M218,'WS3'!$B$2:$Q$437,11,0),0)</f>
        <v>2</v>
      </c>
      <c r="O218" s="17">
        <f>IFERROR(VLOOKUP(M218,'WS3'!$B$2:$Q$437,12,0),0)</f>
        <v>45000</v>
      </c>
      <c r="P218" s="17">
        <f t="shared" si="17"/>
        <v>90000</v>
      </c>
      <c r="Q218" s="15">
        <f t="shared" si="18"/>
        <v>1</v>
      </c>
      <c r="R218" s="17">
        <f t="shared" si="19"/>
        <v>0</v>
      </c>
      <c r="S218" s="13" t="s">
        <v>543</v>
      </c>
    </row>
    <row r="219" spans="1:19" x14ac:dyDescent="0.25">
      <c r="A219" s="4" t="s">
        <v>152</v>
      </c>
      <c r="B219" s="5" t="s">
        <v>124</v>
      </c>
      <c r="C219" s="4" t="s">
        <v>13</v>
      </c>
      <c r="D219" s="5" t="s">
        <v>153</v>
      </c>
      <c r="E219" s="4" t="s">
        <v>128</v>
      </c>
      <c r="F219" s="4" t="s">
        <v>129</v>
      </c>
      <c r="G219" s="4" t="s">
        <v>16</v>
      </c>
      <c r="H219" s="12">
        <v>0.1</v>
      </c>
      <c r="I219" s="7">
        <v>185000</v>
      </c>
      <c r="J219" s="7">
        <f t="shared" si="15"/>
        <v>18500</v>
      </c>
      <c r="K219" s="8" t="s">
        <v>17</v>
      </c>
      <c r="L219" t="str">
        <f>IFERROR(VLOOKUP(F219,MÃ!$A:$B,2,0),0)</f>
        <v>NL300111</v>
      </c>
      <c r="M219" t="str">
        <f t="shared" si="16"/>
        <v>07/01/2026NL300111</v>
      </c>
      <c r="N219" s="15">
        <f>IFERROR(VLOOKUP(M219,'WS3'!$B$2:$Q$437,11,0),0)</f>
        <v>0.1</v>
      </c>
      <c r="O219" s="17">
        <f>IFERROR(VLOOKUP(M219,'WS3'!$B$2:$Q$437,12,0),0)</f>
        <v>185000</v>
      </c>
      <c r="P219" s="17">
        <f t="shared" si="17"/>
        <v>18500</v>
      </c>
      <c r="Q219" s="15">
        <f t="shared" si="18"/>
        <v>0</v>
      </c>
      <c r="R219" s="17">
        <f t="shared" si="19"/>
        <v>0</v>
      </c>
      <c r="S219" s="13"/>
    </row>
    <row r="220" spans="1:19" x14ac:dyDescent="0.25">
      <c r="A220" s="4" t="s">
        <v>152</v>
      </c>
      <c r="B220" s="5" t="s">
        <v>124</v>
      </c>
      <c r="C220" s="4" t="s">
        <v>13</v>
      </c>
      <c r="D220" s="5" t="s">
        <v>153</v>
      </c>
      <c r="E220" s="4" t="s">
        <v>46</v>
      </c>
      <c r="F220" s="4" t="s">
        <v>47</v>
      </c>
      <c r="G220" s="4" t="s">
        <v>16</v>
      </c>
      <c r="H220" s="12">
        <v>0.2</v>
      </c>
      <c r="I220" s="7">
        <v>148000</v>
      </c>
      <c r="J220" s="7">
        <f t="shared" si="15"/>
        <v>29600</v>
      </c>
      <c r="K220" s="8" t="s">
        <v>17</v>
      </c>
      <c r="L220" t="str">
        <f>IFERROR(VLOOKUP(F220,MÃ!$A:$B,2,0),0)</f>
        <v>NL300116</v>
      </c>
      <c r="M220" t="str">
        <f t="shared" si="16"/>
        <v>07/01/2026NL300116</v>
      </c>
      <c r="N220" s="15">
        <f>IFERROR(VLOOKUP(M220,'WS3'!$B$2:$Q$437,11,0),0)</f>
        <v>0.2</v>
      </c>
      <c r="O220" s="17">
        <f>IFERROR(VLOOKUP(M220,'WS3'!$B$2:$Q$437,12,0),0)</f>
        <v>148000</v>
      </c>
      <c r="P220" s="17">
        <f t="shared" si="17"/>
        <v>29600</v>
      </c>
      <c r="Q220" s="15">
        <f t="shared" si="18"/>
        <v>0</v>
      </c>
      <c r="R220" s="17">
        <f t="shared" si="19"/>
        <v>0</v>
      </c>
      <c r="S220" s="13"/>
    </row>
    <row r="221" spans="1:19" x14ac:dyDescent="0.25">
      <c r="A221" s="4" t="s">
        <v>152</v>
      </c>
      <c r="B221" s="5" t="s">
        <v>124</v>
      </c>
      <c r="C221" s="4" t="s">
        <v>13</v>
      </c>
      <c r="D221" s="5" t="s">
        <v>153</v>
      </c>
      <c r="E221" s="4" t="s">
        <v>48</v>
      </c>
      <c r="F221" s="4" t="s">
        <v>49</v>
      </c>
      <c r="G221" s="4" t="s">
        <v>16</v>
      </c>
      <c r="H221" s="12">
        <v>0.5</v>
      </c>
      <c r="I221" s="7">
        <v>42000</v>
      </c>
      <c r="J221" s="7">
        <f t="shared" si="15"/>
        <v>21000</v>
      </c>
      <c r="K221" s="8" t="s">
        <v>17</v>
      </c>
      <c r="L221" t="str">
        <f>IFERROR(VLOOKUP(F221,MÃ!$A:$B,2,0),0)</f>
        <v>NL300125</v>
      </c>
      <c r="M221" t="str">
        <f t="shared" si="16"/>
        <v>07/01/2026NL300125</v>
      </c>
      <c r="N221" s="15">
        <f>IFERROR(VLOOKUP(M221,'WS3'!$B$2:$Q$437,11,0),0)</f>
        <v>0.5</v>
      </c>
      <c r="O221" s="17">
        <f>IFERROR(VLOOKUP(M221,'WS3'!$B$2:$Q$437,12,0),0)</f>
        <v>42000</v>
      </c>
      <c r="P221" s="17">
        <f t="shared" si="17"/>
        <v>21000</v>
      </c>
      <c r="Q221" s="15">
        <f t="shared" si="18"/>
        <v>0</v>
      </c>
      <c r="R221" s="17">
        <f t="shared" si="19"/>
        <v>0</v>
      </c>
      <c r="S221" s="13"/>
    </row>
    <row r="222" spans="1:19" x14ac:dyDescent="0.25">
      <c r="A222" s="4" t="s">
        <v>152</v>
      </c>
      <c r="B222" s="5" t="s">
        <v>124</v>
      </c>
      <c r="C222" s="4" t="s">
        <v>13</v>
      </c>
      <c r="D222" s="5" t="s">
        <v>153</v>
      </c>
      <c r="E222" s="4" t="s">
        <v>50</v>
      </c>
      <c r="F222" s="4" t="s">
        <v>51</v>
      </c>
      <c r="G222" s="4" t="s">
        <v>16</v>
      </c>
      <c r="H222" s="12">
        <v>0.1</v>
      </c>
      <c r="I222" s="7">
        <v>22000</v>
      </c>
      <c r="J222" s="7">
        <f t="shared" si="15"/>
        <v>2200</v>
      </c>
      <c r="K222" s="8" t="s">
        <v>17</v>
      </c>
      <c r="L222" t="str">
        <f>IFERROR(VLOOKUP(F222,MÃ!$A:$B,2,0),0)</f>
        <v>NL300121</v>
      </c>
      <c r="M222" t="str">
        <f t="shared" si="16"/>
        <v>07/01/2026NL300121</v>
      </c>
      <c r="N222" s="15">
        <f>IFERROR(VLOOKUP(M222,'WS3'!$B$2:$Q$437,11,0),0)</f>
        <v>0.1</v>
      </c>
      <c r="O222" s="17">
        <f>IFERROR(VLOOKUP(M222,'WS3'!$B$2:$Q$437,12,0),0)</f>
        <v>22000</v>
      </c>
      <c r="P222" s="17">
        <f t="shared" si="17"/>
        <v>2200</v>
      </c>
      <c r="Q222" s="15">
        <f t="shared" si="18"/>
        <v>0</v>
      </c>
      <c r="R222" s="17">
        <f t="shared" si="19"/>
        <v>0</v>
      </c>
      <c r="S222" s="13"/>
    </row>
    <row r="223" spans="1:19" x14ac:dyDescent="0.25">
      <c r="A223" s="4" t="s">
        <v>152</v>
      </c>
      <c r="B223" s="5" t="s">
        <v>124</v>
      </c>
      <c r="C223" s="4" t="s">
        <v>13</v>
      </c>
      <c r="D223" s="5" t="s">
        <v>153</v>
      </c>
      <c r="E223" s="4" t="s">
        <v>52</v>
      </c>
      <c r="F223" s="4" t="s">
        <v>53</v>
      </c>
      <c r="G223" s="4" t="s">
        <v>16</v>
      </c>
      <c r="H223" s="12">
        <v>2</v>
      </c>
      <c r="I223" s="7">
        <v>21000</v>
      </c>
      <c r="J223" s="7">
        <f t="shared" si="15"/>
        <v>42000</v>
      </c>
      <c r="K223" s="8" t="s">
        <v>17</v>
      </c>
      <c r="L223" t="str">
        <f>IFERROR(VLOOKUP(F223,MÃ!$A:$B,2,0),0)</f>
        <v>NL300119</v>
      </c>
      <c r="M223" t="str">
        <f t="shared" si="16"/>
        <v>07/01/2026NL300119</v>
      </c>
      <c r="N223" s="15">
        <f>IFERROR(VLOOKUP(M223,'WS3'!$B$2:$Q$437,11,0),0)</f>
        <v>1.3</v>
      </c>
      <c r="O223" s="17">
        <f>IFERROR(VLOOKUP(M223,'WS3'!$B$2:$Q$437,12,0),0)</f>
        <v>21000</v>
      </c>
      <c r="P223" s="17">
        <f t="shared" si="17"/>
        <v>27300</v>
      </c>
      <c r="Q223" s="15">
        <f t="shared" si="18"/>
        <v>0.7</v>
      </c>
      <c r="R223" s="17">
        <f t="shared" si="19"/>
        <v>0</v>
      </c>
      <c r="S223" s="13" t="s">
        <v>543</v>
      </c>
    </row>
    <row r="224" spans="1:19" x14ac:dyDescent="0.25">
      <c r="A224" s="4" t="s">
        <v>152</v>
      </c>
      <c r="B224" s="5" t="s">
        <v>124</v>
      </c>
      <c r="C224" s="4" t="s">
        <v>13</v>
      </c>
      <c r="D224" s="5" t="s">
        <v>153</v>
      </c>
      <c r="E224" s="4" t="s">
        <v>85</v>
      </c>
      <c r="F224" s="4" t="s">
        <v>86</v>
      </c>
      <c r="G224" s="4" t="s">
        <v>16</v>
      </c>
      <c r="H224" s="12">
        <v>2</v>
      </c>
      <c r="I224" s="7">
        <v>50000</v>
      </c>
      <c r="J224" s="7">
        <f t="shared" si="15"/>
        <v>100000</v>
      </c>
      <c r="K224" s="8" t="s">
        <v>17</v>
      </c>
      <c r="L224" t="str">
        <f>IFERROR(VLOOKUP(F224,MÃ!$A:$B,2,0),0)</f>
        <v>NL300142</v>
      </c>
      <c r="M224" t="str">
        <f t="shared" si="16"/>
        <v>07/01/2026NL300142</v>
      </c>
      <c r="N224" s="15">
        <f>IFERROR(VLOOKUP(M224,'WS3'!$B$2:$Q$437,11,0),0)</f>
        <v>2</v>
      </c>
      <c r="O224" s="17">
        <f>IFERROR(VLOOKUP(M224,'WS3'!$B$2:$Q$437,12,0),0)</f>
        <v>50000</v>
      </c>
      <c r="P224" s="17">
        <f t="shared" si="17"/>
        <v>100000</v>
      </c>
      <c r="Q224" s="15">
        <f t="shared" si="18"/>
        <v>0</v>
      </c>
      <c r="R224" s="17">
        <f t="shared" si="19"/>
        <v>0</v>
      </c>
      <c r="S224" s="13"/>
    </row>
    <row r="225" spans="1:19" x14ac:dyDescent="0.25">
      <c r="A225" s="4" t="s">
        <v>152</v>
      </c>
      <c r="B225" s="5" t="s">
        <v>124</v>
      </c>
      <c r="C225" s="4" t="s">
        <v>13</v>
      </c>
      <c r="D225" s="5" t="s">
        <v>153</v>
      </c>
      <c r="E225" s="4" t="s">
        <v>106</v>
      </c>
      <c r="F225" s="4" t="s">
        <v>107</v>
      </c>
      <c r="G225" s="4" t="s">
        <v>108</v>
      </c>
      <c r="H225" s="12">
        <v>50</v>
      </c>
      <c r="I225" s="7">
        <v>5000</v>
      </c>
      <c r="J225" s="7">
        <f t="shared" si="15"/>
        <v>250000</v>
      </c>
      <c r="K225" s="8" t="s">
        <v>17</v>
      </c>
      <c r="L225" t="str">
        <f>IFERROR(VLOOKUP(F225,MÃ!$A:$B,2,0),0)</f>
        <v>NL100101</v>
      </c>
      <c r="M225" t="str">
        <f t="shared" si="16"/>
        <v>07/01/2026NL100101</v>
      </c>
      <c r="N225" s="15">
        <f>IFERROR(VLOOKUP(M225,'WS3'!$B$2:$Q$437,11,0),0)</f>
        <v>45</v>
      </c>
      <c r="O225" s="17">
        <f>IFERROR(VLOOKUP(M225,'WS3'!$B$2:$Q$437,12,0),0)</f>
        <v>5000</v>
      </c>
      <c r="P225" s="17">
        <f t="shared" si="17"/>
        <v>225000</v>
      </c>
      <c r="Q225" s="15">
        <f t="shared" si="18"/>
        <v>5</v>
      </c>
      <c r="R225" s="17">
        <f t="shared" si="19"/>
        <v>0</v>
      </c>
      <c r="S225" s="13" t="s">
        <v>543</v>
      </c>
    </row>
    <row r="226" spans="1:19" x14ac:dyDescent="0.25">
      <c r="A226" s="4" t="s">
        <v>152</v>
      </c>
      <c r="B226" s="5" t="s">
        <v>124</v>
      </c>
      <c r="C226" s="4" t="s">
        <v>13</v>
      </c>
      <c r="D226" s="5" t="s">
        <v>153</v>
      </c>
      <c r="E226" s="4" t="s">
        <v>54</v>
      </c>
      <c r="F226" s="4" t="s">
        <v>55</v>
      </c>
      <c r="G226" s="4" t="s">
        <v>16</v>
      </c>
      <c r="H226" s="12">
        <v>3</v>
      </c>
      <c r="I226" s="7">
        <v>62000</v>
      </c>
      <c r="J226" s="7">
        <f t="shared" si="15"/>
        <v>186000</v>
      </c>
      <c r="K226" s="8" t="s">
        <v>17</v>
      </c>
      <c r="L226" t="str">
        <f>IFERROR(VLOOKUP(F226,MÃ!$A:$B,2,0),0)</f>
        <v>NL300147</v>
      </c>
      <c r="M226" t="str">
        <f t="shared" si="16"/>
        <v>07/01/2026NL300147</v>
      </c>
      <c r="N226" s="15">
        <f>IFERROR(VLOOKUP(M226,'WS3'!$B$2:$Q$437,11,0),0)</f>
        <v>2</v>
      </c>
      <c r="O226" s="17">
        <f>IFERROR(VLOOKUP(M226,'WS3'!$B$2:$Q$437,12,0),0)</f>
        <v>62000</v>
      </c>
      <c r="P226" s="17">
        <f t="shared" si="17"/>
        <v>124000</v>
      </c>
      <c r="Q226" s="15">
        <f t="shared" si="18"/>
        <v>1</v>
      </c>
      <c r="R226" s="17">
        <f t="shared" si="19"/>
        <v>0</v>
      </c>
      <c r="S226" s="13" t="s">
        <v>543</v>
      </c>
    </row>
    <row r="227" spans="1:19" x14ac:dyDescent="0.25">
      <c r="A227" s="4" t="s">
        <v>154</v>
      </c>
      <c r="B227" s="5" t="s">
        <v>124</v>
      </c>
      <c r="C227" s="4" t="s">
        <v>13</v>
      </c>
      <c r="D227" s="5" t="s">
        <v>155</v>
      </c>
      <c r="E227" s="4" t="s">
        <v>22</v>
      </c>
      <c r="F227" s="4" t="s">
        <v>23</v>
      </c>
      <c r="G227" s="4" t="s">
        <v>16</v>
      </c>
      <c r="H227" s="12">
        <v>3.3</v>
      </c>
      <c r="I227" s="7">
        <v>30000</v>
      </c>
      <c r="J227" s="7">
        <f t="shared" si="15"/>
        <v>99000</v>
      </c>
      <c r="K227" s="8" t="s">
        <v>17</v>
      </c>
      <c r="L227" t="str">
        <f>IFERROR(VLOOKUP(F227,MÃ!$A:$B,2,0),0)</f>
        <v>NL300007</v>
      </c>
      <c r="M227" t="str">
        <f t="shared" si="16"/>
        <v>08/01/2026NL300007</v>
      </c>
      <c r="N227" s="15">
        <f>IFERROR(VLOOKUP(M227,'WS3'!$B$2:$Q$437,11,0),0)</f>
        <v>3.3</v>
      </c>
      <c r="O227" s="17">
        <f>IFERROR(VLOOKUP(M227,'WS3'!$B$2:$Q$437,12,0),0)</f>
        <v>30000</v>
      </c>
      <c r="P227" s="17">
        <f t="shared" si="17"/>
        <v>99000</v>
      </c>
      <c r="Q227" s="15">
        <f t="shared" si="18"/>
        <v>0</v>
      </c>
      <c r="R227" s="17">
        <f t="shared" si="19"/>
        <v>0</v>
      </c>
      <c r="S227" s="13"/>
    </row>
    <row r="228" spans="1:19" x14ac:dyDescent="0.25">
      <c r="A228" s="4" t="s">
        <v>154</v>
      </c>
      <c r="B228" s="5" t="s">
        <v>124</v>
      </c>
      <c r="C228" s="4" t="s">
        <v>13</v>
      </c>
      <c r="D228" s="5" t="s">
        <v>155</v>
      </c>
      <c r="E228" s="4" t="s">
        <v>24</v>
      </c>
      <c r="F228" s="4" t="s">
        <v>25</v>
      </c>
      <c r="G228" s="4" t="s">
        <v>16</v>
      </c>
      <c r="H228" s="12">
        <v>6.5</v>
      </c>
      <c r="I228" s="7">
        <v>40000</v>
      </c>
      <c r="J228" s="7">
        <f t="shared" si="15"/>
        <v>260000</v>
      </c>
      <c r="K228" s="8" t="s">
        <v>17</v>
      </c>
      <c r="L228" t="str">
        <f>IFERROR(VLOOKUP(F228,MÃ!$A:$B,2,0),0)</f>
        <v>NL300008</v>
      </c>
      <c r="M228" t="str">
        <f t="shared" si="16"/>
        <v>08/01/2026NL300008</v>
      </c>
      <c r="N228" s="15">
        <f>IFERROR(VLOOKUP(M228,'WS3'!$B$2:$Q$437,11,0),0)</f>
        <v>4</v>
      </c>
      <c r="O228" s="17">
        <f>IFERROR(VLOOKUP(M228,'WS3'!$B$2:$Q$437,12,0),0)</f>
        <v>40000</v>
      </c>
      <c r="P228" s="17">
        <f t="shared" si="17"/>
        <v>160000</v>
      </c>
      <c r="Q228" s="15">
        <f t="shared" si="18"/>
        <v>2.5</v>
      </c>
      <c r="R228" s="17">
        <f t="shared" si="19"/>
        <v>0</v>
      </c>
      <c r="S228" s="13" t="s">
        <v>543</v>
      </c>
    </row>
    <row r="229" spans="1:19" ht="42.75" x14ac:dyDescent="0.25">
      <c r="A229" s="4" t="s">
        <v>154</v>
      </c>
      <c r="B229" s="5" t="s">
        <v>124</v>
      </c>
      <c r="C229" s="4" t="s">
        <v>13</v>
      </c>
      <c r="D229" s="5" t="s">
        <v>155</v>
      </c>
      <c r="E229" s="4" t="s">
        <v>28</v>
      </c>
      <c r="F229" s="4" t="s">
        <v>29</v>
      </c>
      <c r="G229" s="4" t="s">
        <v>16</v>
      </c>
      <c r="H229" s="12">
        <v>2</v>
      </c>
      <c r="I229" s="7">
        <v>30000</v>
      </c>
      <c r="J229" s="7">
        <f t="shared" si="15"/>
        <v>60000</v>
      </c>
      <c r="K229" s="8" t="s">
        <v>17</v>
      </c>
      <c r="L229" t="str">
        <f>IFERROR(VLOOKUP(F229,MÃ!$A:$B,2,0),0)</f>
        <v>NL300020</v>
      </c>
      <c r="M229" t="str">
        <f t="shared" si="16"/>
        <v>08/01/2026NL300020</v>
      </c>
      <c r="N229" s="15">
        <f>IFERROR(VLOOKUP(M229,'WS3'!$B$2:$Q$437,11,0),0)</f>
        <v>1</v>
      </c>
      <c r="O229" s="17">
        <f>IFERROR(VLOOKUP(M229,'WS3'!$B$2:$Q$437,12,0),0)</f>
        <v>30000</v>
      </c>
      <c r="P229" s="17">
        <f t="shared" si="17"/>
        <v>30000</v>
      </c>
      <c r="Q229" s="15">
        <f t="shared" si="18"/>
        <v>1</v>
      </c>
      <c r="R229" s="17">
        <f t="shared" si="19"/>
        <v>0</v>
      </c>
      <c r="S229" s="13" t="s">
        <v>543</v>
      </c>
    </row>
    <row r="230" spans="1:19" x14ac:dyDescent="0.25">
      <c r="A230" s="4" t="s">
        <v>154</v>
      </c>
      <c r="B230" s="5" t="s">
        <v>124</v>
      </c>
      <c r="C230" s="4" t="s">
        <v>13</v>
      </c>
      <c r="D230" s="5" t="s">
        <v>155</v>
      </c>
      <c r="E230" s="4" t="s">
        <v>59</v>
      </c>
      <c r="F230" s="4" t="s">
        <v>60</v>
      </c>
      <c r="G230" s="4" t="s">
        <v>16</v>
      </c>
      <c r="H230" s="12">
        <v>0.3</v>
      </c>
      <c r="I230" s="7">
        <v>75000</v>
      </c>
      <c r="J230" s="7">
        <f t="shared" si="15"/>
        <v>22500</v>
      </c>
      <c r="K230" s="8" t="s">
        <v>17</v>
      </c>
      <c r="L230" t="str">
        <f>IFERROR(VLOOKUP(F230,MÃ!$A:$B,2,0),0)</f>
        <v>NL600067</v>
      </c>
      <c r="M230" t="str">
        <f t="shared" si="16"/>
        <v>08/01/2026NL600067</v>
      </c>
      <c r="N230" s="15">
        <f>IFERROR(VLOOKUP(M230,'WS3'!$B$2:$Q$437,11,0),0)</f>
        <v>0.3</v>
      </c>
      <c r="O230" s="17">
        <f>IFERROR(VLOOKUP(M230,'WS3'!$B$2:$Q$437,12,0),0)</f>
        <v>75000</v>
      </c>
      <c r="P230" s="17">
        <f t="shared" si="17"/>
        <v>22500</v>
      </c>
      <c r="Q230" s="15">
        <f t="shared" si="18"/>
        <v>0</v>
      </c>
      <c r="R230" s="17">
        <f t="shared" si="19"/>
        <v>0</v>
      </c>
      <c r="S230" s="13"/>
    </row>
    <row r="231" spans="1:19" x14ac:dyDescent="0.25">
      <c r="A231" s="4" t="s">
        <v>154</v>
      </c>
      <c r="B231" s="5" t="s">
        <v>124</v>
      </c>
      <c r="C231" s="4" t="s">
        <v>13</v>
      </c>
      <c r="D231" s="5" t="s">
        <v>155</v>
      </c>
      <c r="E231" s="4" t="s">
        <v>61</v>
      </c>
      <c r="F231" s="4" t="s">
        <v>62</v>
      </c>
      <c r="G231" s="4" t="s">
        <v>16</v>
      </c>
      <c r="H231" s="12">
        <v>2</v>
      </c>
      <c r="I231" s="7">
        <v>22000</v>
      </c>
      <c r="J231" s="7">
        <f t="shared" si="15"/>
        <v>44000</v>
      </c>
      <c r="K231" s="8" t="s">
        <v>17</v>
      </c>
      <c r="L231" t="str">
        <f>IFERROR(VLOOKUP(F231,MÃ!$A:$B,2,0),0)</f>
        <v>NL300029</v>
      </c>
      <c r="M231" t="str">
        <f t="shared" si="16"/>
        <v>08/01/2026NL300029</v>
      </c>
      <c r="N231" s="15">
        <f>IFERROR(VLOOKUP(M231,'WS3'!$B$2:$Q$437,11,0),0)</f>
        <v>2</v>
      </c>
      <c r="O231" s="17">
        <f>IFERROR(VLOOKUP(M231,'WS3'!$B$2:$Q$437,12,0),0)</f>
        <v>22000</v>
      </c>
      <c r="P231" s="17">
        <f t="shared" si="17"/>
        <v>44000</v>
      </c>
      <c r="Q231" s="15">
        <f t="shared" si="18"/>
        <v>0</v>
      </c>
      <c r="R231" s="17">
        <f t="shared" si="19"/>
        <v>0</v>
      </c>
      <c r="S231" s="13"/>
    </row>
    <row r="232" spans="1:19" x14ac:dyDescent="0.25">
      <c r="A232" s="4" t="s">
        <v>154</v>
      </c>
      <c r="B232" s="5" t="s">
        <v>124</v>
      </c>
      <c r="C232" s="4" t="s">
        <v>13</v>
      </c>
      <c r="D232" s="5" t="s">
        <v>155</v>
      </c>
      <c r="E232" s="4" t="s">
        <v>30</v>
      </c>
      <c r="F232" s="4" t="s">
        <v>31</v>
      </c>
      <c r="G232" s="4" t="s">
        <v>16</v>
      </c>
      <c r="H232" s="12">
        <v>1</v>
      </c>
      <c r="I232" s="7">
        <v>38000</v>
      </c>
      <c r="J232" s="7">
        <f t="shared" si="15"/>
        <v>38000</v>
      </c>
      <c r="K232" s="8" t="s">
        <v>17</v>
      </c>
      <c r="L232" t="str">
        <f>IFERROR(VLOOKUP(F232,MÃ!$A:$B,2,0),0)</f>
        <v>NL300054</v>
      </c>
      <c r="M232" t="str">
        <f t="shared" si="16"/>
        <v>08/01/2026NL300054</v>
      </c>
      <c r="N232" s="15">
        <f>IFERROR(VLOOKUP(M232,'WS3'!$B$2:$Q$437,11,0),0)</f>
        <v>1</v>
      </c>
      <c r="O232" s="17">
        <f>IFERROR(VLOOKUP(M232,'WS3'!$B$2:$Q$437,12,0),0)</f>
        <v>38000</v>
      </c>
      <c r="P232" s="17">
        <f t="shared" si="17"/>
        <v>38000</v>
      </c>
      <c r="Q232" s="15">
        <f t="shared" si="18"/>
        <v>0</v>
      </c>
      <c r="R232" s="17">
        <f t="shared" si="19"/>
        <v>0</v>
      </c>
      <c r="S232" s="13"/>
    </row>
    <row r="233" spans="1:19" x14ac:dyDescent="0.25">
      <c r="A233" s="4" t="s">
        <v>154</v>
      </c>
      <c r="B233" s="5" t="s">
        <v>124</v>
      </c>
      <c r="C233" s="4" t="s">
        <v>13</v>
      </c>
      <c r="D233" s="5" t="s">
        <v>155</v>
      </c>
      <c r="E233" s="4" t="s">
        <v>32</v>
      </c>
      <c r="F233" s="4" t="s">
        <v>33</v>
      </c>
      <c r="G233" s="4" t="s">
        <v>16</v>
      </c>
      <c r="H233" s="12">
        <v>0.2</v>
      </c>
      <c r="I233" s="7">
        <v>25000</v>
      </c>
      <c r="J233" s="7">
        <f t="shared" si="15"/>
        <v>5000</v>
      </c>
      <c r="K233" s="8" t="s">
        <v>17</v>
      </c>
      <c r="L233" t="str">
        <f>IFERROR(VLOOKUP(F233,MÃ!$A:$B,2,0),0)</f>
        <v>NL300035</v>
      </c>
      <c r="M233" t="str">
        <f t="shared" si="16"/>
        <v>08/01/2026NL300035</v>
      </c>
      <c r="N233" s="15">
        <f>IFERROR(VLOOKUP(M233,'WS3'!$B$2:$Q$437,11,0),0)</f>
        <v>0.2</v>
      </c>
      <c r="O233" s="17">
        <f>IFERROR(VLOOKUP(M233,'WS3'!$B$2:$Q$437,12,0),0)</f>
        <v>25000</v>
      </c>
      <c r="P233" s="17">
        <f t="shared" si="17"/>
        <v>5000</v>
      </c>
      <c r="Q233" s="15">
        <f t="shared" si="18"/>
        <v>0</v>
      </c>
      <c r="R233" s="17">
        <f t="shared" si="19"/>
        <v>0</v>
      </c>
      <c r="S233" s="13"/>
    </row>
    <row r="234" spans="1:19" x14ac:dyDescent="0.25">
      <c r="A234" s="4" t="s">
        <v>154</v>
      </c>
      <c r="B234" s="5" t="s">
        <v>124</v>
      </c>
      <c r="C234" s="4" t="s">
        <v>13</v>
      </c>
      <c r="D234" s="5" t="s">
        <v>155</v>
      </c>
      <c r="E234" s="4" t="s">
        <v>95</v>
      </c>
      <c r="F234" s="4" t="s">
        <v>96</v>
      </c>
      <c r="G234" s="4" t="s">
        <v>16</v>
      </c>
      <c r="H234" s="12">
        <v>1</v>
      </c>
      <c r="I234" s="7">
        <v>47000</v>
      </c>
      <c r="J234" s="7">
        <f t="shared" si="15"/>
        <v>47000</v>
      </c>
      <c r="K234" s="8" t="s">
        <v>17</v>
      </c>
      <c r="L234" t="str">
        <f>IFERROR(VLOOKUP(F234,MÃ!$A:$B,2,0),0)</f>
        <v>NL300036</v>
      </c>
      <c r="M234" t="str">
        <f t="shared" si="16"/>
        <v>08/01/2026NL300036</v>
      </c>
      <c r="N234" s="15">
        <f>IFERROR(VLOOKUP(M234,'WS3'!$B$2:$Q$437,11,0),0)</f>
        <v>1</v>
      </c>
      <c r="O234" s="17">
        <f>IFERROR(VLOOKUP(M234,'WS3'!$B$2:$Q$437,12,0),0)</f>
        <v>47000</v>
      </c>
      <c r="P234" s="17">
        <f t="shared" si="17"/>
        <v>47000</v>
      </c>
      <c r="Q234" s="15">
        <f t="shared" si="18"/>
        <v>0</v>
      </c>
      <c r="R234" s="17">
        <f t="shared" si="19"/>
        <v>0</v>
      </c>
      <c r="S234" s="13"/>
    </row>
    <row r="235" spans="1:19" x14ac:dyDescent="0.25">
      <c r="A235" s="4" t="s">
        <v>154</v>
      </c>
      <c r="B235" s="5" t="s">
        <v>124</v>
      </c>
      <c r="C235" s="4" t="s">
        <v>13</v>
      </c>
      <c r="D235" s="5" t="s">
        <v>155</v>
      </c>
      <c r="E235" s="4" t="s">
        <v>36</v>
      </c>
      <c r="F235" s="4" t="s">
        <v>37</v>
      </c>
      <c r="G235" s="4" t="s">
        <v>16</v>
      </c>
      <c r="H235" s="12">
        <v>15</v>
      </c>
      <c r="I235" s="7">
        <v>18000</v>
      </c>
      <c r="J235" s="7">
        <f t="shared" si="15"/>
        <v>270000</v>
      </c>
      <c r="K235" s="8" t="s">
        <v>17</v>
      </c>
      <c r="L235" t="str">
        <f>IFERROR(VLOOKUP(F235,MÃ!$A:$B,2,0),0)</f>
        <v>NL600004</v>
      </c>
      <c r="M235" t="str">
        <f t="shared" si="16"/>
        <v>08/01/2026NL600004</v>
      </c>
      <c r="N235" s="15">
        <f>IFERROR(VLOOKUP(M235,'WS3'!$B$2:$Q$437,11,0),0)</f>
        <v>15</v>
      </c>
      <c r="O235" s="17">
        <f>IFERROR(VLOOKUP(M235,'WS3'!$B$2:$Q$437,12,0),0)</f>
        <v>18000</v>
      </c>
      <c r="P235" s="17">
        <f t="shared" si="17"/>
        <v>270000</v>
      </c>
      <c r="Q235" s="15">
        <f t="shared" si="18"/>
        <v>0</v>
      </c>
      <c r="R235" s="17">
        <f t="shared" si="19"/>
        <v>0</v>
      </c>
      <c r="S235" s="13"/>
    </row>
    <row r="236" spans="1:19" x14ac:dyDescent="0.25">
      <c r="A236" s="4" t="s">
        <v>154</v>
      </c>
      <c r="B236" s="5" t="s">
        <v>124</v>
      </c>
      <c r="C236" s="4" t="s">
        <v>13</v>
      </c>
      <c r="D236" s="5" t="s">
        <v>155</v>
      </c>
      <c r="E236" s="4" t="s">
        <v>63</v>
      </c>
      <c r="F236" s="4" t="s">
        <v>64</v>
      </c>
      <c r="G236" s="4" t="s">
        <v>16</v>
      </c>
      <c r="H236" s="12">
        <v>0.1</v>
      </c>
      <c r="I236" s="7">
        <v>65000</v>
      </c>
      <c r="J236" s="7">
        <f t="shared" si="15"/>
        <v>6500</v>
      </c>
      <c r="K236" s="8" t="s">
        <v>17</v>
      </c>
      <c r="L236" t="str">
        <f>IFERROR(VLOOKUP(F236,MÃ!$A:$B,2,0),0)</f>
        <v>NL300062</v>
      </c>
      <c r="M236" t="str">
        <f t="shared" si="16"/>
        <v>08/01/2026NL300062</v>
      </c>
      <c r="N236" s="15">
        <f>IFERROR(VLOOKUP(M236,'WS3'!$B$2:$Q$437,11,0),0)</f>
        <v>0.1</v>
      </c>
      <c r="O236" s="17">
        <f>IFERROR(VLOOKUP(M236,'WS3'!$B$2:$Q$437,12,0),0)</f>
        <v>65000</v>
      </c>
      <c r="P236" s="17">
        <f t="shared" si="17"/>
        <v>6500</v>
      </c>
      <c r="Q236" s="15">
        <f t="shared" si="18"/>
        <v>0</v>
      </c>
      <c r="R236" s="17">
        <f t="shared" si="19"/>
        <v>0</v>
      </c>
      <c r="S236" s="13"/>
    </row>
    <row r="237" spans="1:19" x14ac:dyDescent="0.25">
      <c r="A237" s="4" t="s">
        <v>154</v>
      </c>
      <c r="B237" s="5" t="s">
        <v>124</v>
      </c>
      <c r="C237" s="4" t="s">
        <v>13</v>
      </c>
      <c r="D237" s="5" t="s">
        <v>155</v>
      </c>
      <c r="E237" s="4" t="s">
        <v>65</v>
      </c>
      <c r="F237" s="4" t="s">
        <v>66</v>
      </c>
      <c r="G237" s="4" t="s">
        <v>16</v>
      </c>
      <c r="H237" s="12">
        <v>0.6</v>
      </c>
      <c r="I237" s="7">
        <v>23000</v>
      </c>
      <c r="J237" s="7">
        <f t="shared" si="15"/>
        <v>13800</v>
      </c>
      <c r="K237" s="8" t="s">
        <v>17</v>
      </c>
      <c r="L237" t="str">
        <f>IFERROR(VLOOKUP(F237,MÃ!$A:$B,2,0),0)</f>
        <v>NL300070</v>
      </c>
      <c r="M237" t="str">
        <f t="shared" si="16"/>
        <v>08/01/2026NL300070</v>
      </c>
      <c r="N237" s="15">
        <f>IFERROR(VLOOKUP(M237,'WS3'!$B$2:$Q$437,11,0),0)</f>
        <v>0.3</v>
      </c>
      <c r="O237" s="17">
        <f>IFERROR(VLOOKUP(M237,'WS3'!$B$2:$Q$437,12,0),0)</f>
        <v>23000</v>
      </c>
      <c r="P237" s="17">
        <f t="shared" si="17"/>
        <v>6900</v>
      </c>
      <c r="Q237" s="15">
        <f t="shared" si="18"/>
        <v>0.3</v>
      </c>
      <c r="R237" s="17">
        <f t="shared" si="19"/>
        <v>0</v>
      </c>
      <c r="S237" s="13" t="s">
        <v>543</v>
      </c>
    </row>
    <row r="238" spans="1:19" x14ac:dyDescent="0.25">
      <c r="A238" s="4" t="s">
        <v>154</v>
      </c>
      <c r="B238" s="5" t="s">
        <v>124</v>
      </c>
      <c r="C238" s="4" t="s">
        <v>13</v>
      </c>
      <c r="D238" s="5" t="s">
        <v>155</v>
      </c>
      <c r="E238" s="4" t="s">
        <v>67</v>
      </c>
      <c r="F238" s="4" t="s">
        <v>68</v>
      </c>
      <c r="G238" s="4" t="s">
        <v>16</v>
      </c>
      <c r="H238" s="12">
        <v>0.5</v>
      </c>
      <c r="I238" s="7">
        <v>18000</v>
      </c>
      <c r="J238" s="7">
        <f t="shared" si="15"/>
        <v>9000</v>
      </c>
      <c r="K238" s="8" t="s">
        <v>17</v>
      </c>
      <c r="L238" t="str">
        <f>IFERROR(VLOOKUP(F238,MÃ!$A:$B,2,0),0)</f>
        <v>NL300184</v>
      </c>
      <c r="M238" t="str">
        <f t="shared" si="16"/>
        <v>08/01/2026NL300184</v>
      </c>
      <c r="N238" s="15">
        <f>IFERROR(VLOOKUP(M238,'WS3'!$B$2:$Q$437,11,0),0)</f>
        <v>0.5</v>
      </c>
      <c r="O238" s="17">
        <f>IFERROR(VLOOKUP(M238,'WS3'!$B$2:$Q$437,12,0),0)</f>
        <v>18000</v>
      </c>
      <c r="P238" s="17">
        <f t="shared" si="17"/>
        <v>9000</v>
      </c>
      <c r="Q238" s="15">
        <f t="shared" si="18"/>
        <v>0</v>
      </c>
      <c r="R238" s="17">
        <f t="shared" si="19"/>
        <v>0</v>
      </c>
      <c r="S238" s="13"/>
    </row>
    <row r="239" spans="1:19" x14ac:dyDescent="0.25">
      <c r="A239" s="4" t="s">
        <v>154</v>
      </c>
      <c r="B239" s="5" t="s">
        <v>124</v>
      </c>
      <c r="C239" s="4" t="s">
        <v>13</v>
      </c>
      <c r="D239" s="5" t="s">
        <v>155</v>
      </c>
      <c r="E239" s="4" t="s">
        <v>14</v>
      </c>
      <c r="F239" s="4" t="s">
        <v>15</v>
      </c>
      <c r="G239" s="4" t="s">
        <v>16</v>
      </c>
      <c r="H239" s="12">
        <v>8</v>
      </c>
      <c r="I239" s="7">
        <v>27000</v>
      </c>
      <c r="J239" s="7">
        <f t="shared" si="15"/>
        <v>216000</v>
      </c>
      <c r="K239" s="8" t="s">
        <v>17</v>
      </c>
      <c r="L239" t="str">
        <f>IFERROR(VLOOKUP(F239,MÃ!$A:$B,2,0),0)</f>
        <v>NL300088</v>
      </c>
      <c r="M239" t="str">
        <f t="shared" si="16"/>
        <v>08/01/2026NL300088</v>
      </c>
      <c r="N239" s="15">
        <f>IFERROR(VLOOKUP(M239,'WS3'!$B$2:$Q$437,11,0),0)</f>
        <v>5</v>
      </c>
      <c r="O239" s="17">
        <f>IFERROR(VLOOKUP(M239,'WS3'!$B$2:$Q$437,12,0),0)</f>
        <v>27000</v>
      </c>
      <c r="P239" s="17">
        <f t="shared" si="17"/>
        <v>135000</v>
      </c>
      <c r="Q239" s="15">
        <f t="shared" si="18"/>
        <v>3</v>
      </c>
      <c r="R239" s="17">
        <f t="shared" si="19"/>
        <v>0</v>
      </c>
      <c r="S239" s="13" t="s">
        <v>543</v>
      </c>
    </row>
    <row r="240" spans="1:19" x14ac:dyDescent="0.25">
      <c r="A240" s="4" t="s">
        <v>154</v>
      </c>
      <c r="B240" s="5" t="s">
        <v>124</v>
      </c>
      <c r="C240" s="4" t="s">
        <v>13</v>
      </c>
      <c r="D240" s="5" t="s">
        <v>155</v>
      </c>
      <c r="E240" s="4" t="s">
        <v>73</v>
      </c>
      <c r="F240" s="4" t="s">
        <v>74</v>
      </c>
      <c r="G240" s="4" t="s">
        <v>16</v>
      </c>
      <c r="H240" s="12">
        <v>0.8</v>
      </c>
      <c r="I240" s="7">
        <v>90000</v>
      </c>
      <c r="J240" s="7">
        <f t="shared" si="15"/>
        <v>72000</v>
      </c>
      <c r="K240" s="8" t="s">
        <v>17</v>
      </c>
      <c r="L240" t="str">
        <f>IFERROR(VLOOKUP(F240,MÃ!$A:$B,2,0),0)</f>
        <v>NL300092</v>
      </c>
      <c r="M240" t="str">
        <f t="shared" si="16"/>
        <v>08/01/2026NL300092</v>
      </c>
      <c r="N240" s="15">
        <f>IFERROR(VLOOKUP(M240,'WS3'!$B$2:$Q$437,11,0),0)</f>
        <v>0.6</v>
      </c>
      <c r="O240" s="17">
        <f>IFERROR(VLOOKUP(M240,'WS3'!$B$2:$Q$437,12,0),0)</f>
        <v>90000</v>
      </c>
      <c r="P240" s="17">
        <f t="shared" si="17"/>
        <v>54000</v>
      </c>
      <c r="Q240" s="15">
        <f t="shared" si="18"/>
        <v>0.20000000000000007</v>
      </c>
      <c r="R240" s="17">
        <f t="shared" si="19"/>
        <v>0</v>
      </c>
      <c r="S240" s="13" t="s">
        <v>543</v>
      </c>
    </row>
    <row r="241" spans="1:19" x14ac:dyDescent="0.25">
      <c r="A241" s="4" t="s">
        <v>154</v>
      </c>
      <c r="B241" s="5" t="s">
        <v>124</v>
      </c>
      <c r="C241" s="4" t="s">
        <v>13</v>
      </c>
      <c r="D241" s="5" t="s">
        <v>155</v>
      </c>
      <c r="E241" s="4" t="s">
        <v>100</v>
      </c>
      <c r="F241" s="4" t="s">
        <v>101</v>
      </c>
      <c r="G241" s="4" t="s">
        <v>16</v>
      </c>
      <c r="H241" s="12">
        <v>1</v>
      </c>
      <c r="I241" s="7">
        <v>80000</v>
      </c>
      <c r="J241" s="7">
        <f t="shared" si="15"/>
        <v>80000</v>
      </c>
      <c r="K241" s="8" t="s">
        <v>17</v>
      </c>
      <c r="L241" t="str">
        <f>IFERROR(VLOOKUP(F241,MÃ!$A:$B,2,0),0)</f>
        <v>NL300094</v>
      </c>
      <c r="M241" t="str">
        <f t="shared" si="16"/>
        <v>08/01/2026NL300094</v>
      </c>
      <c r="N241" s="15">
        <f>IFERROR(VLOOKUP(M241,'WS3'!$B$2:$Q$437,11,0),0)</f>
        <v>0.8</v>
      </c>
      <c r="O241" s="17">
        <f>IFERROR(VLOOKUP(M241,'WS3'!$B$2:$Q$437,12,0),0)</f>
        <v>80000</v>
      </c>
      <c r="P241" s="17">
        <f t="shared" si="17"/>
        <v>64000</v>
      </c>
      <c r="Q241" s="15">
        <f t="shared" si="18"/>
        <v>0.19999999999999996</v>
      </c>
      <c r="R241" s="17">
        <f t="shared" si="19"/>
        <v>0</v>
      </c>
      <c r="S241" s="13" t="s">
        <v>543</v>
      </c>
    </row>
    <row r="242" spans="1:19" ht="28.5" x14ac:dyDescent="0.25">
      <c r="A242" s="4" t="s">
        <v>154</v>
      </c>
      <c r="B242" s="5" t="s">
        <v>124</v>
      </c>
      <c r="C242" s="4" t="s">
        <v>13</v>
      </c>
      <c r="D242" s="5" t="s">
        <v>155</v>
      </c>
      <c r="E242" s="4" t="s">
        <v>44</v>
      </c>
      <c r="F242" s="4" t="s">
        <v>45</v>
      </c>
      <c r="G242" s="4" t="s">
        <v>16</v>
      </c>
      <c r="H242" s="12">
        <v>3</v>
      </c>
      <c r="I242" s="7">
        <v>45000</v>
      </c>
      <c r="J242" s="7">
        <f t="shared" si="15"/>
        <v>135000</v>
      </c>
      <c r="K242" s="8" t="s">
        <v>17</v>
      </c>
      <c r="L242" t="str">
        <f>IFERROR(VLOOKUP(F242,MÃ!$A:$B,2,0),0)</f>
        <v>NL300096</v>
      </c>
      <c r="M242" t="str">
        <f t="shared" si="16"/>
        <v>08/01/2026NL300096</v>
      </c>
      <c r="N242" s="15">
        <f>IFERROR(VLOOKUP(M242,'WS3'!$B$2:$Q$437,11,0),0)</f>
        <v>2.7</v>
      </c>
      <c r="O242" s="17">
        <f>IFERROR(VLOOKUP(M242,'WS3'!$B$2:$Q$437,12,0),0)</f>
        <v>45000</v>
      </c>
      <c r="P242" s="17">
        <f t="shared" si="17"/>
        <v>121500.00000000001</v>
      </c>
      <c r="Q242" s="15">
        <f t="shared" si="18"/>
        <v>0.29999999999999982</v>
      </c>
      <c r="R242" s="17">
        <f t="shared" si="19"/>
        <v>0</v>
      </c>
      <c r="S242" s="13" t="s">
        <v>543</v>
      </c>
    </row>
    <row r="243" spans="1:19" ht="28.5" x14ac:dyDescent="0.25">
      <c r="A243" s="4" t="s">
        <v>154</v>
      </c>
      <c r="B243" s="5" t="s">
        <v>124</v>
      </c>
      <c r="C243" s="4" t="s">
        <v>13</v>
      </c>
      <c r="D243" s="5" t="s">
        <v>155</v>
      </c>
      <c r="E243" s="4" t="s">
        <v>75</v>
      </c>
      <c r="F243" s="4" t="s">
        <v>76</v>
      </c>
      <c r="G243" s="4" t="s">
        <v>16</v>
      </c>
      <c r="H243" s="12">
        <v>1</v>
      </c>
      <c r="I243" s="7">
        <v>90000</v>
      </c>
      <c r="J243" s="7">
        <f t="shared" si="15"/>
        <v>90000</v>
      </c>
      <c r="K243" s="8" t="s">
        <v>17</v>
      </c>
      <c r="L243" t="str">
        <f>IFERROR(VLOOKUP(F243,MÃ!$A:$B,2,0),0)</f>
        <v>NL300097</v>
      </c>
      <c r="M243" t="str">
        <f t="shared" si="16"/>
        <v>08/01/2026NL300097</v>
      </c>
      <c r="N243" s="15">
        <f>IFERROR(VLOOKUP(M243,'WS3'!$B$2:$Q$437,11,0),0)</f>
        <v>0.8</v>
      </c>
      <c r="O243" s="17">
        <f>IFERROR(VLOOKUP(M243,'WS3'!$B$2:$Q$437,12,0),0)</f>
        <v>90000</v>
      </c>
      <c r="P243" s="17">
        <f t="shared" si="17"/>
        <v>72000</v>
      </c>
      <c r="Q243" s="15">
        <f t="shared" si="18"/>
        <v>0.19999999999999996</v>
      </c>
      <c r="R243" s="17">
        <f t="shared" si="19"/>
        <v>0</v>
      </c>
      <c r="S243" s="13" t="s">
        <v>543</v>
      </c>
    </row>
    <row r="244" spans="1:19" x14ac:dyDescent="0.25">
      <c r="A244" s="4" t="s">
        <v>154</v>
      </c>
      <c r="B244" s="5" t="s">
        <v>124</v>
      </c>
      <c r="C244" s="4" t="s">
        <v>13</v>
      </c>
      <c r="D244" s="5" t="s">
        <v>155</v>
      </c>
      <c r="E244" s="4" t="s">
        <v>102</v>
      </c>
      <c r="F244" s="4" t="s">
        <v>103</v>
      </c>
      <c r="G244" s="4" t="s">
        <v>16</v>
      </c>
      <c r="H244" s="12">
        <v>0.5</v>
      </c>
      <c r="I244" s="7">
        <v>145000</v>
      </c>
      <c r="J244" s="7">
        <f t="shared" si="15"/>
        <v>72500</v>
      </c>
      <c r="K244" s="8" t="s">
        <v>17</v>
      </c>
      <c r="L244" t="str">
        <f>IFERROR(VLOOKUP(F244,MÃ!$A:$B,2,0),0)</f>
        <v>NL300113</v>
      </c>
      <c r="M244" t="str">
        <f t="shared" si="16"/>
        <v>08/01/2026NL300113</v>
      </c>
      <c r="N244" s="15">
        <f>IFERROR(VLOOKUP(M244,'WS3'!$B$2:$Q$437,11,0),0)</f>
        <v>0.4</v>
      </c>
      <c r="O244" s="17">
        <f>IFERROR(VLOOKUP(M244,'WS3'!$B$2:$Q$437,12,0),0)</f>
        <v>145000</v>
      </c>
      <c r="P244" s="17">
        <f t="shared" si="17"/>
        <v>58000</v>
      </c>
      <c r="Q244" s="15">
        <f t="shared" si="18"/>
        <v>9.9999999999999978E-2</v>
      </c>
      <c r="R244" s="17">
        <f t="shared" si="19"/>
        <v>0</v>
      </c>
      <c r="S244" s="13" t="s">
        <v>543</v>
      </c>
    </row>
    <row r="245" spans="1:19" x14ac:dyDescent="0.25">
      <c r="A245" s="4" t="s">
        <v>154</v>
      </c>
      <c r="B245" s="5" t="s">
        <v>124</v>
      </c>
      <c r="C245" s="4" t="s">
        <v>13</v>
      </c>
      <c r="D245" s="5" t="s">
        <v>155</v>
      </c>
      <c r="E245" s="4" t="s">
        <v>46</v>
      </c>
      <c r="F245" s="4" t="s">
        <v>47</v>
      </c>
      <c r="G245" s="4" t="s">
        <v>16</v>
      </c>
      <c r="H245" s="12">
        <v>0.2</v>
      </c>
      <c r="I245" s="7">
        <v>148000</v>
      </c>
      <c r="J245" s="7">
        <f t="shared" si="15"/>
        <v>29600</v>
      </c>
      <c r="K245" s="8" t="s">
        <v>17</v>
      </c>
      <c r="L245" t="str">
        <f>IFERROR(VLOOKUP(F245,MÃ!$A:$B,2,0),0)</f>
        <v>NL300116</v>
      </c>
      <c r="M245" t="str">
        <f t="shared" si="16"/>
        <v>08/01/2026NL300116</v>
      </c>
      <c r="N245" s="15">
        <f>IFERROR(VLOOKUP(M245,'WS3'!$B$2:$Q$437,11,0),0)</f>
        <v>0.2</v>
      </c>
      <c r="O245" s="17">
        <f>IFERROR(VLOOKUP(M245,'WS3'!$B$2:$Q$437,12,0),0)</f>
        <v>148000</v>
      </c>
      <c r="P245" s="17">
        <f t="shared" si="17"/>
        <v>29600</v>
      </c>
      <c r="Q245" s="15">
        <f t="shared" si="18"/>
        <v>0</v>
      </c>
      <c r="R245" s="17">
        <f t="shared" si="19"/>
        <v>0</v>
      </c>
      <c r="S245" s="13"/>
    </row>
    <row r="246" spans="1:19" x14ac:dyDescent="0.25">
      <c r="A246" s="4" t="s">
        <v>154</v>
      </c>
      <c r="B246" s="5" t="s">
        <v>124</v>
      </c>
      <c r="C246" s="4" t="s">
        <v>13</v>
      </c>
      <c r="D246" s="5" t="s">
        <v>155</v>
      </c>
      <c r="E246" s="4" t="s">
        <v>48</v>
      </c>
      <c r="F246" s="4" t="s">
        <v>49</v>
      </c>
      <c r="G246" s="4" t="s">
        <v>16</v>
      </c>
      <c r="H246" s="12">
        <v>0.5</v>
      </c>
      <c r="I246" s="7">
        <v>42000</v>
      </c>
      <c r="J246" s="7">
        <f t="shared" si="15"/>
        <v>21000</v>
      </c>
      <c r="K246" s="8" t="s">
        <v>17</v>
      </c>
      <c r="L246" t="str">
        <f>IFERROR(VLOOKUP(F246,MÃ!$A:$B,2,0),0)</f>
        <v>NL300125</v>
      </c>
      <c r="M246" t="str">
        <f t="shared" si="16"/>
        <v>08/01/2026NL300125</v>
      </c>
      <c r="N246" s="15">
        <f>IFERROR(VLOOKUP(M246,'WS3'!$B$2:$Q$437,11,0),0)</f>
        <v>0.5</v>
      </c>
      <c r="O246" s="17">
        <f>IFERROR(VLOOKUP(M246,'WS3'!$B$2:$Q$437,12,0),0)</f>
        <v>42000</v>
      </c>
      <c r="P246" s="17">
        <f t="shared" si="17"/>
        <v>21000</v>
      </c>
      <c r="Q246" s="15">
        <f t="shared" si="18"/>
        <v>0</v>
      </c>
      <c r="R246" s="17">
        <f t="shared" si="19"/>
        <v>0</v>
      </c>
      <c r="S246" s="13"/>
    </row>
    <row r="247" spans="1:19" x14ac:dyDescent="0.25">
      <c r="A247" s="4" t="s">
        <v>154</v>
      </c>
      <c r="B247" s="5" t="s">
        <v>124</v>
      </c>
      <c r="C247" s="4" t="s">
        <v>13</v>
      </c>
      <c r="D247" s="5" t="s">
        <v>155</v>
      </c>
      <c r="E247" s="4" t="s">
        <v>133</v>
      </c>
      <c r="F247" s="4" t="s">
        <v>134</v>
      </c>
      <c r="G247" s="4" t="s">
        <v>16</v>
      </c>
      <c r="H247" s="12">
        <v>0.5</v>
      </c>
      <c r="I247" s="7">
        <v>36000</v>
      </c>
      <c r="J247" s="7">
        <f t="shared" si="15"/>
        <v>18000</v>
      </c>
      <c r="K247" s="8" t="s">
        <v>17</v>
      </c>
      <c r="L247" t="str">
        <f>IFERROR(VLOOKUP(F247,MÃ!$A:$B,2,0),0)</f>
        <v>NL300140</v>
      </c>
      <c r="M247" t="str">
        <f t="shared" si="16"/>
        <v>08/01/2026NL300140</v>
      </c>
      <c r="N247" s="15">
        <f>IFERROR(VLOOKUP(M247,'WS3'!$B$2:$Q$437,11,0),0)</f>
        <v>0.3</v>
      </c>
      <c r="O247" s="17">
        <f>IFERROR(VLOOKUP(M247,'WS3'!$B$2:$Q$437,12,0),0)</f>
        <v>36000</v>
      </c>
      <c r="P247" s="17">
        <f t="shared" si="17"/>
        <v>10800</v>
      </c>
      <c r="Q247" s="15">
        <f t="shared" si="18"/>
        <v>0.2</v>
      </c>
      <c r="R247" s="17">
        <f t="shared" si="19"/>
        <v>0</v>
      </c>
      <c r="S247" s="13" t="s">
        <v>543</v>
      </c>
    </row>
    <row r="248" spans="1:19" x14ac:dyDescent="0.25">
      <c r="A248" s="4" t="s">
        <v>154</v>
      </c>
      <c r="B248" s="5" t="s">
        <v>124</v>
      </c>
      <c r="C248" s="4" t="s">
        <v>13</v>
      </c>
      <c r="D248" s="5" t="s">
        <v>155</v>
      </c>
      <c r="E248" s="4" t="s">
        <v>81</v>
      </c>
      <c r="F248" s="4" t="s">
        <v>82</v>
      </c>
      <c r="G248" s="4" t="s">
        <v>16</v>
      </c>
      <c r="H248" s="12">
        <v>1</v>
      </c>
      <c r="I248" s="7">
        <v>12000</v>
      </c>
      <c r="J248" s="7">
        <f t="shared" si="15"/>
        <v>12000</v>
      </c>
      <c r="K248" s="8" t="s">
        <v>17</v>
      </c>
      <c r="L248" t="str">
        <f>IFERROR(VLOOKUP(F248,MÃ!$A:$B,2,0),0)</f>
        <v>NL300132</v>
      </c>
      <c r="M248" t="str">
        <f t="shared" si="16"/>
        <v>08/01/2026NL300132</v>
      </c>
      <c r="N248" s="15">
        <f>IFERROR(VLOOKUP(M248,'WS3'!$B$2:$Q$437,11,0),0)</f>
        <v>1</v>
      </c>
      <c r="O248" s="17">
        <f>IFERROR(VLOOKUP(M248,'WS3'!$B$2:$Q$437,12,0),0)</f>
        <v>12000</v>
      </c>
      <c r="P248" s="17">
        <f t="shared" si="17"/>
        <v>12000</v>
      </c>
      <c r="Q248" s="15">
        <f t="shared" si="18"/>
        <v>0</v>
      </c>
      <c r="R248" s="17">
        <f t="shared" si="19"/>
        <v>0</v>
      </c>
      <c r="S248" s="13"/>
    </row>
    <row r="249" spans="1:19" x14ac:dyDescent="0.25">
      <c r="A249" s="4" t="s">
        <v>154</v>
      </c>
      <c r="B249" s="5" t="s">
        <v>124</v>
      </c>
      <c r="C249" s="4" t="s">
        <v>13</v>
      </c>
      <c r="D249" s="5" t="s">
        <v>155</v>
      </c>
      <c r="E249" s="4" t="s">
        <v>52</v>
      </c>
      <c r="F249" s="4" t="s">
        <v>53</v>
      </c>
      <c r="G249" s="4" t="s">
        <v>16</v>
      </c>
      <c r="H249" s="12">
        <v>1.5</v>
      </c>
      <c r="I249" s="7">
        <v>21000</v>
      </c>
      <c r="J249" s="7">
        <f t="shared" si="15"/>
        <v>31500</v>
      </c>
      <c r="K249" s="8" t="s">
        <v>17</v>
      </c>
      <c r="L249" t="str">
        <f>IFERROR(VLOOKUP(F249,MÃ!$A:$B,2,0),0)</f>
        <v>NL300119</v>
      </c>
      <c r="M249" t="str">
        <f t="shared" si="16"/>
        <v>08/01/2026NL300119</v>
      </c>
      <c r="N249" s="15">
        <f>IFERROR(VLOOKUP(M249,'WS3'!$B$2:$Q$437,11,0),0)</f>
        <v>1.3</v>
      </c>
      <c r="O249" s="17">
        <f>IFERROR(VLOOKUP(M249,'WS3'!$B$2:$Q$437,12,0),0)</f>
        <v>21000</v>
      </c>
      <c r="P249" s="17">
        <f t="shared" si="17"/>
        <v>27300</v>
      </c>
      <c r="Q249" s="15">
        <f t="shared" si="18"/>
        <v>0.19999999999999996</v>
      </c>
      <c r="R249" s="17">
        <f t="shared" si="19"/>
        <v>0</v>
      </c>
      <c r="S249" s="13" t="s">
        <v>543</v>
      </c>
    </row>
    <row r="250" spans="1:19" x14ac:dyDescent="0.25">
      <c r="A250" s="4" t="s">
        <v>154</v>
      </c>
      <c r="B250" s="5" t="s">
        <v>124</v>
      </c>
      <c r="C250" s="4" t="s">
        <v>13</v>
      </c>
      <c r="D250" s="5" t="s">
        <v>155</v>
      </c>
      <c r="E250" s="4" t="s">
        <v>83</v>
      </c>
      <c r="F250" s="4" t="s">
        <v>84</v>
      </c>
      <c r="G250" s="4" t="s">
        <v>16</v>
      </c>
      <c r="H250" s="12">
        <v>0.1</v>
      </c>
      <c r="I250" s="7">
        <v>42000</v>
      </c>
      <c r="J250" s="7">
        <f t="shared" si="15"/>
        <v>4200</v>
      </c>
      <c r="K250" s="8" t="s">
        <v>17</v>
      </c>
      <c r="L250" t="str">
        <f>IFERROR(VLOOKUP(F250,MÃ!$A:$B,2,0),0)</f>
        <v>NL300139</v>
      </c>
      <c r="M250" t="str">
        <f t="shared" si="16"/>
        <v>08/01/2026NL300139</v>
      </c>
      <c r="N250" s="15">
        <f>IFERROR(VLOOKUP(M250,'WS3'!$B$2:$Q$437,11,0),0)</f>
        <v>0.1</v>
      </c>
      <c r="O250" s="17">
        <f>IFERROR(VLOOKUP(M250,'WS3'!$B$2:$Q$437,12,0),0)</f>
        <v>42000</v>
      </c>
      <c r="P250" s="17">
        <f t="shared" si="17"/>
        <v>4200</v>
      </c>
      <c r="Q250" s="15">
        <f t="shared" si="18"/>
        <v>0</v>
      </c>
      <c r="R250" s="17">
        <f t="shared" si="19"/>
        <v>0</v>
      </c>
      <c r="S250" s="13"/>
    </row>
    <row r="251" spans="1:19" x14ac:dyDescent="0.25">
      <c r="A251" s="4" t="s">
        <v>154</v>
      </c>
      <c r="B251" s="5" t="s">
        <v>124</v>
      </c>
      <c r="C251" s="4" t="s">
        <v>13</v>
      </c>
      <c r="D251" s="5" t="s">
        <v>155</v>
      </c>
      <c r="E251" s="4" t="s">
        <v>104</v>
      </c>
      <c r="F251" s="4" t="s">
        <v>105</v>
      </c>
      <c r="G251" s="4" t="s">
        <v>16</v>
      </c>
      <c r="H251" s="12">
        <v>0.1</v>
      </c>
      <c r="I251" s="7">
        <v>92000</v>
      </c>
      <c r="J251" s="7">
        <f t="shared" si="15"/>
        <v>9200</v>
      </c>
      <c r="K251" s="8" t="s">
        <v>17</v>
      </c>
      <c r="L251" t="str">
        <f>IFERROR(VLOOKUP(F251,MÃ!$A:$B,2,0),0)</f>
        <v>NL300141</v>
      </c>
      <c r="M251" t="str">
        <f t="shared" si="16"/>
        <v>08/01/2026NL300141</v>
      </c>
      <c r="N251" s="15">
        <f>IFERROR(VLOOKUP(M251,'WS3'!$B$2:$Q$437,11,0),0)</f>
        <v>0.1</v>
      </c>
      <c r="O251" s="17">
        <f>IFERROR(VLOOKUP(M251,'WS3'!$B$2:$Q$437,12,0),0)</f>
        <v>92000</v>
      </c>
      <c r="P251" s="17">
        <f t="shared" si="17"/>
        <v>9200</v>
      </c>
      <c r="Q251" s="15">
        <f t="shared" si="18"/>
        <v>0</v>
      </c>
      <c r="R251" s="17">
        <f t="shared" si="19"/>
        <v>0</v>
      </c>
      <c r="S251" s="13"/>
    </row>
    <row r="252" spans="1:19" x14ac:dyDescent="0.25">
      <c r="A252" s="4" t="s">
        <v>154</v>
      </c>
      <c r="B252" s="5" t="s">
        <v>124</v>
      </c>
      <c r="C252" s="4" t="s">
        <v>13</v>
      </c>
      <c r="D252" s="5" t="s">
        <v>155</v>
      </c>
      <c r="E252" s="4" t="s">
        <v>54</v>
      </c>
      <c r="F252" s="4" t="s">
        <v>55</v>
      </c>
      <c r="G252" s="4" t="s">
        <v>16</v>
      </c>
      <c r="H252" s="12">
        <v>4.0999999999999996</v>
      </c>
      <c r="I252" s="7">
        <v>62000</v>
      </c>
      <c r="J252" s="7">
        <f t="shared" si="15"/>
        <v>254199.99999999997</v>
      </c>
      <c r="K252" s="8" t="s">
        <v>17</v>
      </c>
      <c r="L252" t="str">
        <f>IFERROR(VLOOKUP(F252,MÃ!$A:$B,2,0),0)</f>
        <v>NL300147</v>
      </c>
      <c r="M252" t="str">
        <f t="shared" si="16"/>
        <v>08/01/2026NL300147</v>
      </c>
      <c r="N252" s="15">
        <f>IFERROR(VLOOKUP(M252,'WS3'!$B$2:$Q$437,11,0),0)</f>
        <v>2.6</v>
      </c>
      <c r="O252" s="17">
        <f>IFERROR(VLOOKUP(M252,'WS3'!$B$2:$Q$437,12,0),0)</f>
        <v>62000</v>
      </c>
      <c r="P252" s="17">
        <f t="shared" si="17"/>
        <v>161200</v>
      </c>
      <c r="Q252" s="15">
        <f t="shared" si="18"/>
        <v>1.4999999999999996</v>
      </c>
      <c r="R252" s="17">
        <f t="shared" si="19"/>
        <v>0</v>
      </c>
      <c r="S252" s="13" t="s">
        <v>543</v>
      </c>
    </row>
    <row r="253" spans="1:19" x14ac:dyDescent="0.25">
      <c r="A253" s="4" t="s">
        <v>156</v>
      </c>
      <c r="B253" s="5" t="s">
        <v>124</v>
      </c>
      <c r="C253" s="4" t="s">
        <v>13</v>
      </c>
      <c r="D253" s="5" t="s">
        <v>157</v>
      </c>
      <c r="E253" s="4" t="s">
        <v>18</v>
      </c>
      <c r="F253" s="4" t="s">
        <v>19</v>
      </c>
      <c r="G253" s="4" t="s">
        <v>16</v>
      </c>
      <c r="H253" s="12">
        <v>3</v>
      </c>
      <c r="I253" s="7">
        <v>15000</v>
      </c>
      <c r="J253" s="7">
        <f t="shared" si="15"/>
        <v>45000</v>
      </c>
      <c r="K253" s="8" t="s">
        <v>17</v>
      </c>
      <c r="L253" t="str">
        <f>IFERROR(VLOOKUP(F253,MÃ!$A:$B,2,0),0)</f>
        <v>NL300189</v>
      </c>
      <c r="M253" t="str">
        <f t="shared" si="16"/>
        <v>09/01/2026NL300189</v>
      </c>
      <c r="N253" s="15">
        <f>IFERROR(VLOOKUP(M253,'WS3'!$B$2:$Q$437,11,0),0)</f>
        <v>3</v>
      </c>
      <c r="O253" s="17">
        <f>IFERROR(VLOOKUP(M253,'WS3'!$B$2:$Q$437,12,0),0)</f>
        <v>15000</v>
      </c>
      <c r="P253" s="17">
        <f t="shared" si="17"/>
        <v>45000</v>
      </c>
      <c r="Q253" s="15">
        <f t="shared" si="18"/>
        <v>0</v>
      </c>
      <c r="R253" s="17">
        <f t="shared" si="19"/>
        <v>0</v>
      </c>
      <c r="S253" s="13"/>
    </row>
    <row r="254" spans="1:19" x14ac:dyDescent="0.25">
      <c r="A254" s="4" t="s">
        <v>156</v>
      </c>
      <c r="B254" s="5" t="s">
        <v>124</v>
      </c>
      <c r="C254" s="4" t="s">
        <v>13</v>
      </c>
      <c r="D254" s="5" t="s">
        <v>157</v>
      </c>
      <c r="E254" s="4" t="s">
        <v>20</v>
      </c>
      <c r="F254" s="4" t="s">
        <v>21</v>
      </c>
      <c r="G254" s="4" t="s">
        <v>16</v>
      </c>
      <c r="H254" s="12">
        <v>5.4</v>
      </c>
      <c r="I254" s="7">
        <v>19000</v>
      </c>
      <c r="J254" s="7">
        <f t="shared" si="15"/>
        <v>102600</v>
      </c>
      <c r="K254" s="8" t="s">
        <v>17</v>
      </c>
      <c r="L254" t="str">
        <f>IFERROR(VLOOKUP(F254,MÃ!$A:$B,2,0),0)</f>
        <v>NL300004</v>
      </c>
      <c r="M254" t="str">
        <f t="shared" si="16"/>
        <v>09/01/2026NL300004</v>
      </c>
      <c r="N254" s="15">
        <f>IFERROR(VLOOKUP(M254,'WS3'!$B$2:$Q$437,11,0),0)</f>
        <v>0</v>
      </c>
      <c r="O254" s="17">
        <f>IFERROR(VLOOKUP(M254,'WS3'!$B$2:$Q$437,12,0),0)</f>
        <v>0</v>
      </c>
      <c r="P254" s="17">
        <f t="shared" si="17"/>
        <v>0</v>
      </c>
      <c r="Q254" s="15">
        <f t="shared" si="18"/>
        <v>5.4</v>
      </c>
      <c r="R254" s="17">
        <f t="shared" si="19"/>
        <v>19000</v>
      </c>
      <c r="S254" s="13" t="s">
        <v>540</v>
      </c>
    </row>
    <row r="255" spans="1:19" x14ac:dyDescent="0.25">
      <c r="A255" s="4" t="s">
        <v>156</v>
      </c>
      <c r="B255" s="5" t="s">
        <v>124</v>
      </c>
      <c r="C255" s="4" t="s">
        <v>13</v>
      </c>
      <c r="D255" s="5" t="s">
        <v>157</v>
      </c>
      <c r="E255" s="4" t="s">
        <v>22</v>
      </c>
      <c r="F255" s="4" t="s">
        <v>23</v>
      </c>
      <c r="G255" s="4" t="s">
        <v>16</v>
      </c>
      <c r="H255" s="12">
        <v>2.1</v>
      </c>
      <c r="I255" s="7">
        <v>30000</v>
      </c>
      <c r="J255" s="7">
        <f t="shared" si="15"/>
        <v>63000</v>
      </c>
      <c r="K255" s="8" t="s">
        <v>17</v>
      </c>
      <c r="L255" t="str">
        <f>IFERROR(VLOOKUP(F255,MÃ!$A:$B,2,0),0)</f>
        <v>NL300007</v>
      </c>
      <c r="M255" t="str">
        <f t="shared" si="16"/>
        <v>09/01/2026NL300007</v>
      </c>
      <c r="N255" s="15">
        <f>IFERROR(VLOOKUP(M255,'WS3'!$B$2:$Q$437,11,0),0)</f>
        <v>2.1</v>
      </c>
      <c r="O255" s="17">
        <f>IFERROR(VLOOKUP(M255,'WS3'!$B$2:$Q$437,12,0),0)</f>
        <v>30000</v>
      </c>
      <c r="P255" s="17">
        <f t="shared" si="17"/>
        <v>63000</v>
      </c>
      <c r="Q255" s="15">
        <f t="shared" si="18"/>
        <v>0</v>
      </c>
      <c r="R255" s="17">
        <f t="shared" si="19"/>
        <v>0</v>
      </c>
      <c r="S255" s="13"/>
    </row>
    <row r="256" spans="1:19" x14ac:dyDescent="0.25">
      <c r="A256" s="4" t="s">
        <v>156</v>
      </c>
      <c r="B256" s="5" t="s">
        <v>124</v>
      </c>
      <c r="C256" s="4" t="s">
        <v>13</v>
      </c>
      <c r="D256" s="5" t="s">
        <v>157</v>
      </c>
      <c r="E256" s="4" t="s">
        <v>24</v>
      </c>
      <c r="F256" s="4" t="s">
        <v>25</v>
      </c>
      <c r="G256" s="4" t="s">
        <v>16</v>
      </c>
      <c r="H256" s="12">
        <v>5.2</v>
      </c>
      <c r="I256" s="7">
        <v>40000</v>
      </c>
      <c r="J256" s="7">
        <f t="shared" si="15"/>
        <v>208000</v>
      </c>
      <c r="K256" s="8" t="s">
        <v>17</v>
      </c>
      <c r="L256" t="str">
        <f>IFERROR(VLOOKUP(F256,MÃ!$A:$B,2,0),0)</f>
        <v>NL300008</v>
      </c>
      <c r="M256" t="str">
        <f t="shared" si="16"/>
        <v>09/01/2026NL300008</v>
      </c>
      <c r="N256" s="15">
        <f>IFERROR(VLOOKUP(M256,'WS3'!$B$2:$Q$437,11,0),0)</f>
        <v>4</v>
      </c>
      <c r="O256" s="17">
        <f>IFERROR(VLOOKUP(M256,'WS3'!$B$2:$Q$437,12,0),0)</f>
        <v>40000</v>
      </c>
      <c r="P256" s="17">
        <f t="shared" si="17"/>
        <v>160000</v>
      </c>
      <c r="Q256" s="15">
        <f t="shared" si="18"/>
        <v>1.2000000000000002</v>
      </c>
      <c r="R256" s="17">
        <f t="shared" si="19"/>
        <v>0</v>
      </c>
      <c r="S256" s="13" t="s">
        <v>543</v>
      </c>
    </row>
    <row r="257" spans="1:19" x14ac:dyDescent="0.25">
      <c r="A257" s="4" t="s">
        <v>156</v>
      </c>
      <c r="B257" s="5" t="s">
        <v>124</v>
      </c>
      <c r="C257" s="4" t="s">
        <v>13</v>
      </c>
      <c r="D257" s="5" t="s">
        <v>157</v>
      </c>
      <c r="E257" s="4" t="s">
        <v>126</v>
      </c>
      <c r="F257" s="4" t="s">
        <v>127</v>
      </c>
      <c r="G257" s="4" t="s">
        <v>16</v>
      </c>
      <c r="H257" s="12">
        <v>2.7</v>
      </c>
      <c r="I257" s="7">
        <v>52000</v>
      </c>
      <c r="J257" s="7">
        <f t="shared" si="15"/>
        <v>140400</v>
      </c>
      <c r="K257" s="8" t="s">
        <v>17</v>
      </c>
      <c r="L257" t="str">
        <f>IFERROR(VLOOKUP(F257,MÃ!$A:$B,2,0),0)</f>
        <v>NL300137</v>
      </c>
      <c r="M257" t="str">
        <f t="shared" si="16"/>
        <v>09/01/2026NL300137</v>
      </c>
      <c r="N257" s="15">
        <f>IFERROR(VLOOKUP(M257,'WS3'!$B$2:$Q$437,11,0),0)</f>
        <v>1.7</v>
      </c>
      <c r="O257" s="17">
        <f>IFERROR(VLOOKUP(M257,'WS3'!$B$2:$Q$437,12,0),0)</f>
        <v>52000</v>
      </c>
      <c r="P257" s="17">
        <f t="shared" si="17"/>
        <v>88400</v>
      </c>
      <c r="Q257" s="15">
        <f t="shared" si="18"/>
        <v>1.0000000000000002</v>
      </c>
      <c r="R257" s="17">
        <f t="shared" si="19"/>
        <v>0</v>
      </c>
      <c r="S257" s="13" t="s">
        <v>543</v>
      </c>
    </row>
    <row r="258" spans="1:19" x14ac:dyDescent="0.25">
      <c r="A258" s="4" t="s">
        <v>156</v>
      </c>
      <c r="B258" s="5" t="s">
        <v>124</v>
      </c>
      <c r="C258" s="4" t="s">
        <v>13</v>
      </c>
      <c r="D258" s="5" t="s">
        <v>157</v>
      </c>
      <c r="E258" s="4" t="s">
        <v>26</v>
      </c>
      <c r="F258" s="4" t="s">
        <v>27</v>
      </c>
      <c r="G258" s="4" t="s">
        <v>16</v>
      </c>
      <c r="H258" s="12">
        <v>0.5</v>
      </c>
      <c r="I258" s="7">
        <v>75000</v>
      </c>
      <c r="J258" s="7">
        <f t="shared" si="15"/>
        <v>37500</v>
      </c>
      <c r="K258" s="8" t="s">
        <v>17</v>
      </c>
      <c r="L258" t="str">
        <f>IFERROR(VLOOKUP(F258,MÃ!$A:$B,2,0),0)</f>
        <v>NL300028</v>
      </c>
      <c r="M258" t="str">
        <f t="shared" si="16"/>
        <v>09/01/2026NL300028</v>
      </c>
      <c r="N258" s="15">
        <f>IFERROR(VLOOKUP(M258,'WS3'!$B$2:$Q$437,11,0),0)</f>
        <v>0.3</v>
      </c>
      <c r="O258" s="17">
        <f>IFERROR(VLOOKUP(M258,'WS3'!$B$2:$Q$437,12,0),0)</f>
        <v>75000</v>
      </c>
      <c r="P258" s="17">
        <f t="shared" si="17"/>
        <v>22500</v>
      </c>
      <c r="Q258" s="15">
        <f t="shared" si="18"/>
        <v>0.2</v>
      </c>
      <c r="R258" s="17">
        <f t="shared" si="19"/>
        <v>0</v>
      </c>
      <c r="S258" s="13" t="s">
        <v>543</v>
      </c>
    </row>
    <row r="259" spans="1:19" x14ac:dyDescent="0.25">
      <c r="A259" s="4" t="s">
        <v>156</v>
      </c>
      <c r="B259" s="5" t="s">
        <v>124</v>
      </c>
      <c r="C259" s="4" t="s">
        <v>13</v>
      </c>
      <c r="D259" s="5" t="s">
        <v>157</v>
      </c>
      <c r="E259" s="4" t="s">
        <v>30</v>
      </c>
      <c r="F259" s="4" t="s">
        <v>31</v>
      </c>
      <c r="G259" s="4" t="s">
        <v>16</v>
      </c>
      <c r="H259" s="12">
        <v>1</v>
      </c>
      <c r="I259" s="7">
        <v>38000</v>
      </c>
      <c r="J259" s="7">
        <f t="shared" si="15"/>
        <v>38000</v>
      </c>
      <c r="K259" s="8" t="s">
        <v>17</v>
      </c>
      <c r="L259" t="str">
        <f>IFERROR(VLOOKUP(F259,MÃ!$A:$B,2,0),0)</f>
        <v>NL300054</v>
      </c>
      <c r="M259" t="str">
        <f t="shared" si="16"/>
        <v>09/01/2026NL300054</v>
      </c>
      <c r="N259" s="15">
        <f>IFERROR(VLOOKUP(M259,'WS3'!$B$2:$Q$437,11,0),0)</f>
        <v>1</v>
      </c>
      <c r="O259" s="17">
        <f>IFERROR(VLOOKUP(M259,'WS3'!$B$2:$Q$437,12,0),0)</f>
        <v>38000</v>
      </c>
      <c r="P259" s="17">
        <f t="shared" si="17"/>
        <v>38000</v>
      </c>
      <c r="Q259" s="15">
        <f t="shared" si="18"/>
        <v>0</v>
      </c>
      <c r="R259" s="17">
        <f t="shared" si="19"/>
        <v>0</v>
      </c>
      <c r="S259" s="13"/>
    </row>
    <row r="260" spans="1:19" x14ac:dyDescent="0.25">
      <c r="A260" s="4" t="s">
        <v>156</v>
      </c>
      <c r="B260" s="5" t="s">
        <v>124</v>
      </c>
      <c r="C260" s="4" t="s">
        <v>13</v>
      </c>
      <c r="D260" s="5" t="s">
        <v>157</v>
      </c>
      <c r="E260" s="4" t="s">
        <v>34</v>
      </c>
      <c r="F260" s="4" t="s">
        <v>35</v>
      </c>
      <c r="G260" s="4" t="s">
        <v>16</v>
      </c>
      <c r="H260" s="12">
        <v>2</v>
      </c>
      <c r="I260" s="7">
        <v>32000</v>
      </c>
      <c r="J260" s="7">
        <f t="shared" si="15"/>
        <v>64000</v>
      </c>
      <c r="K260" s="8" t="s">
        <v>17</v>
      </c>
      <c r="L260" t="str">
        <f>IFERROR(VLOOKUP(F260,MÃ!$A:$B,2,0),0)</f>
        <v>NL300038</v>
      </c>
      <c r="M260" t="str">
        <f t="shared" si="16"/>
        <v>09/01/2026NL300038</v>
      </c>
      <c r="N260" s="15">
        <f>IFERROR(VLOOKUP(M260,'WS3'!$B$2:$Q$437,11,0),0)</f>
        <v>2</v>
      </c>
      <c r="O260" s="17">
        <f>IFERROR(VLOOKUP(M260,'WS3'!$B$2:$Q$437,12,0),0)</f>
        <v>32000</v>
      </c>
      <c r="P260" s="17">
        <f t="shared" si="17"/>
        <v>64000</v>
      </c>
      <c r="Q260" s="15">
        <f t="shared" si="18"/>
        <v>0</v>
      </c>
      <c r="R260" s="17">
        <f t="shared" si="19"/>
        <v>0</v>
      </c>
      <c r="S260" s="13"/>
    </row>
    <row r="261" spans="1:19" ht="28.5" x14ac:dyDescent="0.25">
      <c r="A261" s="4" t="s">
        <v>156</v>
      </c>
      <c r="B261" s="5" t="s">
        <v>124</v>
      </c>
      <c r="C261" s="4" t="s">
        <v>13</v>
      </c>
      <c r="D261" s="5" t="s">
        <v>157</v>
      </c>
      <c r="E261" s="4" t="s">
        <v>97</v>
      </c>
      <c r="F261" s="4" t="s">
        <v>98</v>
      </c>
      <c r="G261" s="4" t="s">
        <v>99</v>
      </c>
      <c r="H261" s="12">
        <v>9</v>
      </c>
      <c r="I261" s="7">
        <v>15000</v>
      </c>
      <c r="J261" s="7">
        <f t="shared" si="15"/>
        <v>135000</v>
      </c>
      <c r="K261" s="8" t="s">
        <v>17</v>
      </c>
      <c r="L261" t="str">
        <f>IFERROR(VLOOKUP(F261,MÃ!$A:$B,2,0),0)</f>
        <v>NL300041</v>
      </c>
      <c r="M261" t="str">
        <f t="shared" si="16"/>
        <v>09/01/2026NL300041</v>
      </c>
      <c r="N261" s="15">
        <f>IFERROR(VLOOKUP(M261,'WS3'!$B$2:$Q$437,11,0),0)</f>
        <v>9</v>
      </c>
      <c r="O261" s="17">
        <f>IFERROR(VLOOKUP(M261,'WS3'!$B$2:$Q$437,12,0),0)</f>
        <v>15000</v>
      </c>
      <c r="P261" s="17">
        <f t="shared" si="17"/>
        <v>135000</v>
      </c>
      <c r="Q261" s="15">
        <f t="shared" si="18"/>
        <v>0</v>
      </c>
      <c r="R261" s="17">
        <f t="shared" si="19"/>
        <v>0</v>
      </c>
      <c r="S261" s="13"/>
    </row>
    <row r="262" spans="1:19" x14ac:dyDescent="0.25">
      <c r="A262" s="4" t="s">
        <v>156</v>
      </c>
      <c r="B262" s="5" t="s">
        <v>124</v>
      </c>
      <c r="C262" s="4" t="s">
        <v>13</v>
      </c>
      <c r="D262" s="5" t="s">
        <v>157</v>
      </c>
      <c r="E262" s="4" t="s">
        <v>36</v>
      </c>
      <c r="F262" s="4" t="s">
        <v>37</v>
      </c>
      <c r="G262" s="4" t="s">
        <v>16</v>
      </c>
      <c r="H262" s="12">
        <v>11</v>
      </c>
      <c r="I262" s="7">
        <v>18000</v>
      </c>
      <c r="J262" s="7">
        <f t="shared" si="15"/>
        <v>198000</v>
      </c>
      <c r="K262" s="8" t="s">
        <v>17</v>
      </c>
      <c r="L262" t="str">
        <f>IFERROR(VLOOKUP(F262,MÃ!$A:$B,2,0),0)</f>
        <v>NL600004</v>
      </c>
      <c r="M262" t="str">
        <f t="shared" si="16"/>
        <v>09/01/2026NL600004</v>
      </c>
      <c r="N262" s="15">
        <f>IFERROR(VLOOKUP(M262,'WS3'!$B$2:$Q$437,11,0),0)</f>
        <v>11</v>
      </c>
      <c r="O262" s="17">
        <f>IFERROR(VLOOKUP(M262,'WS3'!$B$2:$Q$437,12,0),0)</f>
        <v>18000</v>
      </c>
      <c r="P262" s="17">
        <f t="shared" si="17"/>
        <v>198000</v>
      </c>
      <c r="Q262" s="15">
        <f t="shared" si="18"/>
        <v>0</v>
      </c>
      <c r="R262" s="17">
        <f t="shared" si="19"/>
        <v>0</v>
      </c>
      <c r="S262" s="13"/>
    </row>
    <row r="263" spans="1:19" x14ac:dyDescent="0.25">
      <c r="A263" s="4" t="s">
        <v>156</v>
      </c>
      <c r="B263" s="5" t="s">
        <v>124</v>
      </c>
      <c r="C263" s="4" t="s">
        <v>13</v>
      </c>
      <c r="D263" s="5" t="s">
        <v>157</v>
      </c>
      <c r="E263" s="4" t="s">
        <v>38</v>
      </c>
      <c r="F263" s="4" t="s">
        <v>39</v>
      </c>
      <c r="G263" s="4" t="s">
        <v>16</v>
      </c>
      <c r="H263" s="12">
        <v>2</v>
      </c>
      <c r="I263" s="7">
        <v>55000</v>
      </c>
      <c r="J263" s="7">
        <f t="shared" si="15"/>
        <v>110000</v>
      </c>
      <c r="K263" s="8" t="s">
        <v>17</v>
      </c>
      <c r="L263" t="str">
        <f>IFERROR(VLOOKUP(F263,MÃ!$A:$B,2,0),0)</f>
        <v>NL300058</v>
      </c>
      <c r="M263" t="str">
        <f t="shared" si="16"/>
        <v>09/01/2026NL300058</v>
      </c>
      <c r="N263" s="15">
        <f>IFERROR(VLOOKUP(M263,'WS3'!$B$2:$Q$437,11,0),0)</f>
        <v>1.2</v>
      </c>
      <c r="O263" s="17">
        <f>IFERROR(VLOOKUP(M263,'WS3'!$B$2:$Q$437,12,0),0)</f>
        <v>55000</v>
      </c>
      <c r="P263" s="17">
        <f t="shared" si="17"/>
        <v>66000</v>
      </c>
      <c r="Q263" s="15">
        <f t="shared" si="18"/>
        <v>0.8</v>
      </c>
      <c r="R263" s="17">
        <f t="shared" si="19"/>
        <v>0</v>
      </c>
      <c r="S263" s="13" t="s">
        <v>543</v>
      </c>
    </row>
    <row r="264" spans="1:19" x14ac:dyDescent="0.25">
      <c r="A264" s="4" t="s">
        <v>156</v>
      </c>
      <c r="B264" s="5" t="s">
        <v>124</v>
      </c>
      <c r="C264" s="4" t="s">
        <v>13</v>
      </c>
      <c r="D264" s="5" t="s">
        <v>157</v>
      </c>
      <c r="E264" s="4" t="s">
        <v>40</v>
      </c>
      <c r="F264" s="4" t="s">
        <v>41</v>
      </c>
      <c r="G264" s="4" t="s">
        <v>16</v>
      </c>
      <c r="H264" s="12">
        <v>0.2</v>
      </c>
      <c r="I264" s="7">
        <v>80000</v>
      </c>
      <c r="J264" s="7">
        <f t="shared" si="15"/>
        <v>16000</v>
      </c>
      <c r="K264" s="8" t="s">
        <v>17</v>
      </c>
      <c r="L264" t="str">
        <f>IFERROR(VLOOKUP(F264,MÃ!$A:$B,2,0),0)</f>
        <v>NL300055</v>
      </c>
      <c r="M264" t="str">
        <f t="shared" si="16"/>
        <v>09/01/2026NL300055</v>
      </c>
      <c r="N264" s="15">
        <f>IFERROR(VLOOKUP(M264,'WS3'!$B$2:$Q$437,11,0),0)</f>
        <v>0.2</v>
      </c>
      <c r="O264" s="17">
        <f>IFERROR(VLOOKUP(M264,'WS3'!$B$2:$Q$437,12,0),0)</f>
        <v>80000</v>
      </c>
      <c r="P264" s="17">
        <f t="shared" si="17"/>
        <v>16000</v>
      </c>
      <c r="Q264" s="15">
        <f t="shared" si="18"/>
        <v>0</v>
      </c>
      <c r="R264" s="17">
        <f t="shared" si="19"/>
        <v>0</v>
      </c>
      <c r="S264" s="13"/>
    </row>
    <row r="265" spans="1:19" x14ac:dyDescent="0.25">
      <c r="A265" s="4" t="s">
        <v>156</v>
      </c>
      <c r="B265" s="5" t="s">
        <v>124</v>
      </c>
      <c r="C265" s="4" t="s">
        <v>13</v>
      </c>
      <c r="D265" s="5" t="s">
        <v>157</v>
      </c>
      <c r="E265" s="4" t="s">
        <v>63</v>
      </c>
      <c r="F265" s="4" t="s">
        <v>64</v>
      </c>
      <c r="G265" s="4" t="s">
        <v>16</v>
      </c>
      <c r="H265" s="12">
        <v>0.1</v>
      </c>
      <c r="I265" s="7">
        <v>65000</v>
      </c>
      <c r="J265" s="7">
        <f t="shared" si="15"/>
        <v>6500</v>
      </c>
      <c r="K265" s="8" t="s">
        <v>17</v>
      </c>
      <c r="L265" t="str">
        <f>IFERROR(VLOOKUP(F265,MÃ!$A:$B,2,0),0)</f>
        <v>NL300062</v>
      </c>
      <c r="M265" t="str">
        <f t="shared" si="16"/>
        <v>09/01/2026NL300062</v>
      </c>
      <c r="N265" s="15">
        <f>IFERROR(VLOOKUP(M265,'WS3'!$B$2:$Q$437,11,0),0)</f>
        <v>0.1</v>
      </c>
      <c r="O265" s="17">
        <f>IFERROR(VLOOKUP(M265,'WS3'!$B$2:$Q$437,12,0),0)</f>
        <v>65000</v>
      </c>
      <c r="P265" s="17">
        <f t="shared" si="17"/>
        <v>6500</v>
      </c>
      <c r="Q265" s="15">
        <f t="shared" si="18"/>
        <v>0</v>
      </c>
      <c r="R265" s="17">
        <f t="shared" si="19"/>
        <v>0</v>
      </c>
      <c r="S265" s="13"/>
    </row>
    <row r="266" spans="1:19" x14ac:dyDescent="0.25">
      <c r="A266" s="4" t="s">
        <v>156</v>
      </c>
      <c r="B266" s="5" t="s">
        <v>124</v>
      </c>
      <c r="C266" s="4" t="s">
        <v>13</v>
      </c>
      <c r="D266" s="5" t="s">
        <v>157</v>
      </c>
      <c r="E266" s="4" t="s">
        <v>73</v>
      </c>
      <c r="F266" s="4" t="s">
        <v>74</v>
      </c>
      <c r="G266" s="4" t="s">
        <v>16</v>
      </c>
      <c r="H266" s="12">
        <v>1</v>
      </c>
      <c r="I266" s="7">
        <v>90000</v>
      </c>
      <c r="J266" s="7">
        <f t="shared" si="15"/>
        <v>90000</v>
      </c>
      <c r="K266" s="8" t="s">
        <v>17</v>
      </c>
      <c r="L266" t="str">
        <f>IFERROR(VLOOKUP(F266,MÃ!$A:$B,2,0),0)</f>
        <v>NL300092</v>
      </c>
      <c r="M266" t="str">
        <f t="shared" si="16"/>
        <v>09/01/2026NL300092</v>
      </c>
      <c r="N266" s="15">
        <f>IFERROR(VLOOKUP(M266,'WS3'!$B$2:$Q$437,11,0),0)</f>
        <v>0.8</v>
      </c>
      <c r="O266" s="17">
        <f>IFERROR(VLOOKUP(M266,'WS3'!$B$2:$Q$437,12,0),0)</f>
        <v>90000</v>
      </c>
      <c r="P266" s="17">
        <f t="shared" si="17"/>
        <v>72000</v>
      </c>
      <c r="Q266" s="15">
        <f t="shared" si="18"/>
        <v>0.19999999999999996</v>
      </c>
      <c r="R266" s="17">
        <f t="shared" si="19"/>
        <v>0</v>
      </c>
      <c r="S266" s="13" t="s">
        <v>543</v>
      </c>
    </row>
    <row r="267" spans="1:19" x14ac:dyDescent="0.25">
      <c r="A267" s="4" t="s">
        <v>156</v>
      </c>
      <c r="B267" s="5" t="s">
        <v>124</v>
      </c>
      <c r="C267" s="4" t="s">
        <v>13</v>
      </c>
      <c r="D267" s="5" t="s">
        <v>157</v>
      </c>
      <c r="E267" s="4" t="s">
        <v>109</v>
      </c>
      <c r="F267" s="4" t="s">
        <v>110</v>
      </c>
      <c r="G267" s="4" t="s">
        <v>16</v>
      </c>
      <c r="H267" s="12">
        <v>0.5</v>
      </c>
      <c r="I267" s="7">
        <v>195000</v>
      </c>
      <c r="J267" s="7">
        <f t="shared" si="15"/>
        <v>97500</v>
      </c>
      <c r="K267" s="8" t="s">
        <v>17</v>
      </c>
      <c r="L267" t="str">
        <f>IFERROR(VLOOKUP(F267,MÃ!$A:$B,2,0),0)</f>
        <v>NL300101</v>
      </c>
      <c r="M267" t="str">
        <f t="shared" si="16"/>
        <v>09/01/2026NL300101</v>
      </c>
      <c r="N267" s="15">
        <f>IFERROR(VLOOKUP(M267,'WS3'!$B$2:$Q$437,11,0),0)</f>
        <v>0.4</v>
      </c>
      <c r="O267" s="17">
        <f>IFERROR(VLOOKUP(M267,'WS3'!$B$2:$Q$437,12,0),0)</f>
        <v>195000</v>
      </c>
      <c r="P267" s="17">
        <f t="shared" si="17"/>
        <v>78000</v>
      </c>
      <c r="Q267" s="15">
        <f t="shared" si="18"/>
        <v>9.9999999999999978E-2</v>
      </c>
      <c r="R267" s="17">
        <f t="shared" si="19"/>
        <v>0</v>
      </c>
      <c r="S267" s="13" t="s">
        <v>543</v>
      </c>
    </row>
    <row r="268" spans="1:19" x14ac:dyDescent="0.25">
      <c r="A268" s="4" t="s">
        <v>156</v>
      </c>
      <c r="B268" s="5" t="s">
        <v>124</v>
      </c>
      <c r="C268" s="4" t="s">
        <v>13</v>
      </c>
      <c r="D268" s="5" t="s">
        <v>157</v>
      </c>
      <c r="E268" s="4" t="s">
        <v>77</v>
      </c>
      <c r="F268" s="4" t="s">
        <v>78</v>
      </c>
      <c r="G268" s="4" t="s">
        <v>16</v>
      </c>
      <c r="H268" s="12">
        <v>2</v>
      </c>
      <c r="I268" s="7">
        <v>45000</v>
      </c>
      <c r="J268" s="7">
        <f t="shared" si="15"/>
        <v>90000</v>
      </c>
      <c r="K268" s="8" t="s">
        <v>17</v>
      </c>
      <c r="L268" t="str">
        <f>IFERROR(VLOOKUP(F268,MÃ!$A:$B,2,0),0)</f>
        <v>NL300085</v>
      </c>
      <c r="M268" t="str">
        <f t="shared" si="16"/>
        <v>09/01/2026NL300085</v>
      </c>
      <c r="N268" s="15">
        <f>IFERROR(VLOOKUP(M268,'WS3'!$B$2:$Q$437,11,0),0)</f>
        <v>2</v>
      </c>
      <c r="O268" s="17">
        <f>IFERROR(VLOOKUP(M268,'WS3'!$B$2:$Q$437,12,0),0)</f>
        <v>45000</v>
      </c>
      <c r="P268" s="17">
        <f t="shared" si="17"/>
        <v>90000</v>
      </c>
      <c r="Q268" s="15">
        <f t="shared" si="18"/>
        <v>0</v>
      </c>
      <c r="R268" s="17">
        <f t="shared" si="19"/>
        <v>0</v>
      </c>
      <c r="S268" s="13"/>
    </row>
    <row r="269" spans="1:19" x14ac:dyDescent="0.25">
      <c r="A269" s="4" t="s">
        <v>156</v>
      </c>
      <c r="B269" s="5" t="s">
        <v>124</v>
      </c>
      <c r="C269" s="4" t="s">
        <v>13</v>
      </c>
      <c r="D269" s="5" t="s">
        <v>157</v>
      </c>
      <c r="E269" s="4" t="s">
        <v>46</v>
      </c>
      <c r="F269" s="4" t="s">
        <v>47</v>
      </c>
      <c r="G269" s="4" t="s">
        <v>16</v>
      </c>
      <c r="H269" s="12">
        <v>0.2</v>
      </c>
      <c r="I269" s="7">
        <v>148000</v>
      </c>
      <c r="J269" s="7">
        <f t="shared" si="15"/>
        <v>29600</v>
      </c>
      <c r="K269" s="8" t="s">
        <v>17</v>
      </c>
      <c r="L269" t="str">
        <f>IFERROR(VLOOKUP(F269,MÃ!$A:$B,2,0),0)</f>
        <v>NL300116</v>
      </c>
      <c r="M269" t="str">
        <f t="shared" si="16"/>
        <v>09/01/2026NL300116</v>
      </c>
      <c r="N269" s="15">
        <f>IFERROR(VLOOKUP(M269,'WS3'!$B$2:$Q$437,11,0),0)</f>
        <v>0.2</v>
      </c>
      <c r="O269" s="17">
        <f>IFERROR(VLOOKUP(M269,'WS3'!$B$2:$Q$437,12,0),0)</f>
        <v>148000</v>
      </c>
      <c r="P269" s="17">
        <f t="shared" si="17"/>
        <v>29600</v>
      </c>
      <c r="Q269" s="15">
        <f t="shared" si="18"/>
        <v>0</v>
      </c>
      <c r="R269" s="17">
        <f t="shared" si="19"/>
        <v>0</v>
      </c>
      <c r="S269" s="13"/>
    </row>
    <row r="270" spans="1:19" x14ac:dyDescent="0.25">
      <c r="A270" s="4" t="s">
        <v>156</v>
      </c>
      <c r="B270" s="5" t="s">
        <v>124</v>
      </c>
      <c r="C270" s="4" t="s">
        <v>13</v>
      </c>
      <c r="D270" s="5" t="s">
        <v>157</v>
      </c>
      <c r="E270" s="4" t="s">
        <v>48</v>
      </c>
      <c r="F270" s="4" t="s">
        <v>49</v>
      </c>
      <c r="G270" s="4" t="s">
        <v>16</v>
      </c>
      <c r="H270" s="12">
        <v>0.5</v>
      </c>
      <c r="I270" s="7">
        <v>42000</v>
      </c>
      <c r="J270" s="7">
        <f t="shared" si="15"/>
        <v>21000</v>
      </c>
      <c r="K270" s="8" t="s">
        <v>17</v>
      </c>
      <c r="L270" t="str">
        <f>IFERROR(VLOOKUP(F270,MÃ!$A:$B,2,0),0)</f>
        <v>NL300125</v>
      </c>
      <c r="M270" t="str">
        <f t="shared" si="16"/>
        <v>09/01/2026NL300125</v>
      </c>
      <c r="N270" s="15">
        <f>IFERROR(VLOOKUP(M270,'WS3'!$B$2:$Q$437,11,0),0)</f>
        <v>0.5</v>
      </c>
      <c r="O270" s="17">
        <f>IFERROR(VLOOKUP(M270,'WS3'!$B$2:$Q$437,12,0),0)</f>
        <v>42000</v>
      </c>
      <c r="P270" s="17">
        <f t="shared" si="17"/>
        <v>21000</v>
      </c>
      <c r="Q270" s="15">
        <f t="shared" si="18"/>
        <v>0</v>
      </c>
      <c r="R270" s="17">
        <f t="shared" si="19"/>
        <v>0</v>
      </c>
      <c r="S270" s="13"/>
    </row>
    <row r="271" spans="1:19" x14ac:dyDescent="0.25">
      <c r="A271" s="4" t="s">
        <v>156</v>
      </c>
      <c r="B271" s="5" t="s">
        <v>124</v>
      </c>
      <c r="C271" s="4" t="s">
        <v>13</v>
      </c>
      <c r="D271" s="5" t="s">
        <v>157</v>
      </c>
      <c r="E271" s="4" t="s">
        <v>85</v>
      </c>
      <c r="F271" s="4" t="s">
        <v>86</v>
      </c>
      <c r="G271" s="4" t="s">
        <v>16</v>
      </c>
      <c r="H271" s="12">
        <v>2</v>
      </c>
      <c r="I271" s="7">
        <v>50000</v>
      </c>
      <c r="J271" s="7">
        <f t="shared" si="15"/>
        <v>100000</v>
      </c>
      <c r="K271" s="8" t="s">
        <v>17</v>
      </c>
      <c r="L271" t="str">
        <f>IFERROR(VLOOKUP(F271,MÃ!$A:$B,2,0),0)</f>
        <v>NL300142</v>
      </c>
      <c r="M271" t="str">
        <f t="shared" si="16"/>
        <v>09/01/2026NL300142</v>
      </c>
      <c r="N271" s="15">
        <f>IFERROR(VLOOKUP(M271,'WS3'!$B$2:$Q$437,11,0),0)</f>
        <v>2</v>
      </c>
      <c r="O271" s="17">
        <f>IFERROR(VLOOKUP(M271,'WS3'!$B$2:$Q$437,12,0),0)</f>
        <v>50000</v>
      </c>
      <c r="P271" s="17">
        <f t="shared" si="17"/>
        <v>100000</v>
      </c>
      <c r="Q271" s="15">
        <f t="shared" si="18"/>
        <v>0</v>
      </c>
      <c r="R271" s="17">
        <f t="shared" si="19"/>
        <v>0</v>
      </c>
      <c r="S271" s="13"/>
    </row>
    <row r="272" spans="1:19" x14ac:dyDescent="0.25">
      <c r="A272" s="4" t="s">
        <v>156</v>
      </c>
      <c r="B272" s="5" t="s">
        <v>124</v>
      </c>
      <c r="C272" s="4" t="s">
        <v>13</v>
      </c>
      <c r="D272" s="5" t="s">
        <v>157</v>
      </c>
      <c r="E272" s="4" t="s">
        <v>135</v>
      </c>
      <c r="F272" s="4" t="s">
        <v>136</v>
      </c>
      <c r="G272" s="4" t="s">
        <v>108</v>
      </c>
      <c r="H272" s="12">
        <v>50</v>
      </c>
      <c r="I272" s="7">
        <v>9000</v>
      </c>
      <c r="J272" s="7">
        <f t="shared" ref="J272:J335" si="20">H272*I272</f>
        <v>450000</v>
      </c>
      <c r="K272" s="8" t="s">
        <v>17</v>
      </c>
      <c r="L272" t="str">
        <f>IFERROR(VLOOKUP(F272,MÃ!$A:$B,2,0),0)</f>
        <v>NL100279</v>
      </c>
      <c r="M272" t="str">
        <f t="shared" ref="M272:M274" si="21">"0"&amp;DAY(A272)&amp;"/01/2026"&amp;L272</f>
        <v>09/01/2026NL100279</v>
      </c>
      <c r="N272" s="15">
        <f>IFERROR(VLOOKUP(M272,'WS3'!$B$2:$Q$437,11,0),0)</f>
        <v>50</v>
      </c>
      <c r="O272" s="17">
        <f>IFERROR(VLOOKUP(M272,'WS3'!$B$2:$Q$437,12,0),0)</f>
        <v>9000</v>
      </c>
      <c r="P272" s="17">
        <f t="shared" ref="P272:P335" si="22">N272*O272</f>
        <v>450000</v>
      </c>
      <c r="Q272" s="15">
        <f t="shared" ref="Q272:Q335" si="23">H272-N272</f>
        <v>0</v>
      </c>
      <c r="R272" s="17">
        <f t="shared" ref="R272:R335" si="24">I272-O272</f>
        <v>0</v>
      </c>
      <c r="S272" s="13"/>
    </row>
    <row r="273" spans="1:19" x14ac:dyDescent="0.25">
      <c r="A273" s="4" t="s">
        <v>156</v>
      </c>
      <c r="B273" s="5" t="s">
        <v>124</v>
      </c>
      <c r="C273" s="4" t="s">
        <v>13</v>
      </c>
      <c r="D273" s="5" t="s">
        <v>157</v>
      </c>
      <c r="E273" s="4" t="s">
        <v>87</v>
      </c>
      <c r="F273" s="4" t="s">
        <v>88</v>
      </c>
      <c r="G273" s="4" t="s">
        <v>16</v>
      </c>
      <c r="H273" s="12">
        <v>0.2</v>
      </c>
      <c r="I273" s="7">
        <v>220000</v>
      </c>
      <c r="J273" s="7">
        <f t="shared" si="20"/>
        <v>44000</v>
      </c>
      <c r="K273" s="8" t="s">
        <v>17</v>
      </c>
      <c r="L273" t="str">
        <f>IFERROR(VLOOKUP(F273,MÃ!$A:$B,2,0),0)</f>
        <v>NL300131</v>
      </c>
      <c r="M273" t="str">
        <f t="shared" si="21"/>
        <v>09/01/2026NL300131</v>
      </c>
      <c r="N273" s="15">
        <f>IFERROR(VLOOKUP(M273,'WS3'!$B$2:$Q$437,11,0),0)</f>
        <v>0.2</v>
      </c>
      <c r="O273" s="17">
        <f>IFERROR(VLOOKUP(M273,'WS3'!$B$2:$Q$437,12,0),0)</f>
        <v>220000</v>
      </c>
      <c r="P273" s="17">
        <f t="shared" si="22"/>
        <v>44000</v>
      </c>
      <c r="Q273" s="15">
        <f t="shared" si="23"/>
        <v>0</v>
      </c>
      <c r="R273" s="17">
        <f t="shared" si="24"/>
        <v>0</v>
      </c>
      <c r="S273" s="13"/>
    </row>
    <row r="274" spans="1:19" x14ac:dyDescent="0.25">
      <c r="A274" s="4" t="s">
        <v>156</v>
      </c>
      <c r="B274" s="5" t="s">
        <v>124</v>
      </c>
      <c r="C274" s="4" t="s">
        <v>13</v>
      </c>
      <c r="D274" s="5" t="s">
        <v>157</v>
      </c>
      <c r="E274" s="4" t="s">
        <v>54</v>
      </c>
      <c r="F274" s="4" t="s">
        <v>55</v>
      </c>
      <c r="G274" s="4" t="s">
        <v>16</v>
      </c>
      <c r="H274" s="12">
        <v>2</v>
      </c>
      <c r="I274" s="7">
        <v>62000</v>
      </c>
      <c r="J274" s="7">
        <f t="shared" si="20"/>
        <v>124000</v>
      </c>
      <c r="K274" s="8" t="s">
        <v>17</v>
      </c>
      <c r="L274" t="str">
        <f>IFERROR(VLOOKUP(F274,MÃ!$A:$B,2,0),0)</f>
        <v>NL300147</v>
      </c>
      <c r="M274" t="str">
        <f t="shared" si="21"/>
        <v>09/01/2026NL300147</v>
      </c>
      <c r="N274" s="15">
        <f>IFERROR(VLOOKUP(M274,'WS3'!$B$2:$Q$437,11,0),0)</f>
        <v>1.2</v>
      </c>
      <c r="O274" s="17">
        <f>IFERROR(VLOOKUP(M274,'WS3'!$B$2:$Q$437,12,0),0)</f>
        <v>62000</v>
      </c>
      <c r="P274" s="17">
        <f t="shared" si="22"/>
        <v>74400</v>
      </c>
      <c r="Q274" s="15">
        <f t="shared" si="23"/>
        <v>0.8</v>
      </c>
      <c r="R274" s="17">
        <f t="shared" si="24"/>
        <v>0</v>
      </c>
      <c r="S274" s="13" t="s">
        <v>543</v>
      </c>
    </row>
    <row r="275" spans="1:19" ht="28.5" x14ac:dyDescent="0.25">
      <c r="A275" s="4" t="s">
        <v>158</v>
      </c>
      <c r="B275" s="5" t="s">
        <v>124</v>
      </c>
      <c r="C275" s="4" t="s">
        <v>13</v>
      </c>
      <c r="D275" s="5" t="s">
        <v>159</v>
      </c>
      <c r="E275" s="4" t="s">
        <v>56</v>
      </c>
      <c r="F275" s="4" t="s">
        <v>57</v>
      </c>
      <c r="G275" s="4" t="s">
        <v>58</v>
      </c>
      <c r="H275" s="12">
        <v>10</v>
      </c>
      <c r="I275" s="7">
        <v>8500</v>
      </c>
      <c r="J275" s="7">
        <f t="shared" si="20"/>
        <v>85000</v>
      </c>
      <c r="K275" s="8" t="s">
        <v>17</v>
      </c>
      <c r="L275" t="str">
        <f>IFERROR(VLOOKUP(F275,MÃ!$A:$B,2,0),0)</f>
        <v>NL300107</v>
      </c>
      <c r="M275" t="str">
        <f>""&amp;DAY(A275)&amp;"/01/2026"&amp;L275</f>
        <v>10/01/2026NL300107</v>
      </c>
      <c r="N275" s="15">
        <f>IFERROR(VLOOKUP(M275,'WS3'!$B$2:$Q$437,11,0),0)</f>
        <v>10</v>
      </c>
      <c r="O275" s="17">
        <f>IFERROR(VLOOKUP(M275,'WS3'!$B$2:$Q$437,12,0),0)</f>
        <v>8500</v>
      </c>
      <c r="P275" s="17">
        <f t="shared" si="22"/>
        <v>85000</v>
      </c>
      <c r="Q275" s="15">
        <f t="shared" si="23"/>
        <v>0</v>
      </c>
      <c r="R275" s="17">
        <f t="shared" si="24"/>
        <v>0</v>
      </c>
      <c r="S275" s="13"/>
    </row>
    <row r="276" spans="1:19" x14ac:dyDescent="0.25">
      <c r="A276" s="4" t="s">
        <v>158</v>
      </c>
      <c r="B276" s="5" t="s">
        <v>124</v>
      </c>
      <c r="C276" s="4" t="s">
        <v>13</v>
      </c>
      <c r="D276" s="5" t="s">
        <v>159</v>
      </c>
      <c r="E276" s="4" t="s">
        <v>22</v>
      </c>
      <c r="F276" s="4" t="s">
        <v>23</v>
      </c>
      <c r="G276" s="4" t="s">
        <v>16</v>
      </c>
      <c r="H276" s="12">
        <v>4.0999999999999996</v>
      </c>
      <c r="I276" s="7">
        <v>30000</v>
      </c>
      <c r="J276" s="7">
        <f t="shared" si="20"/>
        <v>122999.99999999999</v>
      </c>
      <c r="K276" s="8" t="s">
        <v>17</v>
      </c>
      <c r="L276" t="str">
        <f>IFERROR(VLOOKUP(F276,MÃ!$A:$B,2,0),0)</f>
        <v>NL300007</v>
      </c>
      <c r="M276" t="str">
        <f t="shared" ref="M276:M339" si="25">""&amp;DAY(A276)&amp;"/01/2026"&amp;L276</f>
        <v>10/01/2026NL300007</v>
      </c>
      <c r="N276" s="15">
        <f>IFERROR(VLOOKUP(M276,'WS3'!$B$2:$Q$437,11,0),0)</f>
        <v>4.0999999999999996</v>
      </c>
      <c r="O276" s="17">
        <f>IFERROR(VLOOKUP(M276,'WS3'!$B$2:$Q$437,12,0),0)</f>
        <v>30000</v>
      </c>
      <c r="P276" s="17">
        <f t="shared" si="22"/>
        <v>122999.99999999999</v>
      </c>
      <c r="Q276" s="15">
        <f t="shared" si="23"/>
        <v>0</v>
      </c>
      <c r="R276" s="17">
        <f t="shared" si="24"/>
        <v>0</v>
      </c>
      <c r="S276" s="13"/>
    </row>
    <row r="277" spans="1:19" x14ac:dyDescent="0.25">
      <c r="A277" s="4" t="s">
        <v>158</v>
      </c>
      <c r="B277" s="5" t="s">
        <v>124</v>
      </c>
      <c r="C277" s="4" t="s">
        <v>13</v>
      </c>
      <c r="D277" s="5" t="s">
        <v>159</v>
      </c>
      <c r="E277" s="4" t="s">
        <v>24</v>
      </c>
      <c r="F277" s="4" t="s">
        <v>25</v>
      </c>
      <c r="G277" s="4" t="s">
        <v>16</v>
      </c>
      <c r="H277" s="12">
        <v>6.4</v>
      </c>
      <c r="I277" s="7">
        <v>40000</v>
      </c>
      <c r="J277" s="7">
        <f t="shared" si="20"/>
        <v>256000</v>
      </c>
      <c r="K277" s="8" t="s">
        <v>17</v>
      </c>
      <c r="L277" t="str">
        <f>IFERROR(VLOOKUP(F277,MÃ!$A:$B,2,0),0)</f>
        <v>NL300008</v>
      </c>
      <c r="M277" t="str">
        <f t="shared" si="25"/>
        <v>10/01/2026NL300008</v>
      </c>
      <c r="N277" s="15">
        <f>IFERROR(VLOOKUP(M277,'WS3'!$B$2:$Q$437,11,0),0)</f>
        <v>4</v>
      </c>
      <c r="O277" s="17">
        <f>IFERROR(VLOOKUP(M277,'WS3'!$B$2:$Q$437,12,0),0)</f>
        <v>40000</v>
      </c>
      <c r="P277" s="17">
        <f t="shared" si="22"/>
        <v>160000</v>
      </c>
      <c r="Q277" s="15">
        <f t="shared" si="23"/>
        <v>2.4000000000000004</v>
      </c>
      <c r="R277" s="17">
        <f t="shared" si="24"/>
        <v>0</v>
      </c>
      <c r="S277" s="13" t="s">
        <v>543</v>
      </c>
    </row>
    <row r="278" spans="1:19" x14ac:dyDescent="0.25">
      <c r="A278" s="4" t="s">
        <v>158</v>
      </c>
      <c r="B278" s="5" t="s">
        <v>124</v>
      </c>
      <c r="C278" s="4" t="s">
        <v>13</v>
      </c>
      <c r="D278" s="5" t="s">
        <v>159</v>
      </c>
      <c r="E278" s="4" t="s">
        <v>126</v>
      </c>
      <c r="F278" s="4" t="s">
        <v>127</v>
      </c>
      <c r="G278" s="4" t="s">
        <v>16</v>
      </c>
      <c r="H278" s="12">
        <v>3.2</v>
      </c>
      <c r="I278" s="7">
        <v>52000</v>
      </c>
      <c r="J278" s="7">
        <f t="shared" si="20"/>
        <v>166400</v>
      </c>
      <c r="K278" s="8" t="s">
        <v>17</v>
      </c>
      <c r="L278" t="str">
        <f>IFERROR(VLOOKUP(F278,MÃ!$A:$B,2,0),0)</f>
        <v>NL300137</v>
      </c>
      <c r="M278" t="str">
        <f t="shared" si="25"/>
        <v>10/01/2026NL300137</v>
      </c>
      <c r="N278" s="15">
        <f>IFERROR(VLOOKUP(M278,'WS3'!$B$2:$Q$437,11,0),0)</f>
        <v>2.5</v>
      </c>
      <c r="O278" s="17">
        <f>IFERROR(VLOOKUP(M278,'WS3'!$B$2:$Q$437,12,0),0)</f>
        <v>52000</v>
      </c>
      <c r="P278" s="17">
        <f t="shared" si="22"/>
        <v>130000</v>
      </c>
      <c r="Q278" s="15">
        <f t="shared" si="23"/>
        <v>0.70000000000000018</v>
      </c>
      <c r="R278" s="17">
        <f t="shared" si="24"/>
        <v>0</v>
      </c>
      <c r="S278" s="13" t="s">
        <v>543</v>
      </c>
    </row>
    <row r="279" spans="1:19" ht="42.75" x14ac:dyDescent="0.25">
      <c r="A279" s="4" t="s">
        <v>158</v>
      </c>
      <c r="B279" s="5" t="s">
        <v>124</v>
      </c>
      <c r="C279" s="4" t="s">
        <v>13</v>
      </c>
      <c r="D279" s="5" t="s">
        <v>159</v>
      </c>
      <c r="E279" s="4" t="s">
        <v>28</v>
      </c>
      <c r="F279" s="4" t="s">
        <v>29</v>
      </c>
      <c r="G279" s="4" t="s">
        <v>16</v>
      </c>
      <c r="H279" s="12">
        <v>2</v>
      </c>
      <c r="I279" s="7">
        <v>30000</v>
      </c>
      <c r="J279" s="7">
        <f t="shared" si="20"/>
        <v>60000</v>
      </c>
      <c r="K279" s="8" t="s">
        <v>17</v>
      </c>
      <c r="L279" t="str">
        <f>IFERROR(VLOOKUP(F279,MÃ!$A:$B,2,0),0)</f>
        <v>NL300020</v>
      </c>
      <c r="M279" t="str">
        <f t="shared" si="25"/>
        <v>10/01/2026NL300020</v>
      </c>
      <c r="N279" s="15">
        <f>IFERROR(VLOOKUP(M279,'WS3'!$B$2:$Q$437,11,0),0)</f>
        <v>1</v>
      </c>
      <c r="O279" s="17">
        <f>IFERROR(VLOOKUP(M279,'WS3'!$B$2:$Q$437,12,0),0)</f>
        <v>30000</v>
      </c>
      <c r="P279" s="17">
        <f t="shared" si="22"/>
        <v>30000</v>
      </c>
      <c r="Q279" s="15">
        <f t="shared" si="23"/>
        <v>1</v>
      </c>
      <c r="R279" s="17">
        <f t="shared" si="24"/>
        <v>0</v>
      </c>
      <c r="S279" s="13" t="s">
        <v>543</v>
      </c>
    </row>
    <row r="280" spans="1:19" x14ac:dyDescent="0.25">
      <c r="A280" s="4" t="s">
        <v>158</v>
      </c>
      <c r="B280" s="5" t="s">
        <v>124</v>
      </c>
      <c r="C280" s="4" t="s">
        <v>13</v>
      </c>
      <c r="D280" s="5" t="s">
        <v>159</v>
      </c>
      <c r="E280" s="4" t="s">
        <v>59</v>
      </c>
      <c r="F280" s="4" t="s">
        <v>60</v>
      </c>
      <c r="G280" s="4" t="s">
        <v>16</v>
      </c>
      <c r="H280" s="12">
        <v>0.8</v>
      </c>
      <c r="I280" s="7">
        <v>75000</v>
      </c>
      <c r="J280" s="7">
        <f t="shared" si="20"/>
        <v>60000</v>
      </c>
      <c r="K280" s="8" t="s">
        <v>17</v>
      </c>
      <c r="L280" t="str">
        <f>IFERROR(VLOOKUP(F280,MÃ!$A:$B,2,0),0)</f>
        <v>NL600067</v>
      </c>
      <c r="M280" t="str">
        <f t="shared" si="25"/>
        <v>10/01/2026NL600067</v>
      </c>
      <c r="N280" s="15">
        <f>IFERROR(VLOOKUP(M280,'WS3'!$B$2:$Q$437,11,0),0)</f>
        <v>0.8</v>
      </c>
      <c r="O280" s="17">
        <f>IFERROR(VLOOKUP(M280,'WS3'!$B$2:$Q$437,12,0),0)</f>
        <v>75000</v>
      </c>
      <c r="P280" s="17">
        <f t="shared" si="22"/>
        <v>60000</v>
      </c>
      <c r="Q280" s="15">
        <f t="shared" si="23"/>
        <v>0</v>
      </c>
      <c r="R280" s="17">
        <f t="shared" si="24"/>
        <v>0</v>
      </c>
      <c r="S280" s="13"/>
    </row>
    <row r="281" spans="1:19" x14ac:dyDescent="0.25">
      <c r="A281" s="4" t="s">
        <v>158</v>
      </c>
      <c r="B281" s="5" t="s">
        <v>124</v>
      </c>
      <c r="C281" s="4" t="s">
        <v>13</v>
      </c>
      <c r="D281" s="5" t="s">
        <v>159</v>
      </c>
      <c r="E281" s="4" t="s">
        <v>89</v>
      </c>
      <c r="F281" s="4" t="s">
        <v>90</v>
      </c>
      <c r="G281" s="4" t="s">
        <v>16</v>
      </c>
      <c r="H281" s="12">
        <v>0.9</v>
      </c>
      <c r="I281" s="7">
        <v>44000</v>
      </c>
      <c r="J281" s="7">
        <f t="shared" si="20"/>
        <v>39600</v>
      </c>
      <c r="K281" s="8" t="s">
        <v>17</v>
      </c>
      <c r="L281" t="str">
        <f>IFERROR(VLOOKUP(F281,MÃ!$A:$B,2,0),0)</f>
        <v>NL300025</v>
      </c>
      <c r="M281" t="str">
        <f t="shared" si="25"/>
        <v>10/01/2026NL300025</v>
      </c>
      <c r="N281" s="15">
        <f>IFERROR(VLOOKUP(M281,'WS3'!$B$2:$Q$437,11,0),0)</f>
        <v>0.9</v>
      </c>
      <c r="O281" s="17">
        <f>IFERROR(VLOOKUP(M281,'WS3'!$B$2:$Q$437,12,0),0)</f>
        <v>44000</v>
      </c>
      <c r="P281" s="17">
        <f t="shared" si="22"/>
        <v>39600</v>
      </c>
      <c r="Q281" s="15">
        <f t="shared" si="23"/>
        <v>0</v>
      </c>
      <c r="R281" s="17">
        <f t="shared" si="24"/>
        <v>0</v>
      </c>
      <c r="S281" s="13"/>
    </row>
    <row r="282" spans="1:19" x14ac:dyDescent="0.25">
      <c r="A282" s="4" t="s">
        <v>158</v>
      </c>
      <c r="B282" s="5" t="s">
        <v>124</v>
      </c>
      <c r="C282" s="4" t="s">
        <v>13</v>
      </c>
      <c r="D282" s="5" t="s">
        <v>159</v>
      </c>
      <c r="E282" s="4" t="s">
        <v>91</v>
      </c>
      <c r="F282" s="4" t="s">
        <v>92</v>
      </c>
      <c r="G282" s="4" t="s">
        <v>16</v>
      </c>
      <c r="H282" s="12">
        <v>1.2</v>
      </c>
      <c r="I282" s="7">
        <v>34000</v>
      </c>
      <c r="J282" s="7">
        <f t="shared" si="20"/>
        <v>40800</v>
      </c>
      <c r="K282" s="8" t="s">
        <v>17</v>
      </c>
      <c r="L282" t="str">
        <f>IFERROR(VLOOKUP(F282,MÃ!$A:$B,2,0),0)</f>
        <v>NL300030</v>
      </c>
      <c r="M282" t="str">
        <f t="shared" si="25"/>
        <v>10/01/2026NL300030</v>
      </c>
      <c r="N282" s="15">
        <f>IFERROR(VLOOKUP(M282,'WS3'!$B$2:$Q$437,11,0),0)</f>
        <v>1.2</v>
      </c>
      <c r="O282" s="17">
        <f>IFERROR(VLOOKUP(M282,'WS3'!$B$2:$Q$437,12,0),0)</f>
        <v>34000</v>
      </c>
      <c r="P282" s="17">
        <f t="shared" si="22"/>
        <v>40800</v>
      </c>
      <c r="Q282" s="15">
        <f t="shared" si="23"/>
        <v>0</v>
      </c>
      <c r="R282" s="17">
        <f t="shared" si="24"/>
        <v>0</v>
      </c>
      <c r="S282" s="13"/>
    </row>
    <row r="283" spans="1:19" x14ac:dyDescent="0.25">
      <c r="A283" s="4" t="s">
        <v>158</v>
      </c>
      <c r="B283" s="5" t="s">
        <v>124</v>
      </c>
      <c r="C283" s="4" t="s">
        <v>13</v>
      </c>
      <c r="D283" s="5" t="s">
        <v>159</v>
      </c>
      <c r="E283" s="4" t="s">
        <v>93</v>
      </c>
      <c r="F283" s="4" t="s">
        <v>94</v>
      </c>
      <c r="G283" s="4" t="s">
        <v>16</v>
      </c>
      <c r="H283" s="12">
        <v>0.3</v>
      </c>
      <c r="I283" s="7">
        <v>95000</v>
      </c>
      <c r="J283" s="7">
        <f t="shared" si="20"/>
        <v>28500</v>
      </c>
      <c r="K283" s="8" t="s">
        <v>17</v>
      </c>
      <c r="L283" t="str">
        <f>IFERROR(VLOOKUP(F283,MÃ!$A:$B,2,0),0)</f>
        <v>NL600068</v>
      </c>
      <c r="M283" t="str">
        <f t="shared" si="25"/>
        <v>10/01/2026NL600068</v>
      </c>
      <c r="N283" s="15">
        <f>IFERROR(VLOOKUP(M283,'WS3'!$B$2:$Q$437,11,0),0)</f>
        <v>0.3</v>
      </c>
      <c r="O283" s="17">
        <f>IFERROR(VLOOKUP(M283,'WS3'!$B$2:$Q$437,12,0),0)</f>
        <v>95000</v>
      </c>
      <c r="P283" s="17">
        <f t="shared" si="22"/>
        <v>28500</v>
      </c>
      <c r="Q283" s="15">
        <f t="shared" si="23"/>
        <v>0</v>
      </c>
      <c r="R283" s="17">
        <f t="shared" si="24"/>
        <v>0</v>
      </c>
      <c r="S283" s="13"/>
    </row>
    <row r="284" spans="1:19" x14ac:dyDescent="0.25">
      <c r="A284" s="4" t="s">
        <v>158</v>
      </c>
      <c r="B284" s="5" t="s">
        <v>124</v>
      </c>
      <c r="C284" s="4" t="s">
        <v>13</v>
      </c>
      <c r="D284" s="5" t="s">
        <v>159</v>
      </c>
      <c r="E284" s="4" t="s">
        <v>30</v>
      </c>
      <c r="F284" s="4" t="s">
        <v>31</v>
      </c>
      <c r="G284" s="4" t="s">
        <v>16</v>
      </c>
      <c r="H284" s="12">
        <v>1</v>
      </c>
      <c r="I284" s="7">
        <v>38000</v>
      </c>
      <c r="J284" s="7">
        <f t="shared" si="20"/>
        <v>38000</v>
      </c>
      <c r="K284" s="8" t="s">
        <v>17</v>
      </c>
      <c r="L284" t="str">
        <f>IFERROR(VLOOKUP(F284,MÃ!$A:$B,2,0),0)</f>
        <v>NL300054</v>
      </c>
      <c r="M284" t="str">
        <f t="shared" si="25"/>
        <v>10/01/2026NL300054</v>
      </c>
      <c r="N284" s="15">
        <f>IFERROR(VLOOKUP(M284,'WS3'!$B$2:$Q$437,11,0),0)</f>
        <v>1</v>
      </c>
      <c r="O284" s="17">
        <f>IFERROR(VLOOKUP(M284,'WS3'!$B$2:$Q$437,12,0),0)</f>
        <v>38000</v>
      </c>
      <c r="P284" s="17">
        <f t="shared" si="22"/>
        <v>38000</v>
      </c>
      <c r="Q284" s="15">
        <f t="shared" si="23"/>
        <v>0</v>
      </c>
      <c r="R284" s="17">
        <f t="shared" si="24"/>
        <v>0</v>
      </c>
      <c r="S284" s="13"/>
    </row>
    <row r="285" spans="1:19" x14ac:dyDescent="0.25">
      <c r="A285" s="4" t="s">
        <v>158</v>
      </c>
      <c r="B285" s="5" t="s">
        <v>124</v>
      </c>
      <c r="C285" s="4" t="s">
        <v>13</v>
      </c>
      <c r="D285" s="5" t="s">
        <v>159</v>
      </c>
      <c r="E285" s="4" t="s">
        <v>32</v>
      </c>
      <c r="F285" s="4" t="s">
        <v>33</v>
      </c>
      <c r="G285" s="4" t="s">
        <v>16</v>
      </c>
      <c r="H285" s="12">
        <v>0.2</v>
      </c>
      <c r="I285" s="7">
        <v>25000</v>
      </c>
      <c r="J285" s="7">
        <f t="shared" si="20"/>
        <v>5000</v>
      </c>
      <c r="K285" s="8" t="s">
        <v>17</v>
      </c>
      <c r="L285" t="str">
        <f>IFERROR(VLOOKUP(F285,MÃ!$A:$B,2,0),0)</f>
        <v>NL300035</v>
      </c>
      <c r="M285" t="str">
        <f t="shared" si="25"/>
        <v>10/01/2026NL300035</v>
      </c>
      <c r="N285" s="15">
        <f>IFERROR(VLOOKUP(M285,'WS3'!$B$2:$Q$437,11,0),0)</f>
        <v>0.2</v>
      </c>
      <c r="O285" s="17">
        <f>IFERROR(VLOOKUP(M285,'WS3'!$B$2:$Q$437,12,0),0)</f>
        <v>25000</v>
      </c>
      <c r="P285" s="17">
        <f t="shared" si="22"/>
        <v>5000</v>
      </c>
      <c r="Q285" s="15">
        <f t="shared" si="23"/>
        <v>0</v>
      </c>
      <c r="R285" s="17">
        <f t="shared" si="24"/>
        <v>0</v>
      </c>
      <c r="S285" s="13"/>
    </row>
    <row r="286" spans="1:19" x14ac:dyDescent="0.25">
      <c r="A286" s="4" t="s">
        <v>158</v>
      </c>
      <c r="B286" s="5" t="s">
        <v>124</v>
      </c>
      <c r="C286" s="4" t="s">
        <v>13</v>
      </c>
      <c r="D286" s="5" t="s">
        <v>159</v>
      </c>
      <c r="E286" s="4" t="s">
        <v>95</v>
      </c>
      <c r="F286" s="4" t="s">
        <v>96</v>
      </c>
      <c r="G286" s="4" t="s">
        <v>16</v>
      </c>
      <c r="H286" s="12">
        <v>1</v>
      </c>
      <c r="I286" s="7">
        <v>47000</v>
      </c>
      <c r="J286" s="7">
        <f t="shared" si="20"/>
        <v>47000</v>
      </c>
      <c r="K286" s="8" t="s">
        <v>17</v>
      </c>
      <c r="L286" t="str">
        <f>IFERROR(VLOOKUP(F286,MÃ!$A:$B,2,0),0)</f>
        <v>NL300036</v>
      </c>
      <c r="M286" t="str">
        <f t="shared" si="25"/>
        <v>10/01/2026NL300036</v>
      </c>
      <c r="N286" s="15">
        <f>IFERROR(VLOOKUP(M286,'WS3'!$B$2:$Q$437,11,0),0)</f>
        <v>1</v>
      </c>
      <c r="O286" s="17">
        <f>IFERROR(VLOOKUP(M286,'WS3'!$B$2:$Q$437,12,0),0)</f>
        <v>47000</v>
      </c>
      <c r="P286" s="17">
        <f t="shared" si="22"/>
        <v>47000</v>
      </c>
      <c r="Q286" s="15">
        <f t="shared" si="23"/>
        <v>0</v>
      </c>
      <c r="R286" s="17">
        <f t="shared" si="24"/>
        <v>0</v>
      </c>
      <c r="S286" s="13"/>
    </row>
    <row r="287" spans="1:19" x14ac:dyDescent="0.25">
      <c r="A287" s="4" t="s">
        <v>158</v>
      </c>
      <c r="B287" s="5" t="s">
        <v>124</v>
      </c>
      <c r="C287" s="4" t="s">
        <v>13</v>
      </c>
      <c r="D287" s="5" t="s">
        <v>159</v>
      </c>
      <c r="E287" s="4" t="s">
        <v>34</v>
      </c>
      <c r="F287" s="4" t="s">
        <v>35</v>
      </c>
      <c r="G287" s="4" t="s">
        <v>16</v>
      </c>
      <c r="H287" s="12">
        <v>2</v>
      </c>
      <c r="I287" s="7">
        <v>32000</v>
      </c>
      <c r="J287" s="7">
        <f t="shared" si="20"/>
        <v>64000</v>
      </c>
      <c r="K287" s="8" t="s">
        <v>17</v>
      </c>
      <c r="L287" t="str">
        <f>IFERROR(VLOOKUP(F287,MÃ!$A:$B,2,0),0)</f>
        <v>NL300038</v>
      </c>
      <c r="M287" t="str">
        <f t="shared" si="25"/>
        <v>10/01/2026NL300038</v>
      </c>
      <c r="N287" s="15">
        <f>IFERROR(VLOOKUP(M287,'WS3'!$B$2:$Q$437,11,0),0)</f>
        <v>2</v>
      </c>
      <c r="O287" s="17">
        <f>IFERROR(VLOOKUP(M287,'WS3'!$B$2:$Q$437,12,0),0)</f>
        <v>32000</v>
      </c>
      <c r="P287" s="17">
        <f t="shared" si="22"/>
        <v>64000</v>
      </c>
      <c r="Q287" s="15">
        <f t="shared" si="23"/>
        <v>0</v>
      </c>
      <c r="R287" s="17">
        <f t="shared" si="24"/>
        <v>0</v>
      </c>
      <c r="S287" s="13"/>
    </row>
    <row r="288" spans="1:19" x14ac:dyDescent="0.25">
      <c r="A288" s="4" t="s">
        <v>158</v>
      </c>
      <c r="B288" s="5" t="s">
        <v>124</v>
      </c>
      <c r="C288" s="4" t="s">
        <v>13</v>
      </c>
      <c r="D288" s="5" t="s">
        <v>159</v>
      </c>
      <c r="E288" s="4" t="s">
        <v>36</v>
      </c>
      <c r="F288" s="4" t="s">
        <v>37</v>
      </c>
      <c r="G288" s="4" t="s">
        <v>16</v>
      </c>
      <c r="H288" s="12">
        <v>18.5</v>
      </c>
      <c r="I288" s="7">
        <v>18000</v>
      </c>
      <c r="J288" s="7">
        <f t="shared" si="20"/>
        <v>333000</v>
      </c>
      <c r="K288" s="8" t="s">
        <v>17</v>
      </c>
      <c r="L288" t="str">
        <f>IFERROR(VLOOKUP(F288,MÃ!$A:$B,2,0),0)</f>
        <v>NL600004</v>
      </c>
      <c r="M288" t="str">
        <f t="shared" si="25"/>
        <v>10/01/2026NL600004</v>
      </c>
      <c r="N288" s="15">
        <f>IFERROR(VLOOKUP(M288,'WS3'!$B$2:$Q$437,11,0),0)</f>
        <v>18.5</v>
      </c>
      <c r="O288" s="17">
        <f>IFERROR(VLOOKUP(M288,'WS3'!$B$2:$Q$437,12,0),0)</f>
        <v>18000</v>
      </c>
      <c r="P288" s="17">
        <f t="shared" si="22"/>
        <v>333000</v>
      </c>
      <c r="Q288" s="15">
        <f t="shared" si="23"/>
        <v>0</v>
      </c>
      <c r="R288" s="17">
        <f t="shared" si="24"/>
        <v>0</v>
      </c>
      <c r="S288" s="13"/>
    </row>
    <row r="289" spans="1:19" x14ac:dyDescent="0.25">
      <c r="A289" s="4" t="s">
        <v>158</v>
      </c>
      <c r="B289" s="5" t="s">
        <v>124</v>
      </c>
      <c r="C289" s="4" t="s">
        <v>13</v>
      </c>
      <c r="D289" s="5" t="s">
        <v>159</v>
      </c>
      <c r="E289" s="4" t="s">
        <v>38</v>
      </c>
      <c r="F289" s="4" t="s">
        <v>39</v>
      </c>
      <c r="G289" s="4" t="s">
        <v>16</v>
      </c>
      <c r="H289" s="12">
        <v>3</v>
      </c>
      <c r="I289" s="7">
        <v>55000</v>
      </c>
      <c r="J289" s="7">
        <f t="shared" si="20"/>
        <v>165000</v>
      </c>
      <c r="K289" s="8" t="s">
        <v>17</v>
      </c>
      <c r="L289" t="str">
        <f>IFERROR(VLOOKUP(F289,MÃ!$A:$B,2,0),0)</f>
        <v>NL300058</v>
      </c>
      <c r="M289" t="str">
        <f t="shared" si="25"/>
        <v>10/01/2026NL300058</v>
      </c>
      <c r="N289" s="15">
        <f>IFERROR(VLOOKUP(M289,'WS3'!$B$2:$Q$437,11,0),0)</f>
        <v>2</v>
      </c>
      <c r="O289" s="17">
        <f>IFERROR(VLOOKUP(M289,'WS3'!$B$2:$Q$437,12,0),0)</f>
        <v>55000</v>
      </c>
      <c r="P289" s="17">
        <f t="shared" si="22"/>
        <v>110000</v>
      </c>
      <c r="Q289" s="15">
        <f t="shared" si="23"/>
        <v>1</v>
      </c>
      <c r="R289" s="17">
        <f t="shared" si="24"/>
        <v>0</v>
      </c>
      <c r="S289" s="13" t="s">
        <v>543</v>
      </c>
    </row>
    <row r="290" spans="1:19" x14ac:dyDescent="0.25">
      <c r="A290" s="4" t="s">
        <v>158</v>
      </c>
      <c r="B290" s="5" t="s">
        <v>124</v>
      </c>
      <c r="C290" s="4" t="s">
        <v>13</v>
      </c>
      <c r="D290" s="5" t="s">
        <v>159</v>
      </c>
      <c r="E290" s="4" t="s">
        <v>113</v>
      </c>
      <c r="F290" s="4" t="s">
        <v>114</v>
      </c>
      <c r="G290" s="4" t="s">
        <v>16</v>
      </c>
      <c r="H290" s="12">
        <v>0.5</v>
      </c>
      <c r="I290" s="7">
        <v>13000</v>
      </c>
      <c r="J290" s="7">
        <f t="shared" si="20"/>
        <v>6500</v>
      </c>
      <c r="K290" s="8" t="s">
        <v>17</v>
      </c>
      <c r="L290" t="str">
        <f>IFERROR(VLOOKUP(F290,MÃ!$A:$B,2,0),0)</f>
        <v>NL300059</v>
      </c>
      <c r="M290" t="str">
        <f t="shared" si="25"/>
        <v>10/01/2026NL300059</v>
      </c>
      <c r="N290" s="15">
        <f>IFERROR(VLOOKUP(M290,'WS3'!$B$2:$Q$437,11,0),0)</f>
        <v>0.5</v>
      </c>
      <c r="O290" s="17">
        <f>IFERROR(VLOOKUP(M290,'WS3'!$B$2:$Q$437,12,0),0)</f>
        <v>13000</v>
      </c>
      <c r="P290" s="17">
        <f t="shared" si="22"/>
        <v>6500</v>
      </c>
      <c r="Q290" s="15">
        <f t="shared" si="23"/>
        <v>0</v>
      </c>
      <c r="R290" s="17">
        <f t="shared" si="24"/>
        <v>0</v>
      </c>
      <c r="S290" s="13"/>
    </row>
    <row r="291" spans="1:19" x14ac:dyDescent="0.25">
      <c r="A291" s="4" t="s">
        <v>158</v>
      </c>
      <c r="B291" s="5" t="s">
        <v>124</v>
      </c>
      <c r="C291" s="4" t="s">
        <v>13</v>
      </c>
      <c r="D291" s="5" t="s">
        <v>159</v>
      </c>
      <c r="E291" s="4" t="s">
        <v>63</v>
      </c>
      <c r="F291" s="4" t="s">
        <v>64</v>
      </c>
      <c r="G291" s="4" t="s">
        <v>16</v>
      </c>
      <c r="H291" s="12">
        <v>0.1</v>
      </c>
      <c r="I291" s="7">
        <v>65000</v>
      </c>
      <c r="J291" s="7">
        <f t="shared" si="20"/>
        <v>6500</v>
      </c>
      <c r="K291" s="8" t="s">
        <v>17</v>
      </c>
      <c r="L291" t="str">
        <f>IFERROR(VLOOKUP(F291,MÃ!$A:$B,2,0),0)</f>
        <v>NL300062</v>
      </c>
      <c r="M291" t="str">
        <f t="shared" si="25"/>
        <v>10/01/2026NL300062</v>
      </c>
      <c r="N291" s="15">
        <f>IFERROR(VLOOKUP(M291,'WS3'!$B$2:$Q$437,11,0),0)</f>
        <v>0.1</v>
      </c>
      <c r="O291" s="17">
        <f>IFERROR(VLOOKUP(M291,'WS3'!$B$2:$Q$437,12,0),0)</f>
        <v>65000</v>
      </c>
      <c r="P291" s="17">
        <f t="shared" si="22"/>
        <v>6500</v>
      </c>
      <c r="Q291" s="15">
        <f t="shared" si="23"/>
        <v>0</v>
      </c>
      <c r="R291" s="17">
        <f t="shared" si="24"/>
        <v>0</v>
      </c>
      <c r="S291" s="13"/>
    </row>
    <row r="292" spans="1:19" x14ac:dyDescent="0.25">
      <c r="A292" s="4" t="s">
        <v>158</v>
      </c>
      <c r="B292" s="5" t="s">
        <v>124</v>
      </c>
      <c r="C292" s="4" t="s">
        <v>13</v>
      </c>
      <c r="D292" s="5" t="s">
        <v>159</v>
      </c>
      <c r="E292" s="4" t="s">
        <v>65</v>
      </c>
      <c r="F292" s="4" t="s">
        <v>66</v>
      </c>
      <c r="G292" s="4" t="s">
        <v>16</v>
      </c>
      <c r="H292" s="12">
        <v>0.7</v>
      </c>
      <c r="I292" s="7">
        <v>23000</v>
      </c>
      <c r="J292" s="7">
        <f t="shared" si="20"/>
        <v>16099.999999999998</v>
      </c>
      <c r="K292" s="8" t="s">
        <v>17</v>
      </c>
      <c r="L292" t="str">
        <f>IFERROR(VLOOKUP(F292,MÃ!$A:$B,2,0),0)</f>
        <v>NL300070</v>
      </c>
      <c r="M292" t="str">
        <f t="shared" si="25"/>
        <v>10/01/2026NL300070</v>
      </c>
      <c r="N292" s="15">
        <f>IFERROR(VLOOKUP(M292,'WS3'!$B$2:$Q$437,11,0),0)</f>
        <v>0.7</v>
      </c>
      <c r="O292" s="17">
        <f>IFERROR(VLOOKUP(M292,'WS3'!$B$2:$Q$437,12,0),0)</f>
        <v>23000</v>
      </c>
      <c r="P292" s="17">
        <f t="shared" si="22"/>
        <v>16099.999999999998</v>
      </c>
      <c r="Q292" s="15">
        <f t="shared" si="23"/>
        <v>0</v>
      </c>
      <c r="R292" s="17">
        <f t="shared" si="24"/>
        <v>0</v>
      </c>
      <c r="S292" s="13"/>
    </row>
    <row r="293" spans="1:19" x14ac:dyDescent="0.25">
      <c r="A293" s="4" t="s">
        <v>158</v>
      </c>
      <c r="B293" s="5" t="s">
        <v>124</v>
      </c>
      <c r="C293" s="4" t="s">
        <v>13</v>
      </c>
      <c r="D293" s="5" t="s">
        <v>159</v>
      </c>
      <c r="E293" s="4" t="s">
        <v>67</v>
      </c>
      <c r="F293" s="4" t="s">
        <v>68</v>
      </c>
      <c r="G293" s="4" t="s">
        <v>16</v>
      </c>
      <c r="H293" s="12">
        <v>0.3</v>
      </c>
      <c r="I293" s="7">
        <v>18000</v>
      </c>
      <c r="J293" s="7">
        <f t="shared" si="20"/>
        <v>5400</v>
      </c>
      <c r="K293" s="8" t="s">
        <v>17</v>
      </c>
      <c r="L293" t="str">
        <f>IFERROR(VLOOKUP(F293,MÃ!$A:$B,2,0),0)</f>
        <v>NL300184</v>
      </c>
      <c r="M293" t="str">
        <f t="shared" si="25"/>
        <v>10/01/2026NL300184</v>
      </c>
      <c r="N293" s="15">
        <f>IFERROR(VLOOKUP(M293,'WS3'!$B$2:$Q$437,11,0),0)</f>
        <v>0.3</v>
      </c>
      <c r="O293" s="17">
        <f>IFERROR(VLOOKUP(M293,'WS3'!$B$2:$Q$437,12,0),0)</f>
        <v>18000</v>
      </c>
      <c r="P293" s="17">
        <f t="shared" si="22"/>
        <v>5400</v>
      </c>
      <c r="Q293" s="15">
        <f t="shared" si="23"/>
        <v>0</v>
      </c>
      <c r="R293" s="17">
        <f t="shared" si="24"/>
        <v>0</v>
      </c>
      <c r="S293" s="13"/>
    </row>
    <row r="294" spans="1:19" x14ac:dyDescent="0.25">
      <c r="A294" s="4" t="s">
        <v>158</v>
      </c>
      <c r="B294" s="5" t="s">
        <v>124</v>
      </c>
      <c r="C294" s="4" t="s">
        <v>13</v>
      </c>
      <c r="D294" s="5" t="s">
        <v>159</v>
      </c>
      <c r="E294" s="4" t="s">
        <v>14</v>
      </c>
      <c r="F294" s="4" t="s">
        <v>15</v>
      </c>
      <c r="G294" s="4" t="s">
        <v>16</v>
      </c>
      <c r="H294" s="12">
        <v>7</v>
      </c>
      <c r="I294" s="7">
        <v>27000</v>
      </c>
      <c r="J294" s="7">
        <f t="shared" si="20"/>
        <v>189000</v>
      </c>
      <c r="K294" s="8" t="s">
        <v>17</v>
      </c>
      <c r="L294" t="str">
        <f>IFERROR(VLOOKUP(F294,MÃ!$A:$B,2,0),0)</f>
        <v>NL300088</v>
      </c>
      <c r="M294" t="str">
        <f t="shared" si="25"/>
        <v>10/01/2026NL300088</v>
      </c>
      <c r="N294" s="15">
        <f>IFERROR(VLOOKUP(M294,'WS3'!$B$2:$Q$437,11,0),0)</f>
        <v>5</v>
      </c>
      <c r="O294" s="17">
        <f>IFERROR(VLOOKUP(M294,'WS3'!$B$2:$Q$437,12,0),0)</f>
        <v>27000</v>
      </c>
      <c r="P294" s="17">
        <f t="shared" si="22"/>
        <v>135000</v>
      </c>
      <c r="Q294" s="15">
        <f t="shared" si="23"/>
        <v>2</v>
      </c>
      <c r="R294" s="17">
        <f t="shared" si="24"/>
        <v>0</v>
      </c>
      <c r="S294" s="13" t="s">
        <v>543</v>
      </c>
    </row>
    <row r="295" spans="1:19" ht="28.5" x14ac:dyDescent="0.25">
      <c r="A295" s="4" t="s">
        <v>158</v>
      </c>
      <c r="B295" s="5" t="s">
        <v>124</v>
      </c>
      <c r="C295" s="4" t="s">
        <v>13</v>
      </c>
      <c r="D295" s="5" t="s">
        <v>159</v>
      </c>
      <c r="E295" s="4" t="s">
        <v>69</v>
      </c>
      <c r="F295" s="4" t="s">
        <v>70</v>
      </c>
      <c r="G295" s="4" t="s">
        <v>16</v>
      </c>
      <c r="H295" s="12">
        <v>5</v>
      </c>
      <c r="I295" s="7">
        <v>145000</v>
      </c>
      <c r="J295" s="7">
        <f t="shared" si="20"/>
        <v>725000</v>
      </c>
      <c r="K295" s="8" t="s">
        <v>17</v>
      </c>
      <c r="L295" t="str">
        <f>IFERROR(VLOOKUP(F295,MÃ!$A:$B,2,0),0)</f>
        <v>NL300090</v>
      </c>
      <c r="M295" t="str">
        <f t="shared" si="25"/>
        <v>10/01/2026NL300090</v>
      </c>
      <c r="N295" s="15">
        <f>IFERROR(VLOOKUP(M295,'WS3'!$B$2:$Q$437,11,0),0)</f>
        <v>4.4000000000000004</v>
      </c>
      <c r="O295" s="17">
        <f>IFERROR(VLOOKUP(M295,'WS3'!$B$2:$Q$437,12,0),0)</f>
        <v>145000</v>
      </c>
      <c r="P295" s="17">
        <f t="shared" si="22"/>
        <v>638000</v>
      </c>
      <c r="Q295" s="15">
        <f t="shared" si="23"/>
        <v>0.59999999999999964</v>
      </c>
      <c r="R295" s="17">
        <f t="shared" si="24"/>
        <v>0</v>
      </c>
      <c r="S295" s="13" t="s">
        <v>543</v>
      </c>
    </row>
    <row r="296" spans="1:19" x14ac:dyDescent="0.25">
      <c r="A296" s="4" t="s">
        <v>158</v>
      </c>
      <c r="B296" s="5" t="s">
        <v>124</v>
      </c>
      <c r="C296" s="4" t="s">
        <v>13</v>
      </c>
      <c r="D296" s="5" t="s">
        <v>159</v>
      </c>
      <c r="E296" s="4" t="s">
        <v>73</v>
      </c>
      <c r="F296" s="4" t="s">
        <v>74</v>
      </c>
      <c r="G296" s="4" t="s">
        <v>16</v>
      </c>
      <c r="H296" s="12">
        <v>1</v>
      </c>
      <c r="I296" s="7">
        <v>90000</v>
      </c>
      <c r="J296" s="7">
        <f t="shared" si="20"/>
        <v>90000</v>
      </c>
      <c r="K296" s="8" t="s">
        <v>17</v>
      </c>
      <c r="L296" t="str">
        <f>IFERROR(VLOOKUP(F296,MÃ!$A:$B,2,0),0)</f>
        <v>NL300092</v>
      </c>
      <c r="M296" t="str">
        <f t="shared" si="25"/>
        <v>10/01/2026NL300092</v>
      </c>
      <c r="N296" s="15">
        <f>IFERROR(VLOOKUP(M296,'WS3'!$B$2:$Q$437,11,0),0)</f>
        <v>0.8</v>
      </c>
      <c r="O296" s="17">
        <f>IFERROR(VLOOKUP(M296,'WS3'!$B$2:$Q$437,12,0),0)</f>
        <v>90000</v>
      </c>
      <c r="P296" s="17">
        <f t="shared" si="22"/>
        <v>72000</v>
      </c>
      <c r="Q296" s="15">
        <f t="shared" si="23"/>
        <v>0.19999999999999996</v>
      </c>
      <c r="R296" s="17">
        <f t="shared" si="24"/>
        <v>0</v>
      </c>
      <c r="S296" s="13" t="s">
        <v>543</v>
      </c>
    </row>
    <row r="297" spans="1:19" ht="28.5" x14ac:dyDescent="0.25">
      <c r="A297" s="4" t="s">
        <v>158</v>
      </c>
      <c r="B297" s="5" t="s">
        <v>124</v>
      </c>
      <c r="C297" s="4" t="s">
        <v>13</v>
      </c>
      <c r="D297" s="5" t="s">
        <v>159</v>
      </c>
      <c r="E297" s="4" t="s">
        <v>44</v>
      </c>
      <c r="F297" s="4" t="s">
        <v>45</v>
      </c>
      <c r="G297" s="4" t="s">
        <v>16</v>
      </c>
      <c r="H297" s="12">
        <v>5</v>
      </c>
      <c r="I297" s="7">
        <v>45000</v>
      </c>
      <c r="J297" s="7">
        <f t="shared" si="20"/>
        <v>225000</v>
      </c>
      <c r="K297" s="8" t="s">
        <v>17</v>
      </c>
      <c r="L297" t="str">
        <f>IFERROR(VLOOKUP(F297,MÃ!$A:$B,2,0),0)</f>
        <v>NL300096</v>
      </c>
      <c r="M297" t="str">
        <f t="shared" si="25"/>
        <v>10/01/2026NL300096</v>
      </c>
      <c r="N297" s="15">
        <f>IFERROR(VLOOKUP(M297,'WS3'!$B$2:$Q$437,11,0),0)</f>
        <v>4.7</v>
      </c>
      <c r="O297" s="17">
        <f>IFERROR(VLOOKUP(M297,'WS3'!$B$2:$Q$437,12,0),0)</f>
        <v>45000</v>
      </c>
      <c r="P297" s="17">
        <f t="shared" si="22"/>
        <v>211500</v>
      </c>
      <c r="Q297" s="15">
        <f t="shared" si="23"/>
        <v>0.29999999999999982</v>
      </c>
      <c r="R297" s="17">
        <f t="shared" si="24"/>
        <v>0</v>
      </c>
      <c r="S297" s="13" t="s">
        <v>543</v>
      </c>
    </row>
    <row r="298" spans="1:19" ht="28.5" x14ac:dyDescent="0.25">
      <c r="A298" s="4" t="s">
        <v>158</v>
      </c>
      <c r="B298" s="5" t="s">
        <v>124</v>
      </c>
      <c r="C298" s="4" t="s">
        <v>13</v>
      </c>
      <c r="D298" s="5" t="s">
        <v>159</v>
      </c>
      <c r="E298" s="4" t="s">
        <v>75</v>
      </c>
      <c r="F298" s="4" t="s">
        <v>76</v>
      </c>
      <c r="G298" s="4" t="s">
        <v>16</v>
      </c>
      <c r="H298" s="12">
        <v>0.5</v>
      </c>
      <c r="I298" s="7">
        <v>90000</v>
      </c>
      <c r="J298" s="7">
        <f t="shared" si="20"/>
        <v>45000</v>
      </c>
      <c r="K298" s="8" t="s">
        <v>17</v>
      </c>
      <c r="L298" t="str">
        <f>IFERROR(VLOOKUP(F298,MÃ!$A:$B,2,0),0)</f>
        <v>NL300097</v>
      </c>
      <c r="M298" t="str">
        <f t="shared" si="25"/>
        <v>10/01/2026NL300097</v>
      </c>
      <c r="N298" s="15">
        <f>IFERROR(VLOOKUP(M298,'WS3'!$B$2:$Q$437,11,0),0)</f>
        <v>0.5</v>
      </c>
      <c r="O298" s="17">
        <f>IFERROR(VLOOKUP(M298,'WS3'!$B$2:$Q$437,12,0),0)</f>
        <v>90000</v>
      </c>
      <c r="P298" s="17">
        <f t="shared" si="22"/>
        <v>45000</v>
      </c>
      <c r="Q298" s="15">
        <f t="shared" si="23"/>
        <v>0</v>
      </c>
      <c r="R298" s="17">
        <f t="shared" si="24"/>
        <v>0</v>
      </c>
      <c r="S298" s="13"/>
    </row>
    <row r="299" spans="1:19" x14ac:dyDescent="0.25">
      <c r="A299" s="4" t="s">
        <v>158</v>
      </c>
      <c r="B299" s="5" t="s">
        <v>124</v>
      </c>
      <c r="C299" s="4" t="s">
        <v>13</v>
      </c>
      <c r="D299" s="5" t="s">
        <v>159</v>
      </c>
      <c r="E299" s="4" t="s">
        <v>77</v>
      </c>
      <c r="F299" s="4" t="s">
        <v>78</v>
      </c>
      <c r="G299" s="4" t="s">
        <v>16</v>
      </c>
      <c r="H299" s="12">
        <v>2</v>
      </c>
      <c r="I299" s="7">
        <v>45000</v>
      </c>
      <c r="J299" s="7">
        <f t="shared" si="20"/>
        <v>90000</v>
      </c>
      <c r="K299" s="8" t="s">
        <v>17</v>
      </c>
      <c r="L299" t="str">
        <f>IFERROR(VLOOKUP(F299,MÃ!$A:$B,2,0),0)</f>
        <v>NL300085</v>
      </c>
      <c r="M299" t="str">
        <f t="shared" si="25"/>
        <v>10/01/2026NL300085</v>
      </c>
      <c r="N299" s="15">
        <f>IFERROR(VLOOKUP(M299,'WS3'!$B$2:$Q$437,11,0),0)</f>
        <v>1</v>
      </c>
      <c r="O299" s="17">
        <f>IFERROR(VLOOKUP(M299,'WS3'!$B$2:$Q$437,12,0),0)</f>
        <v>45000</v>
      </c>
      <c r="P299" s="17">
        <f t="shared" si="22"/>
        <v>45000</v>
      </c>
      <c r="Q299" s="15">
        <f t="shared" si="23"/>
        <v>1</v>
      </c>
      <c r="R299" s="17">
        <f t="shared" si="24"/>
        <v>0</v>
      </c>
      <c r="S299" s="13" t="s">
        <v>543</v>
      </c>
    </row>
    <row r="300" spans="1:19" x14ac:dyDescent="0.25">
      <c r="A300" s="4" t="s">
        <v>158</v>
      </c>
      <c r="B300" s="5" t="s">
        <v>124</v>
      </c>
      <c r="C300" s="4" t="s">
        <v>13</v>
      </c>
      <c r="D300" s="5" t="s">
        <v>159</v>
      </c>
      <c r="E300" s="4" t="s">
        <v>79</v>
      </c>
      <c r="F300" s="4" t="s">
        <v>80</v>
      </c>
      <c r="G300" s="4" t="s">
        <v>16</v>
      </c>
      <c r="H300" s="12">
        <v>0.1</v>
      </c>
      <c r="I300" s="7">
        <v>70000</v>
      </c>
      <c r="J300" s="7">
        <f t="shared" si="20"/>
        <v>7000</v>
      </c>
      <c r="K300" s="8" t="s">
        <v>17</v>
      </c>
      <c r="L300" t="str">
        <f>IFERROR(VLOOKUP(F300,MÃ!$A:$B,2,0),0)</f>
        <v>NL300126</v>
      </c>
      <c r="M300" t="str">
        <f t="shared" si="25"/>
        <v>10/01/2026NL300126</v>
      </c>
      <c r="N300" s="15">
        <f>IFERROR(VLOOKUP(M300,'WS3'!$B$2:$Q$437,11,0),0)</f>
        <v>0.1</v>
      </c>
      <c r="O300" s="17">
        <f>IFERROR(VLOOKUP(M300,'WS3'!$B$2:$Q$437,12,0),0)</f>
        <v>70000</v>
      </c>
      <c r="P300" s="17">
        <f t="shared" si="22"/>
        <v>7000</v>
      </c>
      <c r="Q300" s="15">
        <f t="shared" si="23"/>
        <v>0</v>
      </c>
      <c r="R300" s="17">
        <f t="shared" si="24"/>
        <v>0</v>
      </c>
      <c r="S300" s="13"/>
    </row>
    <row r="301" spans="1:19" x14ac:dyDescent="0.25">
      <c r="A301" s="4" t="s">
        <v>158</v>
      </c>
      <c r="B301" s="5" t="s">
        <v>124</v>
      </c>
      <c r="C301" s="4" t="s">
        <v>13</v>
      </c>
      <c r="D301" s="5" t="s">
        <v>159</v>
      </c>
      <c r="E301" s="4" t="s">
        <v>102</v>
      </c>
      <c r="F301" s="4" t="s">
        <v>103</v>
      </c>
      <c r="G301" s="4" t="s">
        <v>16</v>
      </c>
      <c r="H301" s="12">
        <v>1</v>
      </c>
      <c r="I301" s="7">
        <v>145000</v>
      </c>
      <c r="J301" s="7">
        <f t="shared" si="20"/>
        <v>145000</v>
      </c>
      <c r="K301" s="8" t="s">
        <v>17</v>
      </c>
      <c r="L301" t="str">
        <f>IFERROR(VLOOKUP(F301,MÃ!$A:$B,2,0),0)</f>
        <v>NL300113</v>
      </c>
      <c r="M301" t="str">
        <f t="shared" si="25"/>
        <v>10/01/2026NL300113</v>
      </c>
      <c r="N301" s="15">
        <f>IFERROR(VLOOKUP(M301,'WS3'!$B$2:$Q$437,11,0),0)</f>
        <v>0.8</v>
      </c>
      <c r="O301" s="17">
        <f>IFERROR(VLOOKUP(M301,'WS3'!$B$2:$Q$437,12,0),0)</f>
        <v>145000</v>
      </c>
      <c r="P301" s="17">
        <f t="shared" si="22"/>
        <v>116000</v>
      </c>
      <c r="Q301" s="15">
        <f t="shared" si="23"/>
        <v>0.19999999999999996</v>
      </c>
      <c r="R301" s="17">
        <f t="shared" si="24"/>
        <v>0</v>
      </c>
      <c r="S301" s="13" t="s">
        <v>543</v>
      </c>
    </row>
    <row r="302" spans="1:19" x14ac:dyDescent="0.25">
      <c r="A302" s="4" t="s">
        <v>158</v>
      </c>
      <c r="B302" s="5" t="s">
        <v>124</v>
      </c>
      <c r="C302" s="4" t="s">
        <v>13</v>
      </c>
      <c r="D302" s="5" t="s">
        <v>159</v>
      </c>
      <c r="E302" s="4" t="s">
        <v>48</v>
      </c>
      <c r="F302" s="4" t="s">
        <v>49</v>
      </c>
      <c r="G302" s="4" t="s">
        <v>16</v>
      </c>
      <c r="H302" s="12">
        <v>0.5</v>
      </c>
      <c r="I302" s="7">
        <v>42000</v>
      </c>
      <c r="J302" s="7">
        <f t="shared" si="20"/>
        <v>21000</v>
      </c>
      <c r="K302" s="8" t="s">
        <v>17</v>
      </c>
      <c r="L302" t="str">
        <f>IFERROR(VLOOKUP(F302,MÃ!$A:$B,2,0),0)</f>
        <v>NL300125</v>
      </c>
      <c r="M302" t="str">
        <f t="shared" si="25"/>
        <v>10/01/2026NL300125</v>
      </c>
      <c r="N302" s="15">
        <f>IFERROR(VLOOKUP(M302,'WS3'!$B$2:$Q$437,11,0),0)</f>
        <v>0.5</v>
      </c>
      <c r="O302" s="17">
        <f>IFERROR(VLOOKUP(M302,'WS3'!$B$2:$Q$437,12,0),0)</f>
        <v>42000</v>
      </c>
      <c r="P302" s="17">
        <f t="shared" si="22"/>
        <v>21000</v>
      </c>
      <c r="Q302" s="15">
        <f t="shared" si="23"/>
        <v>0</v>
      </c>
      <c r="R302" s="17">
        <f t="shared" si="24"/>
        <v>0</v>
      </c>
      <c r="S302" s="13"/>
    </row>
    <row r="303" spans="1:19" x14ac:dyDescent="0.25">
      <c r="A303" s="4" t="s">
        <v>158</v>
      </c>
      <c r="B303" s="5" t="s">
        <v>124</v>
      </c>
      <c r="C303" s="4" t="s">
        <v>13</v>
      </c>
      <c r="D303" s="5" t="s">
        <v>159</v>
      </c>
      <c r="E303" s="4" t="s">
        <v>50</v>
      </c>
      <c r="F303" s="4" t="s">
        <v>51</v>
      </c>
      <c r="G303" s="4" t="s">
        <v>16</v>
      </c>
      <c r="H303" s="12">
        <v>0.1</v>
      </c>
      <c r="I303" s="7">
        <v>22000</v>
      </c>
      <c r="J303" s="7">
        <f t="shared" si="20"/>
        <v>2200</v>
      </c>
      <c r="K303" s="8" t="s">
        <v>17</v>
      </c>
      <c r="L303" t="str">
        <f>IFERROR(VLOOKUP(F303,MÃ!$A:$B,2,0),0)</f>
        <v>NL300121</v>
      </c>
      <c r="M303" t="str">
        <f t="shared" si="25"/>
        <v>10/01/2026NL300121</v>
      </c>
      <c r="N303" s="15">
        <f>IFERROR(VLOOKUP(M303,'WS3'!$B$2:$Q$437,11,0),0)</f>
        <v>0.1</v>
      </c>
      <c r="O303" s="17">
        <f>IFERROR(VLOOKUP(M303,'WS3'!$B$2:$Q$437,12,0),0)</f>
        <v>22000</v>
      </c>
      <c r="P303" s="17">
        <f t="shared" si="22"/>
        <v>2200</v>
      </c>
      <c r="Q303" s="15">
        <f t="shared" si="23"/>
        <v>0</v>
      </c>
      <c r="R303" s="17">
        <f t="shared" si="24"/>
        <v>0</v>
      </c>
      <c r="S303" s="13"/>
    </row>
    <row r="304" spans="1:19" x14ac:dyDescent="0.25">
      <c r="A304" s="4" t="s">
        <v>158</v>
      </c>
      <c r="B304" s="5" t="s">
        <v>124</v>
      </c>
      <c r="C304" s="4" t="s">
        <v>13</v>
      </c>
      <c r="D304" s="5" t="s">
        <v>159</v>
      </c>
      <c r="E304" s="4" t="s">
        <v>133</v>
      </c>
      <c r="F304" s="4" t="s">
        <v>134</v>
      </c>
      <c r="G304" s="4" t="s">
        <v>16</v>
      </c>
      <c r="H304" s="12">
        <v>0.5</v>
      </c>
      <c r="I304" s="7">
        <v>36000</v>
      </c>
      <c r="J304" s="7">
        <f t="shared" si="20"/>
        <v>18000</v>
      </c>
      <c r="K304" s="8" t="s">
        <v>17</v>
      </c>
      <c r="L304" t="str">
        <f>IFERROR(VLOOKUP(F304,MÃ!$A:$B,2,0),0)</f>
        <v>NL300140</v>
      </c>
      <c r="M304" t="str">
        <f t="shared" si="25"/>
        <v>10/01/2026NL300140</v>
      </c>
      <c r="N304" s="15">
        <f>IFERROR(VLOOKUP(M304,'WS3'!$B$2:$Q$437,11,0),0)</f>
        <v>0.5</v>
      </c>
      <c r="O304" s="17">
        <f>IFERROR(VLOOKUP(M304,'WS3'!$B$2:$Q$437,12,0),0)</f>
        <v>36000</v>
      </c>
      <c r="P304" s="17">
        <f t="shared" si="22"/>
        <v>18000</v>
      </c>
      <c r="Q304" s="15">
        <f t="shared" si="23"/>
        <v>0</v>
      </c>
      <c r="R304" s="17">
        <f t="shared" si="24"/>
        <v>0</v>
      </c>
      <c r="S304" s="13"/>
    </row>
    <row r="305" spans="1:19" x14ac:dyDescent="0.25">
      <c r="A305" s="4" t="s">
        <v>158</v>
      </c>
      <c r="B305" s="5" t="s">
        <v>124</v>
      </c>
      <c r="C305" s="4" t="s">
        <v>13</v>
      </c>
      <c r="D305" s="5" t="s">
        <v>159</v>
      </c>
      <c r="E305" s="4" t="s">
        <v>52</v>
      </c>
      <c r="F305" s="4" t="s">
        <v>53</v>
      </c>
      <c r="G305" s="4" t="s">
        <v>16</v>
      </c>
      <c r="H305" s="12">
        <v>1</v>
      </c>
      <c r="I305" s="7">
        <v>21000</v>
      </c>
      <c r="J305" s="7">
        <f t="shared" si="20"/>
        <v>21000</v>
      </c>
      <c r="K305" s="8" t="s">
        <v>17</v>
      </c>
      <c r="L305" t="str">
        <f>IFERROR(VLOOKUP(F305,MÃ!$A:$B,2,0),0)</f>
        <v>NL300119</v>
      </c>
      <c r="M305" t="str">
        <f t="shared" si="25"/>
        <v>10/01/2026NL300119</v>
      </c>
      <c r="N305" s="15">
        <f>IFERROR(VLOOKUP(M305,'WS3'!$B$2:$Q$437,11,0),0)</f>
        <v>1</v>
      </c>
      <c r="O305" s="17">
        <f>IFERROR(VLOOKUP(M305,'WS3'!$B$2:$Q$437,12,0),0)</f>
        <v>21000</v>
      </c>
      <c r="P305" s="17">
        <f t="shared" si="22"/>
        <v>21000</v>
      </c>
      <c r="Q305" s="15">
        <f t="shared" si="23"/>
        <v>0</v>
      </c>
      <c r="R305" s="17">
        <f t="shared" si="24"/>
        <v>0</v>
      </c>
      <c r="S305" s="13"/>
    </row>
    <row r="306" spans="1:19" x14ac:dyDescent="0.25">
      <c r="A306" s="4" t="s">
        <v>158</v>
      </c>
      <c r="B306" s="5" t="s">
        <v>124</v>
      </c>
      <c r="C306" s="4" t="s">
        <v>13</v>
      </c>
      <c r="D306" s="5" t="s">
        <v>159</v>
      </c>
      <c r="E306" s="4" t="s">
        <v>106</v>
      </c>
      <c r="F306" s="4" t="s">
        <v>107</v>
      </c>
      <c r="G306" s="4" t="s">
        <v>108</v>
      </c>
      <c r="H306" s="12">
        <v>50</v>
      </c>
      <c r="I306" s="7">
        <v>5000</v>
      </c>
      <c r="J306" s="7">
        <f t="shared" si="20"/>
        <v>250000</v>
      </c>
      <c r="K306" s="8" t="s">
        <v>17</v>
      </c>
      <c r="L306" t="str">
        <f>IFERROR(VLOOKUP(F306,MÃ!$A:$B,2,0),0)</f>
        <v>NL100101</v>
      </c>
      <c r="M306" t="str">
        <f t="shared" si="25"/>
        <v>10/01/2026NL100101</v>
      </c>
      <c r="N306" s="15">
        <f>IFERROR(VLOOKUP(M306,'WS3'!$B$2:$Q$437,11,0),0)</f>
        <v>47</v>
      </c>
      <c r="O306" s="17">
        <f>IFERROR(VLOOKUP(M306,'WS3'!$B$2:$Q$437,12,0),0)</f>
        <v>5000</v>
      </c>
      <c r="P306" s="17">
        <f t="shared" si="22"/>
        <v>235000</v>
      </c>
      <c r="Q306" s="15">
        <f t="shared" si="23"/>
        <v>3</v>
      </c>
      <c r="R306" s="17">
        <f t="shared" si="24"/>
        <v>0</v>
      </c>
      <c r="S306" s="13" t="s">
        <v>543</v>
      </c>
    </row>
    <row r="307" spans="1:19" x14ac:dyDescent="0.25">
      <c r="A307" s="4" t="s">
        <v>158</v>
      </c>
      <c r="B307" s="5" t="s">
        <v>124</v>
      </c>
      <c r="C307" s="4" t="s">
        <v>13</v>
      </c>
      <c r="D307" s="5" t="s">
        <v>159</v>
      </c>
      <c r="E307" s="4" t="s">
        <v>87</v>
      </c>
      <c r="F307" s="4" t="s">
        <v>88</v>
      </c>
      <c r="G307" s="4" t="s">
        <v>16</v>
      </c>
      <c r="H307" s="12">
        <v>0.3</v>
      </c>
      <c r="I307" s="7">
        <v>220000</v>
      </c>
      <c r="J307" s="7">
        <f t="shared" si="20"/>
        <v>66000</v>
      </c>
      <c r="K307" s="8" t="s">
        <v>17</v>
      </c>
      <c r="L307" t="str">
        <f>IFERROR(VLOOKUP(F307,MÃ!$A:$B,2,0),0)</f>
        <v>NL300131</v>
      </c>
      <c r="M307" t="str">
        <f t="shared" si="25"/>
        <v>10/01/2026NL300131</v>
      </c>
      <c r="N307" s="15">
        <f>IFERROR(VLOOKUP(M307,'WS3'!$B$2:$Q$437,11,0),0)</f>
        <v>0.3</v>
      </c>
      <c r="O307" s="17">
        <f>IFERROR(VLOOKUP(M307,'WS3'!$B$2:$Q$437,12,0),0)</f>
        <v>220000</v>
      </c>
      <c r="P307" s="17">
        <f t="shared" si="22"/>
        <v>66000</v>
      </c>
      <c r="Q307" s="15">
        <f t="shared" si="23"/>
        <v>0</v>
      </c>
      <c r="R307" s="17">
        <f t="shared" si="24"/>
        <v>0</v>
      </c>
      <c r="S307" s="13"/>
    </row>
    <row r="308" spans="1:19" x14ac:dyDescent="0.25">
      <c r="A308" s="4" t="s">
        <v>158</v>
      </c>
      <c r="B308" s="5" t="s">
        <v>124</v>
      </c>
      <c r="C308" s="4" t="s">
        <v>13</v>
      </c>
      <c r="D308" s="5" t="s">
        <v>159</v>
      </c>
      <c r="E308" s="4" t="s">
        <v>54</v>
      </c>
      <c r="F308" s="4" t="s">
        <v>55</v>
      </c>
      <c r="G308" s="4" t="s">
        <v>16</v>
      </c>
      <c r="H308" s="12">
        <v>3</v>
      </c>
      <c r="I308" s="7">
        <v>62000</v>
      </c>
      <c r="J308" s="7">
        <f t="shared" si="20"/>
        <v>186000</v>
      </c>
      <c r="K308" s="8" t="s">
        <v>17</v>
      </c>
      <c r="L308" t="str">
        <f>IFERROR(VLOOKUP(F308,MÃ!$A:$B,2,0),0)</f>
        <v>NL300147</v>
      </c>
      <c r="M308" t="str">
        <f t="shared" si="25"/>
        <v>10/01/2026NL300147</v>
      </c>
      <c r="N308" s="15">
        <f>IFERROR(VLOOKUP(M308,'WS3'!$B$2:$Q$437,11,0),0)</f>
        <v>2</v>
      </c>
      <c r="O308" s="17">
        <f>IFERROR(VLOOKUP(M308,'WS3'!$B$2:$Q$437,12,0),0)</f>
        <v>62000</v>
      </c>
      <c r="P308" s="17">
        <f t="shared" si="22"/>
        <v>124000</v>
      </c>
      <c r="Q308" s="15">
        <f t="shared" si="23"/>
        <v>1</v>
      </c>
      <c r="R308" s="17">
        <f t="shared" si="24"/>
        <v>0</v>
      </c>
      <c r="S308" s="13" t="s">
        <v>543</v>
      </c>
    </row>
    <row r="309" spans="1:19" ht="28.5" x14ac:dyDescent="0.25">
      <c r="A309" s="4" t="s">
        <v>160</v>
      </c>
      <c r="B309" s="5" t="s">
        <v>124</v>
      </c>
      <c r="C309" s="4" t="s">
        <v>13</v>
      </c>
      <c r="D309" s="5" t="s">
        <v>161</v>
      </c>
      <c r="E309" s="4" t="s">
        <v>56</v>
      </c>
      <c r="F309" s="4" t="s">
        <v>57</v>
      </c>
      <c r="G309" s="4" t="s">
        <v>58</v>
      </c>
      <c r="H309" s="12">
        <v>10</v>
      </c>
      <c r="I309" s="7">
        <v>8500</v>
      </c>
      <c r="J309" s="7">
        <f t="shared" si="20"/>
        <v>85000</v>
      </c>
      <c r="K309" s="8" t="s">
        <v>17</v>
      </c>
      <c r="L309" t="str">
        <f>IFERROR(VLOOKUP(F309,MÃ!$A:$B,2,0),0)</f>
        <v>NL300107</v>
      </c>
      <c r="M309" t="str">
        <f t="shared" si="25"/>
        <v>11/01/2026NL300107</v>
      </c>
      <c r="N309" s="15">
        <f>IFERROR(VLOOKUP(M309,'WS3'!$B$2:$Q$437,11,0),0)</f>
        <v>10</v>
      </c>
      <c r="O309" s="17">
        <f>IFERROR(VLOOKUP(M309,'WS3'!$B$2:$Q$437,12,0),0)</f>
        <v>8500</v>
      </c>
      <c r="P309" s="17">
        <f t="shared" si="22"/>
        <v>85000</v>
      </c>
      <c r="Q309" s="15">
        <f t="shared" si="23"/>
        <v>0</v>
      </c>
      <c r="R309" s="17">
        <f t="shared" si="24"/>
        <v>0</v>
      </c>
      <c r="S309" s="13"/>
    </row>
    <row r="310" spans="1:19" x14ac:dyDescent="0.25">
      <c r="A310" s="4" t="s">
        <v>160</v>
      </c>
      <c r="B310" s="5" t="s">
        <v>124</v>
      </c>
      <c r="C310" s="4" t="s">
        <v>13</v>
      </c>
      <c r="D310" s="5" t="s">
        <v>161</v>
      </c>
      <c r="E310" s="4" t="s">
        <v>22</v>
      </c>
      <c r="F310" s="4" t="s">
        <v>23</v>
      </c>
      <c r="G310" s="4" t="s">
        <v>16</v>
      </c>
      <c r="H310" s="12">
        <v>5.3</v>
      </c>
      <c r="I310" s="7">
        <v>30000</v>
      </c>
      <c r="J310" s="7">
        <f t="shared" si="20"/>
        <v>159000</v>
      </c>
      <c r="K310" s="8" t="s">
        <v>17</v>
      </c>
      <c r="L310" t="str">
        <f>IFERROR(VLOOKUP(F310,MÃ!$A:$B,2,0),0)</f>
        <v>NL300007</v>
      </c>
      <c r="M310" t="str">
        <f t="shared" si="25"/>
        <v>11/01/2026NL300007</v>
      </c>
      <c r="N310" s="15">
        <f>IFERROR(VLOOKUP(M310,'WS3'!$B$2:$Q$437,11,0),0)</f>
        <v>5.3</v>
      </c>
      <c r="O310" s="17">
        <f>IFERROR(VLOOKUP(M310,'WS3'!$B$2:$Q$437,12,0),0)</f>
        <v>30000</v>
      </c>
      <c r="P310" s="17">
        <f t="shared" si="22"/>
        <v>159000</v>
      </c>
      <c r="Q310" s="15">
        <f t="shared" si="23"/>
        <v>0</v>
      </c>
      <c r="R310" s="17">
        <f t="shared" si="24"/>
        <v>0</v>
      </c>
      <c r="S310" s="13"/>
    </row>
    <row r="311" spans="1:19" x14ac:dyDescent="0.25">
      <c r="A311" s="4" t="s">
        <v>160</v>
      </c>
      <c r="B311" s="5" t="s">
        <v>124</v>
      </c>
      <c r="C311" s="4" t="s">
        <v>13</v>
      </c>
      <c r="D311" s="5" t="s">
        <v>161</v>
      </c>
      <c r="E311" s="4" t="s">
        <v>24</v>
      </c>
      <c r="F311" s="4" t="s">
        <v>25</v>
      </c>
      <c r="G311" s="4" t="s">
        <v>16</v>
      </c>
      <c r="H311" s="12">
        <v>6.1</v>
      </c>
      <c r="I311" s="7">
        <v>40000</v>
      </c>
      <c r="J311" s="7">
        <f t="shared" si="20"/>
        <v>244000</v>
      </c>
      <c r="K311" s="8" t="s">
        <v>17</v>
      </c>
      <c r="L311" t="str">
        <f>IFERROR(VLOOKUP(F311,MÃ!$A:$B,2,0),0)</f>
        <v>NL300008</v>
      </c>
      <c r="M311" t="str">
        <f t="shared" si="25"/>
        <v>11/01/2026NL300008</v>
      </c>
      <c r="N311" s="15">
        <f>IFERROR(VLOOKUP(M311,'WS3'!$B$2:$Q$437,11,0),0)</f>
        <v>4.0999999999999996</v>
      </c>
      <c r="O311" s="17">
        <f>IFERROR(VLOOKUP(M311,'WS3'!$B$2:$Q$437,12,0),0)</f>
        <v>40000</v>
      </c>
      <c r="P311" s="17">
        <f t="shared" si="22"/>
        <v>164000</v>
      </c>
      <c r="Q311" s="15">
        <f t="shared" si="23"/>
        <v>2</v>
      </c>
      <c r="R311" s="17">
        <f t="shared" si="24"/>
        <v>0</v>
      </c>
      <c r="S311" s="13" t="s">
        <v>543</v>
      </c>
    </row>
    <row r="312" spans="1:19" x14ac:dyDescent="0.25">
      <c r="A312" s="4" t="s">
        <v>160</v>
      </c>
      <c r="B312" s="5" t="s">
        <v>124</v>
      </c>
      <c r="C312" s="4" t="s">
        <v>13</v>
      </c>
      <c r="D312" s="5" t="s">
        <v>161</v>
      </c>
      <c r="E312" s="4" t="s">
        <v>126</v>
      </c>
      <c r="F312" s="4" t="s">
        <v>127</v>
      </c>
      <c r="G312" s="4" t="s">
        <v>16</v>
      </c>
      <c r="H312" s="12">
        <v>5</v>
      </c>
      <c r="I312" s="7">
        <v>52000</v>
      </c>
      <c r="J312" s="7">
        <f t="shared" si="20"/>
        <v>260000</v>
      </c>
      <c r="K312" s="8" t="s">
        <v>17</v>
      </c>
      <c r="L312" t="str">
        <f>IFERROR(VLOOKUP(F312,MÃ!$A:$B,2,0),0)</f>
        <v>NL300137</v>
      </c>
      <c r="M312" t="str">
        <f t="shared" si="25"/>
        <v>11/01/2026NL300137</v>
      </c>
      <c r="N312" s="15">
        <f>IFERROR(VLOOKUP(M312,'WS3'!$B$2:$Q$437,11,0),0)</f>
        <v>3</v>
      </c>
      <c r="O312" s="17">
        <f>IFERROR(VLOOKUP(M312,'WS3'!$B$2:$Q$437,12,0),0)</f>
        <v>52000</v>
      </c>
      <c r="P312" s="17">
        <f t="shared" si="22"/>
        <v>156000</v>
      </c>
      <c r="Q312" s="15">
        <f t="shared" si="23"/>
        <v>2</v>
      </c>
      <c r="R312" s="17">
        <f t="shared" si="24"/>
        <v>0</v>
      </c>
      <c r="S312" s="13" t="s">
        <v>543</v>
      </c>
    </row>
    <row r="313" spans="1:19" ht="42.75" x14ac:dyDescent="0.25">
      <c r="A313" s="4" t="s">
        <v>160</v>
      </c>
      <c r="B313" s="5" t="s">
        <v>124</v>
      </c>
      <c r="C313" s="4" t="s">
        <v>13</v>
      </c>
      <c r="D313" s="5" t="s">
        <v>161</v>
      </c>
      <c r="E313" s="4" t="s">
        <v>28</v>
      </c>
      <c r="F313" s="4" t="s">
        <v>29</v>
      </c>
      <c r="G313" s="4" t="s">
        <v>16</v>
      </c>
      <c r="H313" s="12">
        <v>2</v>
      </c>
      <c r="I313" s="7">
        <v>30000</v>
      </c>
      <c r="J313" s="7">
        <f t="shared" si="20"/>
        <v>60000</v>
      </c>
      <c r="K313" s="8" t="s">
        <v>17</v>
      </c>
      <c r="L313" t="str">
        <f>IFERROR(VLOOKUP(F313,MÃ!$A:$B,2,0),0)</f>
        <v>NL300020</v>
      </c>
      <c r="M313" t="str">
        <f t="shared" si="25"/>
        <v>11/01/2026NL300020</v>
      </c>
      <c r="N313" s="15">
        <f>IFERROR(VLOOKUP(M313,'WS3'!$B$2:$Q$437,11,0),0)</f>
        <v>1</v>
      </c>
      <c r="O313" s="17">
        <f>IFERROR(VLOOKUP(M313,'WS3'!$B$2:$Q$437,12,0),0)</f>
        <v>30000</v>
      </c>
      <c r="P313" s="17">
        <f t="shared" si="22"/>
        <v>30000</v>
      </c>
      <c r="Q313" s="15">
        <f t="shared" si="23"/>
        <v>1</v>
      </c>
      <c r="R313" s="17">
        <f t="shared" si="24"/>
        <v>0</v>
      </c>
      <c r="S313" s="13" t="s">
        <v>543</v>
      </c>
    </row>
    <row r="314" spans="1:19" x14ac:dyDescent="0.25">
      <c r="A314" s="4" t="s">
        <v>160</v>
      </c>
      <c r="B314" s="5" t="s">
        <v>124</v>
      </c>
      <c r="C314" s="4" t="s">
        <v>13</v>
      </c>
      <c r="D314" s="5" t="s">
        <v>161</v>
      </c>
      <c r="E314" s="4" t="s">
        <v>59</v>
      </c>
      <c r="F314" s="4" t="s">
        <v>60</v>
      </c>
      <c r="G314" s="4" t="s">
        <v>16</v>
      </c>
      <c r="H314" s="12">
        <v>0.3</v>
      </c>
      <c r="I314" s="7">
        <v>75000</v>
      </c>
      <c r="J314" s="7">
        <f t="shared" si="20"/>
        <v>22500</v>
      </c>
      <c r="K314" s="8" t="s">
        <v>17</v>
      </c>
      <c r="L314" t="str">
        <f>IFERROR(VLOOKUP(F314,MÃ!$A:$B,2,0),0)</f>
        <v>NL600067</v>
      </c>
      <c r="M314" t="str">
        <f t="shared" si="25"/>
        <v>11/01/2026NL600067</v>
      </c>
      <c r="N314" s="15">
        <f>IFERROR(VLOOKUP(M314,'WS3'!$B$2:$Q$437,11,0),0)</f>
        <v>0.3</v>
      </c>
      <c r="O314" s="17">
        <f>IFERROR(VLOOKUP(M314,'WS3'!$B$2:$Q$437,12,0),0)</f>
        <v>75000</v>
      </c>
      <c r="P314" s="17">
        <f t="shared" si="22"/>
        <v>22500</v>
      </c>
      <c r="Q314" s="15">
        <f t="shared" si="23"/>
        <v>0</v>
      </c>
      <c r="R314" s="17">
        <f t="shared" si="24"/>
        <v>0</v>
      </c>
      <c r="S314" s="13"/>
    </row>
    <row r="315" spans="1:19" x14ac:dyDescent="0.25">
      <c r="A315" s="4" t="s">
        <v>160</v>
      </c>
      <c r="B315" s="5" t="s">
        <v>124</v>
      </c>
      <c r="C315" s="4" t="s">
        <v>13</v>
      </c>
      <c r="D315" s="5" t="s">
        <v>161</v>
      </c>
      <c r="E315" s="4" t="s">
        <v>89</v>
      </c>
      <c r="F315" s="4" t="s">
        <v>90</v>
      </c>
      <c r="G315" s="4" t="s">
        <v>16</v>
      </c>
      <c r="H315" s="12">
        <v>0.6</v>
      </c>
      <c r="I315" s="7">
        <v>44000</v>
      </c>
      <c r="J315" s="7">
        <f t="shared" si="20"/>
        <v>26400</v>
      </c>
      <c r="K315" s="8" t="s">
        <v>17</v>
      </c>
      <c r="L315" t="str">
        <f>IFERROR(VLOOKUP(F315,MÃ!$A:$B,2,0),0)</f>
        <v>NL300025</v>
      </c>
      <c r="M315" t="str">
        <f t="shared" si="25"/>
        <v>11/01/2026NL300025</v>
      </c>
      <c r="N315" s="15">
        <f>IFERROR(VLOOKUP(M315,'WS3'!$B$2:$Q$437,11,0),0)</f>
        <v>0.6</v>
      </c>
      <c r="O315" s="17">
        <f>IFERROR(VLOOKUP(M315,'WS3'!$B$2:$Q$437,12,0),0)</f>
        <v>44000</v>
      </c>
      <c r="P315" s="17">
        <f t="shared" si="22"/>
        <v>26400</v>
      </c>
      <c r="Q315" s="15">
        <f t="shared" si="23"/>
        <v>0</v>
      </c>
      <c r="R315" s="17">
        <f t="shared" si="24"/>
        <v>0</v>
      </c>
      <c r="S315" s="13"/>
    </row>
    <row r="316" spans="1:19" x14ac:dyDescent="0.25">
      <c r="A316" s="4" t="s">
        <v>160</v>
      </c>
      <c r="B316" s="5" t="s">
        <v>124</v>
      </c>
      <c r="C316" s="4" t="s">
        <v>13</v>
      </c>
      <c r="D316" s="5" t="s">
        <v>161</v>
      </c>
      <c r="E316" s="4" t="s">
        <v>61</v>
      </c>
      <c r="F316" s="4" t="s">
        <v>62</v>
      </c>
      <c r="G316" s="4" t="s">
        <v>16</v>
      </c>
      <c r="H316" s="12">
        <v>2</v>
      </c>
      <c r="I316" s="7">
        <v>22000</v>
      </c>
      <c r="J316" s="7">
        <f t="shared" si="20"/>
        <v>44000</v>
      </c>
      <c r="K316" s="8" t="s">
        <v>17</v>
      </c>
      <c r="L316" t="str">
        <f>IFERROR(VLOOKUP(F316,MÃ!$A:$B,2,0),0)</f>
        <v>NL300029</v>
      </c>
      <c r="M316" t="str">
        <f t="shared" si="25"/>
        <v>11/01/2026NL300029</v>
      </c>
      <c r="N316" s="15">
        <f>IFERROR(VLOOKUP(M316,'WS3'!$B$2:$Q$437,11,0),0)</f>
        <v>2</v>
      </c>
      <c r="O316" s="17">
        <f>IFERROR(VLOOKUP(M316,'WS3'!$B$2:$Q$437,12,0),0)</f>
        <v>22000</v>
      </c>
      <c r="P316" s="17">
        <f t="shared" si="22"/>
        <v>44000</v>
      </c>
      <c r="Q316" s="15">
        <f t="shared" si="23"/>
        <v>0</v>
      </c>
      <c r="R316" s="17">
        <f t="shared" si="24"/>
        <v>0</v>
      </c>
      <c r="S316" s="13"/>
    </row>
    <row r="317" spans="1:19" x14ac:dyDescent="0.25">
      <c r="A317" s="4" t="s">
        <v>160</v>
      </c>
      <c r="B317" s="5" t="s">
        <v>124</v>
      </c>
      <c r="C317" s="4" t="s">
        <v>13</v>
      </c>
      <c r="D317" s="5" t="s">
        <v>161</v>
      </c>
      <c r="E317" s="4" t="s">
        <v>30</v>
      </c>
      <c r="F317" s="4" t="s">
        <v>31</v>
      </c>
      <c r="G317" s="4" t="s">
        <v>16</v>
      </c>
      <c r="H317" s="12">
        <v>1</v>
      </c>
      <c r="I317" s="7">
        <v>38000</v>
      </c>
      <c r="J317" s="7">
        <f t="shared" si="20"/>
        <v>38000</v>
      </c>
      <c r="K317" s="8" t="s">
        <v>17</v>
      </c>
      <c r="L317" t="str">
        <f>IFERROR(VLOOKUP(F317,MÃ!$A:$B,2,0),0)</f>
        <v>NL300054</v>
      </c>
      <c r="M317" t="str">
        <f t="shared" si="25"/>
        <v>11/01/2026NL300054</v>
      </c>
      <c r="N317" s="15">
        <f>IFERROR(VLOOKUP(M317,'WS3'!$B$2:$Q$437,11,0),0)</f>
        <v>1</v>
      </c>
      <c r="O317" s="17">
        <f>IFERROR(VLOOKUP(M317,'WS3'!$B$2:$Q$437,12,0),0)</f>
        <v>38000</v>
      </c>
      <c r="P317" s="17">
        <f t="shared" si="22"/>
        <v>38000</v>
      </c>
      <c r="Q317" s="15">
        <f t="shared" si="23"/>
        <v>0</v>
      </c>
      <c r="R317" s="17">
        <f t="shared" si="24"/>
        <v>0</v>
      </c>
      <c r="S317" s="13"/>
    </row>
    <row r="318" spans="1:19" x14ac:dyDescent="0.25">
      <c r="A318" s="4" t="s">
        <v>160</v>
      </c>
      <c r="B318" s="5" t="s">
        <v>124</v>
      </c>
      <c r="C318" s="4" t="s">
        <v>13</v>
      </c>
      <c r="D318" s="5" t="s">
        <v>161</v>
      </c>
      <c r="E318" s="4" t="s">
        <v>95</v>
      </c>
      <c r="F318" s="4" t="s">
        <v>96</v>
      </c>
      <c r="G318" s="4" t="s">
        <v>16</v>
      </c>
      <c r="H318" s="12">
        <v>1</v>
      </c>
      <c r="I318" s="7">
        <v>47000</v>
      </c>
      <c r="J318" s="7">
        <f t="shared" si="20"/>
        <v>47000</v>
      </c>
      <c r="K318" s="8" t="s">
        <v>17</v>
      </c>
      <c r="L318" t="str">
        <f>IFERROR(VLOOKUP(F318,MÃ!$A:$B,2,0),0)</f>
        <v>NL300036</v>
      </c>
      <c r="M318" t="str">
        <f t="shared" si="25"/>
        <v>11/01/2026NL300036</v>
      </c>
      <c r="N318" s="15">
        <f>IFERROR(VLOOKUP(M318,'WS3'!$B$2:$Q$437,11,0),0)</f>
        <v>1</v>
      </c>
      <c r="O318" s="17">
        <f>IFERROR(VLOOKUP(M318,'WS3'!$B$2:$Q$437,12,0),0)</f>
        <v>47000</v>
      </c>
      <c r="P318" s="17">
        <f t="shared" si="22"/>
        <v>47000</v>
      </c>
      <c r="Q318" s="15">
        <f t="shared" si="23"/>
        <v>0</v>
      </c>
      <c r="R318" s="17">
        <f t="shared" si="24"/>
        <v>0</v>
      </c>
      <c r="S318" s="13"/>
    </row>
    <row r="319" spans="1:19" x14ac:dyDescent="0.25">
      <c r="A319" s="4" t="s">
        <v>160</v>
      </c>
      <c r="B319" s="5" t="s">
        <v>124</v>
      </c>
      <c r="C319" s="4" t="s">
        <v>13</v>
      </c>
      <c r="D319" s="5" t="s">
        <v>161</v>
      </c>
      <c r="E319" s="4" t="s">
        <v>34</v>
      </c>
      <c r="F319" s="4" t="s">
        <v>35</v>
      </c>
      <c r="G319" s="4" t="s">
        <v>16</v>
      </c>
      <c r="H319" s="12">
        <v>2</v>
      </c>
      <c r="I319" s="7">
        <v>32000</v>
      </c>
      <c r="J319" s="7">
        <f t="shared" si="20"/>
        <v>64000</v>
      </c>
      <c r="K319" s="8" t="s">
        <v>17</v>
      </c>
      <c r="L319" t="str">
        <f>IFERROR(VLOOKUP(F319,MÃ!$A:$B,2,0),0)</f>
        <v>NL300038</v>
      </c>
      <c r="M319" t="str">
        <f t="shared" si="25"/>
        <v>11/01/2026NL300038</v>
      </c>
      <c r="N319" s="15">
        <f>IFERROR(VLOOKUP(M319,'WS3'!$B$2:$Q$437,11,0),0)</f>
        <v>2</v>
      </c>
      <c r="O319" s="17">
        <f>IFERROR(VLOOKUP(M319,'WS3'!$B$2:$Q$437,12,0),0)</f>
        <v>32000</v>
      </c>
      <c r="P319" s="17">
        <f t="shared" si="22"/>
        <v>64000</v>
      </c>
      <c r="Q319" s="15">
        <f t="shared" si="23"/>
        <v>0</v>
      </c>
      <c r="R319" s="17">
        <f t="shared" si="24"/>
        <v>0</v>
      </c>
      <c r="S319" s="13"/>
    </row>
    <row r="320" spans="1:19" x14ac:dyDescent="0.25">
      <c r="A320" s="4" t="s">
        <v>160</v>
      </c>
      <c r="B320" s="5" t="s">
        <v>124</v>
      </c>
      <c r="C320" s="4" t="s">
        <v>13</v>
      </c>
      <c r="D320" s="5" t="s">
        <v>161</v>
      </c>
      <c r="E320" s="4" t="s">
        <v>36</v>
      </c>
      <c r="F320" s="4" t="s">
        <v>37</v>
      </c>
      <c r="G320" s="4" t="s">
        <v>16</v>
      </c>
      <c r="H320" s="12">
        <v>26</v>
      </c>
      <c r="I320" s="7">
        <v>18000</v>
      </c>
      <c r="J320" s="7">
        <f t="shared" si="20"/>
        <v>468000</v>
      </c>
      <c r="K320" s="8" t="s">
        <v>17</v>
      </c>
      <c r="L320" t="str">
        <f>IFERROR(VLOOKUP(F320,MÃ!$A:$B,2,0),0)</f>
        <v>NL600004</v>
      </c>
      <c r="M320" t="str">
        <f t="shared" si="25"/>
        <v>11/01/2026NL600004</v>
      </c>
      <c r="N320" s="15">
        <f>IFERROR(VLOOKUP(M320,'WS3'!$B$2:$Q$437,11,0),0)</f>
        <v>26</v>
      </c>
      <c r="O320" s="17">
        <f>IFERROR(VLOOKUP(M320,'WS3'!$B$2:$Q$437,12,0),0)</f>
        <v>18000</v>
      </c>
      <c r="P320" s="17">
        <f t="shared" si="22"/>
        <v>468000</v>
      </c>
      <c r="Q320" s="15">
        <f t="shared" si="23"/>
        <v>0</v>
      </c>
      <c r="R320" s="17">
        <f t="shared" si="24"/>
        <v>0</v>
      </c>
      <c r="S320" s="13"/>
    </row>
    <row r="321" spans="1:19" x14ac:dyDescent="0.25">
      <c r="A321" s="4" t="s">
        <v>160</v>
      </c>
      <c r="B321" s="5" t="s">
        <v>124</v>
      </c>
      <c r="C321" s="4" t="s">
        <v>13</v>
      </c>
      <c r="D321" s="5" t="s">
        <v>161</v>
      </c>
      <c r="E321" s="4" t="s">
        <v>38</v>
      </c>
      <c r="F321" s="4" t="s">
        <v>39</v>
      </c>
      <c r="G321" s="4" t="s">
        <v>16</v>
      </c>
      <c r="H321" s="12">
        <v>3</v>
      </c>
      <c r="I321" s="7">
        <v>55000</v>
      </c>
      <c r="J321" s="7">
        <f t="shared" si="20"/>
        <v>165000</v>
      </c>
      <c r="K321" s="8" t="s">
        <v>17</v>
      </c>
      <c r="L321" t="str">
        <f>IFERROR(VLOOKUP(F321,MÃ!$A:$B,2,0),0)</f>
        <v>NL300058</v>
      </c>
      <c r="M321" t="str">
        <f t="shared" si="25"/>
        <v>11/01/2026NL300058</v>
      </c>
      <c r="N321" s="15">
        <f>IFERROR(VLOOKUP(M321,'WS3'!$B$2:$Q$437,11,0),0)</f>
        <v>2</v>
      </c>
      <c r="O321" s="17">
        <f>IFERROR(VLOOKUP(M321,'WS3'!$B$2:$Q$437,12,0),0)</f>
        <v>55000</v>
      </c>
      <c r="P321" s="17">
        <f t="shared" si="22"/>
        <v>110000</v>
      </c>
      <c r="Q321" s="15">
        <f t="shared" si="23"/>
        <v>1</v>
      </c>
      <c r="R321" s="17">
        <f t="shared" si="24"/>
        <v>0</v>
      </c>
      <c r="S321" s="13" t="s">
        <v>543</v>
      </c>
    </row>
    <row r="322" spans="1:19" x14ac:dyDescent="0.25">
      <c r="A322" s="4" t="s">
        <v>160</v>
      </c>
      <c r="B322" s="5" t="s">
        <v>124</v>
      </c>
      <c r="C322" s="4" t="s">
        <v>13</v>
      </c>
      <c r="D322" s="5" t="s">
        <v>161</v>
      </c>
      <c r="E322" s="4" t="s">
        <v>63</v>
      </c>
      <c r="F322" s="4" t="s">
        <v>64</v>
      </c>
      <c r="G322" s="4" t="s">
        <v>16</v>
      </c>
      <c r="H322" s="12">
        <v>0.1</v>
      </c>
      <c r="I322" s="7">
        <v>65000</v>
      </c>
      <c r="J322" s="7">
        <f t="shared" si="20"/>
        <v>6500</v>
      </c>
      <c r="K322" s="8" t="s">
        <v>17</v>
      </c>
      <c r="L322" t="str">
        <f>IFERROR(VLOOKUP(F322,MÃ!$A:$B,2,0),0)</f>
        <v>NL300062</v>
      </c>
      <c r="M322" t="str">
        <f t="shared" si="25"/>
        <v>11/01/2026NL300062</v>
      </c>
      <c r="N322" s="15">
        <f>IFERROR(VLOOKUP(M322,'WS3'!$B$2:$Q$437,11,0),0)</f>
        <v>0.1</v>
      </c>
      <c r="O322" s="17">
        <f>IFERROR(VLOOKUP(M322,'WS3'!$B$2:$Q$437,12,0),0)</f>
        <v>65000</v>
      </c>
      <c r="P322" s="17">
        <f t="shared" si="22"/>
        <v>6500</v>
      </c>
      <c r="Q322" s="15">
        <f t="shared" si="23"/>
        <v>0</v>
      </c>
      <c r="R322" s="17">
        <f t="shared" si="24"/>
        <v>0</v>
      </c>
      <c r="S322" s="13"/>
    </row>
    <row r="323" spans="1:19" x14ac:dyDescent="0.25">
      <c r="A323" s="4" t="s">
        <v>160</v>
      </c>
      <c r="B323" s="5" t="s">
        <v>124</v>
      </c>
      <c r="C323" s="4" t="s">
        <v>13</v>
      </c>
      <c r="D323" s="5" t="s">
        <v>161</v>
      </c>
      <c r="E323" s="4" t="s">
        <v>67</v>
      </c>
      <c r="F323" s="4" t="s">
        <v>68</v>
      </c>
      <c r="G323" s="4" t="s">
        <v>16</v>
      </c>
      <c r="H323" s="12">
        <v>0.5</v>
      </c>
      <c r="I323" s="7">
        <v>18000</v>
      </c>
      <c r="J323" s="7">
        <f t="shared" si="20"/>
        <v>9000</v>
      </c>
      <c r="K323" s="8" t="s">
        <v>17</v>
      </c>
      <c r="L323" t="str">
        <f>IFERROR(VLOOKUP(F323,MÃ!$A:$B,2,0),0)</f>
        <v>NL300184</v>
      </c>
      <c r="M323" t="str">
        <f t="shared" si="25"/>
        <v>11/01/2026NL300184</v>
      </c>
      <c r="N323" s="15">
        <f>IFERROR(VLOOKUP(M323,'WS3'!$B$2:$Q$437,11,0),0)</f>
        <v>0.5</v>
      </c>
      <c r="O323" s="17">
        <f>IFERROR(VLOOKUP(M323,'WS3'!$B$2:$Q$437,12,0),0)</f>
        <v>18000</v>
      </c>
      <c r="P323" s="17">
        <f t="shared" si="22"/>
        <v>9000</v>
      </c>
      <c r="Q323" s="15">
        <f t="shared" si="23"/>
        <v>0</v>
      </c>
      <c r="R323" s="17">
        <f t="shared" si="24"/>
        <v>0</v>
      </c>
      <c r="S323" s="13"/>
    </row>
    <row r="324" spans="1:19" x14ac:dyDescent="0.25">
      <c r="A324" s="4" t="s">
        <v>160</v>
      </c>
      <c r="B324" s="5" t="s">
        <v>124</v>
      </c>
      <c r="C324" s="4" t="s">
        <v>13</v>
      </c>
      <c r="D324" s="5" t="s">
        <v>161</v>
      </c>
      <c r="E324" s="4" t="s">
        <v>14</v>
      </c>
      <c r="F324" s="4" t="s">
        <v>15</v>
      </c>
      <c r="G324" s="4" t="s">
        <v>16</v>
      </c>
      <c r="H324" s="12">
        <v>5.5</v>
      </c>
      <c r="I324" s="7">
        <v>27000</v>
      </c>
      <c r="J324" s="7">
        <f t="shared" si="20"/>
        <v>148500</v>
      </c>
      <c r="K324" s="8" t="s">
        <v>17</v>
      </c>
      <c r="L324" t="str">
        <f>IFERROR(VLOOKUP(F324,MÃ!$A:$B,2,0),0)</f>
        <v>NL300088</v>
      </c>
      <c r="M324" t="str">
        <f t="shared" si="25"/>
        <v>11/01/2026NL300088</v>
      </c>
      <c r="N324" s="15">
        <f>IFERROR(VLOOKUP(M324,'WS3'!$B$2:$Q$437,11,0),0)</f>
        <v>2.5</v>
      </c>
      <c r="O324" s="17">
        <f>IFERROR(VLOOKUP(M324,'WS3'!$B$2:$Q$437,12,0),0)</f>
        <v>27000</v>
      </c>
      <c r="P324" s="17">
        <f t="shared" si="22"/>
        <v>67500</v>
      </c>
      <c r="Q324" s="15">
        <f t="shared" si="23"/>
        <v>3</v>
      </c>
      <c r="R324" s="17">
        <f t="shared" si="24"/>
        <v>0</v>
      </c>
      <c r="S324" s="13" t="s">
        <v>543</v>
      </c>
    </row>
    <row r="325" spans="1:19" ht="28.5" x14ac:dyDescent="0.25">
      <c r="A325" s="4" t="s">
        <v>160</v>
      </c>
      <c r="B325" s="5" t="s">
        <v>124</v>
      </c>
      <c r="C325" s="4" t="s">
        <v>13</v>
      </c>
      <c r="D325" s="5" t="s">
        <v>161</v>
      </c>
      <c r="E325" s="4" t="s">
        <v>69</v>
      </c>
      <c r="F325" s="4" t="s">
        <v>70</v>
      </c>
      <c r="G325" s="4" t="s">
        <v>16</v>
      </c>
      <c r="H325" s="12">
        <v>5</v>
      </c>
      <c r="I325" s="7">
        <v>145000</v>
      </c>
      <c r="J325" s="7">
        <f t="shared" si="20"/>
        <v>725000</v>
      </c>
      <c r="K325" s="8" t="s">
        <v>17</v>
      </c>
      <c r="L325" t="str">
        <f>IFERROR(VLOOKUP(F325,MÃ!$A:$B,2,0),0)</f>
        <v>NL300090</v>
      </c>
      <c r="M325" t="str">
        <f t="shared" si="25"/>
        <v>11/01/2026NL300090</v>
      </c>
      <c r="N325" s="15">
        <f>IFERROR(VLOOKUP(M325,'WS3'!$B$2:$Q$437,11,0),0)</f>
        <v>4.7</v>
      </c>
      <c r="O325" s="17">
        <f>IFERROR(VLOOKUP(M325,'WS3'!$B$2:$Q$437,12,0),0)</f>
        <v>145000</v>
      </c>
      <c r="P325" s="17">
        <f t="shared" si="22"/>
        <v>681500</v>
      </c>
      <c r="Q325" s="15">
        <f t="shared" si="23"/>
        <v>0.29999999999999982</v>
      </c>
      <c r="R325" s="17">
        <f t="shared" si="24"/>
        <v>0</v>
      </c>
      <c r="S325" s="13" t="s">
        <v>543</v>
      </c>
    </row>
    <row r="326" spans="1:19" x14ac:dyDescent="0.25">
      <c r="A326" s="4" t="s">
        <v>160</v>
      </c>
      <c r="B326" s="5" t="s">
        <v>124</v>
      </c>
      <c r="C326" s="4" t="s">
        <v>13</v>
      </c>
      <c r="D326" s="5" t="s">
        <v>161</v>
      </c>
      <c r="E326" s="4" t="s">
        <v>71</v>
      </c>
      <c r="F326" s="4" t="s">
        <v>72</v>
      </c>
      <c r="G326" s="4" t="s">
        <v>16</v>
      </c>
      <c r="H326" s="12">
        <v>2</v>
      </c>
      <c r="I326" s="7">
        <v>47000</v>
      </c>
      <c r="J326" s="7">
        <f t="shared" si="20"/>
        <v>94000</v>
      </c>
      <c r="K326" s="8" t="s">
        <v>17</v>
      </c>
      <c r="L326" t="str">
        <f>IFERROR(VLOOKUP(F326,MÃ!$A:$B,2,0),0)</f>
        <v>NL300091</v>
      </c>
      <c r="M326" t="str">
        <f t="shared" si="25"/>
        <v>11/01/2026NL300091</v>
      </c>
      <c r="N326" s="15">
        <f>IFERROR(VLOOKUP(M326,'WS3'!$B$2:$Q$437,11,0),0)</f>
        <v>2</v>
      </c>
      <c r="O326" s="17">
        <f>IFERROR(VLOOKUP(M326,'WS3'!$B$2:$Q$437,12,0),0)</f>
        <v>47000</v>
      </c>
      <c r="P326" s="17">
        <f t="shared" si="22"/>
        <v>94000</v>
      </c>
      <c r="Q326" s="15">
        <f t="shared" si="23"/>
        <v>0</v>
      </c>
      <c r="R326" s="17">
        <f t="shared" si="24"/>
        <v>0</v>
      </c>
      <c r="S326" s="13"/>
    </row>
    <row r="327" spans="1:19" x14ac:dyDescent="0.25">
      <c r="A327" s="4" t="s">
        <v>160</v>
      </c>
      <c r="B327" s="5" t="s">
        <v>124</v>
      </c>
      <c r="C327" s="4" t="s">
        <v>13</v>
      </c>
      <c r="D327" s="5" t="s">
        <v>161</v>
      </c>
      <c r="E327" s="4" t="s">
        <v>73</v>
      </c>
      <c r="F327" s="4" t="s">
        <v>74</v>
      </c>
      <c r="G327" s="4" t="s">
        <v>16</v>
      </c>
      <c r="H327" s="12">
        <v>1</v>
      </c>
      <c r="I327" s="7">
        <v>90000</v>
      </c>
      <c r="J327" s="7">
        <f t="shared" si="20"/>
        <v>90000</v>
      </c>
      <c r="K327" s="8" t="s">
        <v>17</v>
      </c>
      <c r="L327" t="str">
        <f>IFERROR(VLOOKUP(F327,MÃ!$A:$B,2,0),0)</f>
        <v>NL300092</v>
      </c>
      <c r="M327" t="str">
        <f t="shared" si="25"/>
        <v>11/01/2026NL300092</v>
      </c>
      <c r="N327" s="15">
        <f>IFERROR(VLOOKUP(M327,'WS3'!$B$2:$Q$437,11,0),0)</f>
        <v>0.8</v>
      </c>
      <c r="O327" s="17">
        <f>IFERROR(VLOOKUP(M327,'WS3'!$B$2:$Q$437,12,0),0)</f>
        <v>90000</v>
      </c>
      <c r="P327" s="17">
        <f t="shared" si="22"/>
        <v>72000</v>
      </c>
      <c r="Q327" s="15">
        <f t="shared" si="23"/>
        <v>0.19999999999999996</v>
      </c>
      <c r="R327" s="17">
        <f t="shared" si="24"/>
        <v>0</v>
      </c>
      <c r="S327" s="13" t="s">
        <v>543</v>
      </c>
    </row>
    <row r="328" spans="1:19" ht="28.5" x14ac:dyDescent="0.25">
      <c r="A328" s="4" t="s">
        <v>160</v>
      </c>
      <c r="B328" s="5" t="s">
        <v>124</v>
      </c>
      <c r="C328" s="4" t="s">
        <v>13</v>
      </c>
      <c r="D328" s="5" t="s">
        <v>161</v>
      </c>
      <c r="E328" s="4" t="s">
        <v>44</v>
      </c>
      <c r="F328" s="4" t="s">
        <v>45</v>
      </c>
      <c r="G328" s="4" t="s">
        <v>16</v>
      </c>
      <c r="H328" s="12">
        <v>6</v>
      </c>
      <c r="I328" s="7">
        <v>45000</v>
      </c>
      <c r="J328" s="7">
        <f t="shared" si="20"/>
        <v>270000</v>
      </c>
      <c r="K328" s="8" t="s">
        <v>17</v>
      </c>
      <c r="L328" t="str">
        <f>IFERROR(VLOOKUP(F328,MÃ!$A:$B,2,0),0)</f>
        <v>NL300096</v>
      </c>
      <c r="M328" t="str">
        <f t="shared" si="25"/>
        <v>11/01/2026NL300096</v>
      </c>
      <c r="N328" s="15">
        <f>IFERROR(VLOOKUP(M328,'WS3'!$B$2:$Q$437,11,0),0)</f>
        <v>4.7</v>
      </c>
      <c r="O328" s="17">
        <f>IFERROR(VLOOKUP(M328,'WS3'!$B$2:$Q$437,12,0),0)</f>
        <v>45000</v>
      </c>
      <c r="P328" s="17">
        <f t="shared" si="22"/>
        <v>211500</v>
      </c>
      <c r="Q328" s="15">
        <f t="shared" si="23"/>
        <v>1.2999999999999998</v>
      </c>
      <c r="R328" s="17">
        <f t="shared" si="24"/>
        <v>0</v>
      </c>
      <c r="S328" s="13" t="s">
        <v>543</v>
      </c>
    </row>
    <row r="329" spans="1:19" ht="28.5" x14ac:dyDescent="0.25">
      <c r="A329" s="4" t="s">
        <v>160</v>
      </c>
      <c r="B329" s="5" t="s">
        <v>124</v>
      </c>
      <c r="C329" s="4" t="s">
        <v>13</v>
      </c>
      <c r="D329" s="5" t="s">
        <v>161</v>
      </c>
      <c r="E329" s="4" t="s">
        <v>75</v>
      </c>
      <c r="F329" s="4" t="s">
        <v>76</v>
      </c>
      <c r="G329" s="4" t="s">
        <v>16</v>
      </c>
      <c r="H329" s="12">
        <v>0.5</v>
      </c>
      <c r="I329" s="7">
        <v>90000</v>
      </c>
      <c r="J329" s="7">
        <f t="shared" si="20"/>
        <v>45000</v>
      </c>
      <c r="K329" s="8" t="s">
        <v>17</v>
      </c>
      <c r="L329" t="str">
        <f>IFERROR(VLOOKUP(F329,MÃ!$A:$B,2,0),0)</f>
        <v>NL300097</v>
      </c>
      <c r="M329" t="str">
        <f t="shared" si="25"/>
        <v>11/01/2026NL300097</v>
      </c>
      <c r="N329" s="15">
        <f>IFERROR(VLOOKUP(M329,'WS3'!$B$2:$Q$437,11,0),0)</f>
        <v>0.5</v>
      </c>
      <c r="O329" s="17">
        <f>IFERROR(VLOOKUP(M329,'WS3'!$B$2:$Q$437,12,0),0)</f>
        <v>90000</v>
      </c>
      <c r="P329" s="17">
        <f t="shared" si="22"/>
        <v>45000</v>
      </c>
      <c r="Q329" s="15">
        <f t="shared" si="23"/>
        <v>0</v>
      </c>
      <c r="R329" s="17">
        <f t="shared" si="24"/>
        <v>0</v>
      </c>
      <c r="S329" s="13"/>
    </row>
    <row r="330" spans="1:19" x14ac:dyDescent="0.25">
      <c r="A330" s="4" t="s">
        <v>160</v>
      </c>
      <c r="B330" s="5" t="s">
        <v>124</v>
      </c>
      <c r="C330" s="4" t="s">
        <v>13</v>
      </c>
      <c r="D330" s="5" t="s">
        <v>161</v>
      </c>
      <c r="E330" s="4" t="s">
        <v>77</v>
      </c>
      <c r="F330" s="4" t="s">
        <v>78</v>
      </c>
      <c r="G330" s="4" t="s">
        <v>16</v>
      </c>
      <c r="H330" s="12">
        <v>3</v>
      </c>
      <c r="I330" s="7">
        <v>45000</v>
      </c>
      <c r="J330" s="7">
        <f t="shared" si="20"/>
        <v>135000</v>
      </c>
      <c r="K330" s="8" t="s">
        <v>17</v>
      </c>
      <c r="L330" t="str">
        <f>IFERROR(VLOOKUP(F330,MÃ!$A:$B,2,0),0)</f>
        <v>NL300085</v>
      </c>
      <c r="M330" t="str">
        <f t="shared" si="25"/>
        <v>11/01/2026NL300085</v>
      </c>
      <c r="N330" s="15">
        <f>IFERROR(VLOOKUP(M330,'WS3'!$B$2:$Q$437,11,0),0)</f>
        <v>2</v>
      </c>
      <c r="O330" s="17">
        <f>IFERROR(VLOOKUP(M330,'WS3'!$B$2:$Q$437,12,0),0)</f>
        <v>45000</v>
      </c>
      <c r="P330" s="17">
        <f t="shared" si="22"/>
        <v>90000</v>
      </c>
      <c r="Q330" s="15">
        <f t="shared" si="23"/>
        <v>1</v>
      </c>
      <c r="R330" s="17">
        <f t="shared" si="24"/>
        <v>0</v>
      </c>
      <c r="S330" s="13" t="s">
        <v>543</v>
      </c>
    </row>
    <row r="331" spans="1:19" x14ac:dyDescent="0.25">
      <c r="A331" s="4" t="s">
        <v>160</v>
      </c>
      <c r="B331" s="5" t="s">
        <v>124</v>
      </c>
      <c r="C331" s="4" t="s">
        <v>13</v>
      </c>
      <c r="D331" s="5" t="s">
        <v>161</v>
      </c>
      <c r="E331" s="4" t="s">
        <v>102</v>
      </c>
      <c r="F331" s="4" t="s">
        <v>103</v>
      </c>
      <c r="G331" s="4" t="s">
        <v>16</v>
      </c>
      <c r="H331" s="12">
        <v>1.5</v>
      </c>
      <c r="I331" s="7">
        <v>145000</v>
      </c>
      <c r="J331" s="7">
        <f t="shared" si="20"/>
        <v>217500</v>
      </c>
      <c r="K331" s="8" t="s">
        <v>17</v>
      </c>
      <c r="L331" t="str">
        <f>IFERROR(VLOOKUP(F331,MÃ!$A:$B,2,0),0)</f>
        <v>NL300113</v>
      </c>
      <c r="M331" t="str">
        <f t="shared" si="25"/>
        <v>11/01/2026NL300113</v>
      </c>
      <c r="N331" s="15">
        <f>IFERROR(VLOOKUP(M331,'WS3'!$B$2:$Q$437,11,0),0)</f>
        <v>1.2</v>
      </c>
      <c r="O331" s="17">
        <f>IFERROR(VLOOKUP(M331,'WS3'!$B$2:$Q$437,12,0),0)</f>
        <v>145000</v>
      </c>
      <c r="P331" s="17">
        <f t="shared" si="22"/>
        <v>174000</v>
      </c>
      <c r="Q331" s="15">
        <f t="shared" si="23"/>
        <v>0.30000000000000004</v>
      </c>
      <c r="R331" s="17">
        <f t="shared" si="24"/>
        <v>0</v>
      </c>
      <c r="S331" s="13" t="s">
        <v>543</v>
      </c>
    </row>
    <row r="332" spans="1:19" x14ac:dyDescent="0.25">
      <c r="A332" s="4" t="s">
        <v>160</v>
      </c>
      <c r="B332" s="5" t="s">
        <v>124</v>
      </c>
      <c r="C332" s="4" t="s">
        <v>13</v>
      </c>
      <c r="D332" s="5" t="s">
        <v>161</v>
      </c>
      <c r="E332" s="4" t="s">
        <v>46</v>
      </c>
      <c r="F332" s="4" t="s">
        <v>47</v>
      </c>
      <c r="G332" s="4" t="s">
        <v>16</v>
      </c>
      <c r="H332" s="12">
        <v>0.3</v>
      </c>
      <c r="I332" s="7">
        <v>148000</v>
      </c>
      <c r="J332" s="7">
        <f t="shared" si="20"/>
        <v>44400</v>
      </c>
      <c r="K332" s="8" t="s">
        <v>17</v>
      </c>
      <c r="L332" t="str">
        <f>IFERROR(VLOOKUP(F332,MÃ!$A:$B,2,0),0)</f>
        <v>NL300116</v>
      </c>
      <c r="M332" t="str">
        <f t="shared" si="25"/>
        <v>11/01/2026NL300116</v>
      </c>
      <c r="N332" s="15">
        <f>IFERROR(VLOOKUP(M332,'WS3'!$B$2:$Q$437,11,0),0)</f>
        <v>0.2</v>
      </c>
      <c r="O332" s="17">
        <f>IFERROR(VLOOKUP(M332,'WS3'!$B$2:$Q$437,12,0),0)</f>
        <v>148000</v>
      </c>
      <c r="P332" s="17">
        <f t="shared" si="22"/>
        <v>29600</v>
      </c>
      <c r="Q332" s="15">
        <f t="shared" si="23"/>
        <v>9.9999999999999978E-2</v>
      </c>
      <c r="R332" s="17">
        <f t="shared" si="24"/>
        <v>0</v>
      </c>
      <c r="S332" s="13" t="s">
        <v>543</v>
      </c>
    </row>
    <row r="333" spans="1:19" x14ac:dyDescent="0.25">
      <c r="A333" s="4" t="s">
        <v>160</v>
      </c>
      <c r="B333" s="5" t="s">
        <v>124</v>
      </c>
      <c r="C333" s="4" t="s">
        <v>13</v>
      </c>
      <c r="D333" s="5" t="s">
        <v>161</v>
      </c>
      <c r="E333" s="4" t="s">
        <v>48</v>
      </c>
      <c r="F333" s="4" t="s">
        <v>49</v>
      </c>
      <c r="G333" s="4" t="s">
        <v>16</v>
      </c>
      <c r="H333" s="12">
        <v>0.5</v>
      </c>
      <c r="I333" s="7">
        <v>42000</v>
      </c>
      <c r="J333" s="7">
        <f t="shared" si="20"/>
        <v>21000</v>
      </c>
      <c r="K333" s="8" t="s">
        <v>17</v>
      </c>
      <c r="L333" t="str">
        <f>IFERROR(VLOOKUP(F333,MÃ!$A:$B,2,0),0)</f>
        <v>NL300125</v>
      </c>
      <c r="M333" t="str">
        <f t="shared" si="25"/>
        <v>11/01/2026NL300125</v>
      </c>
      <c r="N333" s="15">
        <f>IFERROR(VLOOKUP(M333,'WS3'!$B$2:$Q$437,11,0),0)</f>
        <v>0.5</v>
      </c>
      <c r="O333" s="17">
        <f>IFERROR(VLOOKUP(M333,'WS3'!$B$2:$Q$437,12,0),0)</f>
        <v>42000</v>
      </c>
      <c r="P333" s="17">
        <f t="shared" si="22"/>
        <v>21000</v>
      </c>
      <c r="Q333" s="15">
        <f t="shared" si="23"/>
        <v>0</v>
      </c>
      <c r="R333" s="17">
        <f t="shared" si="24"/>
        <v>0</v>
      </c>
      <c r="S333" s="13"/>
    </row>
    <row r="334" spans="1:19" x14ac:dyDescent="0.25">
      <c r="A334" s="4" t="s">
        <v>160</v>
      </c>
      <c r="B334" s="5" t="s">
        <v>124</v>
      </c>
      <c r="C334" s="4" t="s">
        <v>13</v>
      </c>
      <c r="D334" s="5" t="s">
        <v>161</v>
      </c>
      <c r="E334" s="4" t="s">
        <v>133</v>
      </c>
      <c r="F334" s="4" t="s">
        <v>134</v>
      </c>
      <c r="G334" s="4" t="s">
        <v>16</v>
      </c>
      <c r="H334" s="12">
        <v>0.5</v>
      </c>
      <c r="I334" s="7">
        <v>36000</v>
      </c>
      <c r="J334" s="7">
        <f t="shared" si="20"/>
        <v>18000</v>
      </c>
      <c r="K334" s="8" t="s">
        <v>17</v>
      </c>
      <c r="L334" t="str">
        <f>IFERROR(VLOOKUP(F334,MÃ!$A:$B,2,0),0)</f>
        <v>NL300140</v>
      </c>
      <c r="M334" t="str">
        <f t="shared" si="25"/>
        <v>11/01/2026NL300140</v>
      </c>
      <c r="N334" s="15">
        <f>IFERROR(VLOOKUP(M334,'WS3'!$B$2:$Q$437,11,0),0)</f>
        <v>0.3</v>
      </c>
      <c r="O334" s="17">
        <f>IFERROR(VLOOKUP(M334,'WS3'!$B$2:$Q$437,12,0),0)</f>
        <v>36000</v>
      </c>
      <c r="P334" s="17">
        <f t="shared" si="22"/>
        <v>10800</v>
      </c>
      <c r="Q334" s="15">
        <f t="shared" si="23"/>
        <v>0.2</v>
      </c>
      <c r="R334" s="17">
        <f t="shared" si="24"/>
        <v>0</v>
      </c>
      <c r="S334" s="13" t="s">
        <v>543</v>
      </c>
    </row>
    <row r="335" spans="1:19" x14ac:dyDescent="0.25">
      <c r="A335" s="4" t="s">
        <v>160</v>
      </c>
      <c r="B335" s="5" t="s">
        <v>124</v>
      </c>
      <c r="C335" s="4" t="s">
        <v>13</v>
      </c>
      <c r="D335" s="5" t="s">
        <v>161</v>
      </c>
      <c r="E335" s="4" t="s">
        <v>52</v>
      </c>
      <c r="F335" s="4" t="s">
        <v>53</v>
      </c>
      <c r="G335" s="4" t="s">
        <v>16</v>
      </c>
      <c r="H335" s="12">
        <v>2</v>
      </c>
      <c r="I335" s="7">
        <v>21000</v>
      </c>
      <c r="J335" s="7">
        <f t="shared" si="20"/>
        <v>42000</v>
      </c>
      <c r="K335" s="8" t="s">
        <v>17</v>
      </c>
      <c r="L335" t="str">
        <f>IFERROR(VLOOKUP(F335,MÃ!$A:$B,2,0),0)</f>
        <v>NL300119</v>
      </c>
      <c r="M335" t="str">
        <f t="shared" si="25"/>
        <v>11/01/2026NL300119</v>
      </c>
      <c r="N335" s="15">
        <f>IFERROR(VLOOKUP(M335,'WS3'!$B$2:$Q$437,11,0),0)</f>
        <v>1.6</v>
      </c>
      <c r="O335" s="17">
        <f>IFERROR(VLOOKUP(M335,'WS3'!$B$2:$Q$437,12,0),0)</f>
        <v>21000</v>
      </c>
      <c r="P335" s="17">
        <f t="shared" si="22"/>
        <v>33600</v>
      </c>
      <c r="Q335" s="15">
        <f t="shared" si="23"/>
        <v>0.39999999999999991</v>
      </c>
      <c r="R335" s="17">
        <f t="shared" si="24"/>
        <v>0</v>
      </c>
      <c r="S335" s="13" t="s">
        <v>543</v>
      </c>
    </row>
    <row r="336" spans="1:19" x14ac:dyDescent="0.25">
      <c r="A336" s="4" t="s">
        <v>160</v>
      </c>
      <c r="B336" s="5" t="s">
        <v>124</v>
      </c>
      <c r="C336" s="4" t="s">
        <v>13</v>
      </c>
      <c r="D336" s="5" t="s">
        <v>161</v>
      </c>
      <c r="E336" s="4" t="s">
        <v>106</v>
      </c>
      <c r="F336" s="4" t="s">
        <v>107</v>
      </c>
      <c r="G336" s="4" t="s">
        <v>108</v>
      </c>
      <c r="H336" s="12">
        <v>50</v>
      </c>
      <c r="I336" s="7">
        <v>5000</v>
      </c>
      <c r="J336" s="7">
        <f t="shared" ref="J336:J399" si="26">H336*I336</f>
        <v>250000</v>
      </c>
      <c r="K336" s="8" t="s">
        <v>17</v>
      </c>
      <c r="L336" t="str">
        <f>IFERROR(VLOOKUP(F336,MÃ!$A:$B,2,0),0)</f>
        <v>NL100101</v>
      </c>
      <c r="M336" t="str">
        <f t="shared" si="25"/>
        <v>11/01/2026NL100101</v>
      </c>
      <c r="N336" s="15">
        <f>IFERROR(VLOOKUP(M336,'WS3'!$B$2:$Q$437,11,0),0)</f>
        <v>50</v>
      </c>
      <c r="O336" s="17">
        <f>IFERROR(VLOOKUP(M336,'WS3'!$B$2:$Q$437,12,0),0)</f>
        <v>5000</v>
      </c>
      <c r="P336" s="17">
        <f t="shared" ref="P336:P399" si="27">N336*O336</f>
        <v>250000</v>
      </c>
      <c r="Q336" s="15">
        <f t="shared" ref="Q336:Q399" si="28">H336-N336</f>
        <v>0</v>
      </c>
      <c r="R336" s="17">
        <f t="shared" ref="R336:R399" si="29">I336-O336</f>
        <v>0</v>
      </c>
      <c r="S336" s="13"/>
    </row>
    <row r="337" spans="1:19" x14ac:dyDescent="0.25">
      <c r="A337" s="4" t="s">
        <v>160</v>
      </c>
      <c r="B337" s="5" t="s">
        <v>124</v>
      </c>
      <c r="C337" s="4" t="s">
        <v>13</v>
      </c>
      <c r="D337" s="5" t="s">
        <v>161</v>
      </c>
      <c r="E337" s="4" t="s">
        <v>54</v>
      </c>
      <c r="F337" s="4" t="s">
        <v>55</v>
      </c>
      <c r="G337" s="4" t="s">
        <v>16</v>
      </c>
      <c r="H337" s="12">
        <v>4</v>
      </c>
      <c r="I337" s="7">
        <v>62000</v>
      </c>
      <c r="J337" s="7">
        <f t="shared" si="26"/>
        <v>248000</v>
      </c>
      <c r="K337" s="8" t="s">
        <v>17</v>
      </c>
      <c r="L337" t="str">
        <f>IFERROR(VLOOKUP(F337,MÃ!$A:$B,2,0),0)</f>
        <v>NL300147</v>
      </c>
      <c r="M337" t="str">
        <f t="shared" si="25"/>
        <v>11/01/2026NL300147</v>
      </c>
      <c r="N337" s="15">
        <f>IFERROR(VLOOKUP(M337,'WS3'!$B$2:$Q$437,11,0),0)</f>
        <v>2.5</v>
      </c>
      <c r="O337" s="17">
        <f>IFERROR(VLOOKUP(M337,'WS3'!$B$2:$Q$437,12,0),0)</f>
        <v>62000</v>
      </c>
      <c r="P337" s="17">
        <f t="shared" si="27"/>
        <v>155000</v>
      </c>
      <c r="Q337" s="15">
        <f t="shared" si="28"/>
        <v>1.5</v>
      </c>
      <c r="R337" s="17">
        <f t="shared" si="29"/>
        <v>0</v>
      </c>
      <c r="S337" s="13" t="s">
        <v>543</v>
      </c>
    </row>
    <row r="338" spans="1:19" x14ac:dyDescent="0.25">
      <c r="A338" s="4" t="s">
        <v>162</v>
      </c>
      <c r="B338" s="5" t="s">
        <v>124</v>
      </c>
      <c r="C338" s="4" t="s">
        <v>13</v>
      </c>
      <c r="D338" s="5" t="s">
        <v>163</v>
      </c>
      <c r="E338" s="4" t="s">
        <v>18</v>
      </c>
      <c r="F338" s="4" t="s">
        <v>19</v>
      </c>
      <c r="G338" s="4" t="s">
        <v>16</v>
      </c>
      <c r="H338" s="12">
        <v>3</v>
      </c>
      <c r="I338" s="7">
        <v>15000</v>
      </c>
      <c r="J338" s="7">
        <f t="shared" si="26"/>
        <v>45000</v>
      </c>
      <c r="K338" s="8" t="s">
        <v>17</v>
      </c>
      <c r="L338" t="str">
        <f>IFERROR(VLOOKUP(F338,MÃ!$A:$B,2,0),0)</f>
        <v>NL300189</v>
      </c>
      <c r="M338" t="str">
        <f t="shared" si="25"/>
        <v>12/01/2026NL300189</v>
      </c>
      <c r="N338" s="15">
        <f>IFERROR(VLOOKUP(M338,'WS3'!$B$2:$Q$437,11,0),0)</f>
        <v>2.5</v>
      </c>
      <c r="O338" s="17">
        <f>IFERROR(VLOOKUP(M338,'WS3'!$B$2:$Q$437,12,0),0)</f>
        <v>15000</v>
      </c>
      <c r="P338" s="17">
        <f t="shared" si="27"/>
        <v>37500</v>
      </c>
      <c r="Q338" s="15">
        <f t="shared" si="28"/>
        <v>0.5</v>
      </c>
      <c r="R338" s="17">
        <f t="shared" si="29"/>
        <v>0</v>
      </c>
      <c r="S338" s="13" t="s">
        <v>543</v>
      </c>
    </row>
    <row r="339" spans="1:19" x14ac:dyDescent="0.25">
      <c r="A339" s="4" t="s">
        <v>162</v>
      </c>
      <c r="B339" s="5" t="s">
        <v>124</v>
      </c>
      <c r="C339" s="4" t="s">
        <v>13</v>
      </c>
      <c r="D339" s="5" t="s">
        <v>163</v>
      </c>
      <c r="E339" s="4" t="s">
        <v>20</v>
      </c>
      <c r="F339" s="4" t="s">
        <v>21</v>
      </c>
      <c r="G339" s="4" t="s">
        <v>16</v>
      </c>
      <c r="H339" s="12">
        <v>5.3</v>
      </c>
      <c r="I339" s="7">
        <v>19000</v>
      </c>
      <c r="J339" s="7">
        <f t="shared" si="26"/>
        <v>100700</v>
      </c>
      <c r="K339" s="8" t="s">
        <v>17</v>
      </c>
      <c r="L339" t="str">
        <f>IFERROR(VLOOKUP(F339,MÃ!$A:$B,2,0),0)</f>
        <v>NL300004</v>
      </c>
      <c r="M339" t="str">
        <f t="shared" si="25"/>
        <v>12/01/2026NL300004</v>
      </c>
      <c r="N339" s="15">
        <f>IFERROR(VLOOKUP(M339,'WS3'!$B$2:$Q$437,11,0),0)</f>
        <v>5</v>
      </c>
      <c r="O339" s="17">
        <f>IFERROR(VLOOKUP(M339,'WS3'!$B$2:$Q$437,12,0),0)</f>
        <v>19000</v>
      </c>
      <c r="P339" s="17">
        <f t="shared" si="27"/>
        <v>95000</v>
      </c>
      <c r="Q339" s="15">
        <f t="shared" si="28"/>
        <v>0.29999999999999982</v>
      </c>
      <c r="R339" s="17">
        <f t="shared" si="29"/>
        <v>0</v>
      </c>
      <c r="S339" s="13" t="s">
        <v>543</v>
      </c>
    </row>
    <row r="340" spans="1:19" ht="28.5" x14ac:dyDescent="0.25">
      <c r="A340" s="4" t="s">
        <v>162</v>
      </c>
      <c r="B340" s="5" t="s">
        <v>124</v>
      </c>
      <c r="C340" s="4" t="s">
        <v>13</v>
      </c>
      <c r="D340" s="5" t="s">
        <v>163</v>
      </c>
      <c r="E340" s="4" t="s">
        <v>56</v>
      </c>
      <c r="F340" s="4" t="s">
        <v>57</v>
      </c>
      <c r="G340" s="4" t="s">
        <v>58</v>
      </c>
      <c r="H340" s="12">
        <v>8</v>
      </c>
      <c r="I340" s="7">
        <v>8500</v>
      </c>
      <c r="J340" s="7">
        <f t="shared" si="26"/>
        <v>68000</v>
      </c>
      <c r="K340" s="8" t="s">
        <v>17</v>
      </c>
      <c r="L340" t="str">
        <f>IFERROR(VLOOKUP(F340,MÃ!$A:$B,2,0),0)</f>
        <v>NL300107</v>
      </c>
      <c r="M340" t="str">
        <f t="shared" ref="M340:M403" si="30">""&amp;DAY(A340)&amp;"/01/2026"&amp;L340</f>
        <v>12/01/2026NL300107</v>
      </c>
      <c r="N340" s="15">
        <f>IFERROR(VLOOKUP(M340,'WS3'!$B$2:$Q$437,11,0),0)</f>
        <v>8</v>
      </c>
      <c r="O340" s="17">
        <f>IFERROR(VLOOKUP(M340,'WS3'!$B$2:$Q$437,12,0),0)</f>
        <v>8500</v>
      </c>
      <c r="P340" s="17">
        <f t="shared" si="27"/>
        <v>68000</v>
      </c>
      <c r="Q340" s="15">
        <f t="shared" si="28"/>
        <v>0</v>
      </c>
      <c r="R340" s="17">
        <f t="shared" si="29"/>
        <v>0</v>
      </c>
      <c r="S340" s="13"/>
    </row>
    <row r="341" spans="1:19" x14ac:dyDescent="0.25">
      <c r="A341" s="4" t="s">
        <v>162</v>
      </c>
      <c r="B341" s="5" t="s">
        <v>124</v>
      </c>
      <c r="C341" s="4" t="s">
        <v>13</v>
      </c>
      <c r="D341" s="5" t="s">
        <v>163</v>
      </c>
      <c r="E341" s="4" t="s">
        <v>22</v>
      </c>
      <c r="F341" s="4" t="s">
        <v>23</v>
      </c>
      <c r="G341" s="4" t="s">
        <v>16</v>
      </c>
      <c r="H341" s="12">
        <v>3</v>
      </c>
      <c r="I341" s="7">
        <v>30000</v>
      </c>
      <c r="J341" s="7">
        <f t="shared" si="26"/>
        <v>90000</v>
      </c>
      <c r="K341" s="8" t="s">
        <v>17</v>
      </c>
      <c r="L341" t="str">
        <f>IFERROR(VLOOKUP(F341,MÃ!$A:$B,2,0),0)</f>
        <v>NL300007</v>
      </c>
      <c r="M341" t="str">
        <f t="shared" si="30"/>
        <v>12/01/2026NL300007</v>
      </c>
      <c r="N341" s="15">
        <f>IFERROR(VLOOKUP(M341,'WS3'!$B$2:$Q$437,11,0),0)</f>
        <v>2.9</v>
      </c>
      <c r="O341" s="17">
        <f>IFERROR(VLOOKUP(M341,'WS3'!$B$2:$Q$437,12,0),0)</f>
        <v>30000</v>
      </c>
      <c r="P341" s="17">
        <f t="shared" si="27"/>
        <v>87000</v>
      </c>
      <c r="Q341" s="15">
        <f t="shared" si="28"/>
        <v>0.10000000000000009</v>
      </c>
      <c r="R341" s="17">
        <f t="shared" si="29"/>
        <v>0</v>
      </c>
      <c r="S341" s="13" t="s">
        <v>543</v>
      </c>
    </row>
    <row r="342" spans="1:19" x14ac:dyDescent="0.25">
      <c r="A342" s="4" t="s">
        <v>162</v>
      </c>
      <c r="B342" s="5" t="s">
        <v>124</v>
      </c>
      <c r="C342" s="4" t="s">
        <v>13</v>
      </c>
      <c r="D342" s="5" t="s">
        <v>163</v>
      </c>
      <c r="E342" s="4" t="s">
        <v>24</v>
      </c>
      <c r="F342" s="4" t="s">
        <v>25</v>
      </c>
      <c r="G342" s="4" t="s">
        <v>16</v>
      </c>
      <c r="H342" s="12">
        <v>10</v>
      </c>
      <c r="I342" s="7">
        <v>40000</v>
      </c>
      <c r="J342" s="7">
        <f t="shared" si="26"/>
        <v>400000</v>
      </c>
      <c r="K342" s="8" t="s">
        <v>17</v>
      </c>
      <c r="L342" t="str">
        <f>IFERROR(VLOOKUP(F342,MÃ!$A:$B,2,0),0)</f>
        <v>NL300008</v>
      </c>
      <c r="M342" t="str">
        <f t="shared" si="30"/>
        <v>12/01/2026NL300008</v>
      </c>
      <c r="N342" s="15">
        <f>IFERROR(VLOOKUP(M342,'WS3'!$B$2:$Q$437,11,0),0)</f>
        <v>9.5</v>
      </c>
      <c r="O342" s="17">
        <f>IFERROR(VLOOKUP(M342,'WS3'!$B$2:$Q$437,12,0),0)</f>
        <v>40000</v>
      </c>
      <c r="P342" s="17">
        <f t="shared" si="27"/>
        <v>380000</v>
      </c>
      <c r="Q342" s="15">
        <f t="shared" si="28"/>
        <v>0.5</v>
      </c>
      <c r="R342" s="17">
        <f t="shared" si="29"/>
        <v>0</v>
      </c>
      <c r="S342" s="13" t="s">
        <v>543</v>
      </c>
    </row>
    <row r="343" spans="1:19" x14ac:dyDescent="0.25">
      <c r="A343" s="4" t="s">
        <v>162</v>
      </c>
      <c r="B343" s="5" t="s">
        <v>124</v>
      </c>
      <c r="C343" s="4" t="s">
        <v>13</v>
      </c>
      <c r="D343" s="5" t="s">
        <v>163</v>
      </c>
      <c r="E343" s="4" t="s">
        <v>126</v>
      </c>
      <c r="F343" s="4" t="s">
        <v>127</v>
      </c>
      <c r="G343" s="4" t="s">
        <v>16</v>
      </c>
      <c r="H343" s="12">
        <v>3.7</v>
      </c>
      <c r="I343" s="7">
        <v>52000</v>
      </c>
      <c r="J343" s="7">
        <f t="shared" si="26"/>
        <v>192400</v>
      </c>
      <c r="K343" s="8" t="s">
        <v>17</v>
      </c>
      <c r="L343" t="str">
        <f>IFERROR(VLOOKUP(F343,MÃ!$A:$B,2,0),0)</f>
        <v>NL300137</v>
      </c>
      <c r="M343" t="str">
        <f t="shared" si="30"/>
        <v>12/01/2026NL300137</v>
      </c>
      <c r="N343" s="15">
        <f>IFERROR(VLOOKUP(M343,'WS3'!$B$2:$Q$437,11,0),0)</f>
        <v>3</v>
      </c>
      <c r="O343" s="17">
        <f>IFERROR(VLOOKUP(M343,'WS3'!$B$2:$Q$437,12,0),0)</f>
        <v>52000</v>
      </c>
      <c r="P343" s="17">
        <f t="shared" si="27"/>
        <v>156000</v>
      </c>
      <c r="Q343" s="15">
        <f t="shared" si="28"/>
        <v>0.70000000000000018</v>
      </c>
      <c r="R343" s="17">
        <f t="shared" si="29"/>
        <v>0</v>
      </c>
      <c r="S343" s="13" t="s">
        <v>543</v>
      </c>
    </row>
    <row r="344" spans="1:19" x14ac:dyDescent="0.25">
      <c r="A344" s="4" t="s">
        <v>162</v>
      </c>
      <c r="B344" s="5" t="s">
        <v>124</v>
      </c>
      <c r="C344" s="4" t="s">
        <v>13</v>
      </c>
      <c r="D344" s="5" t="s">
        <v>163</v>
      </c>
      <c r="E344" s="4" t="s">
        <v>26</v>
      </c>
      <c r="F344" s="4" t="s">
        <v>27</v>
      </c>
      <c r="G344" s="4" t="s">
        <v>16</v>
      </c>
      <c r="H344" s="12">
        <v>0.5</v>
      </c>
      <c r="I344" s="7">
        <v>75000</v>
      </c>
      <c r="J344" s="7">
        <f t="shared" si="26"/>
        <v>37500</v>
      </c>
      <c r="K344" s="8" t="s">
        <v>17</v>
      </c>
      <c r="L344" t="str">
        <f>IFERROR(VLOOKUP(F344,MÃ!$A:$B,2,0),0)</f>
        <v>NL300028</v>
      </c>
      <c r="M344" t="str">
        <f t="shared" si="30"/>
        <v>12/01/2026NL300028</v>
      </c>
      <c r="N344" s="15">
        <f>IFERROR(VLOOKUP(M344,'WS3'!$B$2:$Q$437,11,0),0)</f>
        <v>0.5</v>
      </c>
      <c r="O344" s="17">
        <f>IFERROR(VLOOKUP(M344,'WS3'!$B$2:$Q$437,12,0),0)</f>
        <v>75000</v>
      </c>
      <c r="P344" s="17">
        <f t="shared" si="27"/>
        <v>37500</v>
      </c>
      <c r="Q344" s="15">
        <f t="shared" si="28"/>
        <v>0</v>
      </c>
      <c r="R344" s="17">
        <f t="shared" si="29"/>
        <v>0</v>
      </c>
      <c r="S344" s="13"/>
    </row>
    <row r="345" spans="1:19" ht="42.75" x14ac:dyDescent="0.25">
      <c r="A345" s="4" t="s">
        <v>162</v>
      </c>
      <c r="B345" s="5" t="s">
        <v>124</v>
      </c>
      <c r="C345" s="4" t="s">
        <v>13</v>
      </c>
      <c r="D345" s="5" t="s">
        <v>163</v>
      </c>
      <c r="E345" s="4" t="s">
        <v>28</v>
      </c>
      <c r="F345" s="4" t="s">
        <v>29</v>
      </c>
      <c r="G345" s="4" t="s">
        <v>16</v>
      </c>
      <c r="H345" s="12">
        <v>2</v>
      </c>
      <c r="I345" s="7">
        <v>30000</v>
      </c>
      <c r="J345" s="7">
        <f t="shared" si="26"/>
        <v>60000</v>
      </c>
      <c r="K345" s="8" t="s">
        <v>17</v>
      </c>
      <c r="L345" t="str">
        <f>IFERROR(VLOOKUP(F345,MÃ!$A:$B,2,0),0)</f>
        <v>NL300020</v>
      </c>
      <c r="M345" t="str">
        <f t="shared" si="30"/>
        <v>12/01/2026NL300020</v>
      </c>
      <c r="N345" s="15">
        <f>IFERROR(VLOOKUP(M345,'WS3'!$B$2:$Q$437,11,0),0)</f>
        <v>2</v>
      </c>
      <c r="O345" s="17">
        <f>IFERROR(VLOOKUP(M345,'WS3'!$B$2:$Q$437,12,0),0)</f>
        <v>30000</v>
      </c>
      <c r="P345" s="17">
        <f t="shared" si="27"/>
        <v>60000</v>
      </c>
      <c r="Q345" s="15">
        <f t="shared" si="28"/>
        <v>0</v>
      </c>
      <c r="R345" s="17">
        <f t="shared" si="29"/>
        <v>0</v>
      </c>
      <c r="S345" s="13"/>
    </row>
    <row r="346" spans="1:19" x14ac:dyDescent="0.25">
      <c r="A346" s="4" t="s">
        <v>162</v>
      </c>
      <c r="B346" s="5" t="s">
        <v>124</v>
      </c>
      <c r="C346" s="4" t="s">
        <v>13</v>
      </c>
      <c r="D346" s="5" t="s">
        <v>163</v>
      </c>
      <c r="E346" s="4" t="s">
        <v>59</v>
      </c>
      <c r="F346" s="4" t="s">
        <v>60</v>
      </c>
      <c r="G346" s="4" t="s">
        <v>16</v>
      </c>
      <c r="H346" s="12">
        <v>0.8</v>
      </c>
      <c r="I346" s="7">
        <v>75000</v>
      </c>
      <c r="J346" s="7">
        <f t="shared" si="26"/>
        <v>60000</v>
      </c>
      <c r="K346" s="8" t="s">
        <v>17</v>
      </c>
      <c r="L346" t="str">
        <f>IFERROR(VLOOKUP(F346,MÃ!$A:$B,2,0),0)</f>
        <v>NL600067</v>
      </c>
      <c r="M346" t="str">
        <f t="shared" si="30"/>
        <v>12/01/2026NL600067</v>
      </c>
      <c r="N346" s="15">
        <f>IFERROR(VLOOKUP(M346,'WS3'!$B$2:$Q$437,11,0),0)</f>
        <v>0.8</v>
      </c>
      <c r="O346" s="17">
        <f>IFERROR(VLOOKUP(M346,'WS3'!$B$2:$Q$437,12,0),0)</f>
        <v>75000</v>
      </c>
      <c r="P346" s="17">
        <f t="shared" si="27"/>
        <v>60000</v>
      </c>
      <c r="Q346" s="15">
        <f t="shared" si="28"/>
        <v>0</v>
      </c>
      <c r="R346" s="17">
        <f t="shared" si="29"/>
        <v>0</v>
      </c>
      <c r="S346" s="13"/>
    </row>
    <row r="347" spans="1:19" x14ac:dyDescent="0.25">
      <c r="A347" s="4" t="s">
        <v>162</v>
      </c>
      <c r="B347" s="5" t="s">
        <v>124</v>
      </c>
      <c r="C347" s="4" t="s">
        <v>13</v>
      </c>
      <c r="D347" s="5" t="s">
        <v>163</v>
      </c>
      <c r="E347" s="4" t="s">
        <v>91</v>
      </c>
      <c r="F347" s="4" t="s">
        <v>92</v>
      </c>
      <c r="G347" s="4" t="s">
        <v>16</v>
      </c>
      <c r="H347" s="12">
        <v>1.5</v>
      </c>
      <c r="I347" s="7">
        <v>34000</v>
      </c>
      <c r="J347" s="7">
        <f t="shared" si="26"/>
        <v>51000</v>
      </c>
      <c r="K347" s="8" t="s">
        <v>17</v>
      </c>
      <c r="L347" t="str">
        <f>IFERROR(VLOOKUP(F347,MÃ!$A:$B,2,0),0)</f>
        <v>NL300030</v>
      </c>
      <c r="M347" t="str">
        <f t="shared" si="30"/>
        <v>12/01/2026NL300030</v>
      </c>
      <c r="N347" s="15">
        <f>IFERROR(VLOOKUP(M347,'WS3'!$B$2:$Q$437,11,0),0)</f>
        <v>1.5</v>
      </c>
      <c r="O347" s="17">
        <f>IFERROR(VLOOKUP(M347,'WS3'!$B$2:$Q$437,12,0),0)</f>
        <v>34000</v>
      </c>
      <c r="P347" s="17">
        <f t="shared" si="27"/>
        <v>51000</v>
      </c>
      <c r="Q347" s="15">
        <f t="shared" si="28"/>
        <v>0</v>
      </c>
      <c r="R347" s="17">
        <f t="shared" si="29"/>
        <v>0</v>
      </c>
      <c r="S347" s="13"/>
    </row>
    <row r="348" spans="1:19" x14ac:dyDescent="0.25">
      <c r="A348" s="4" t="s">
        <v>162</v>
      </c>
      <c r="B348" s="5" t="s">
        <v>124</v>
      </c>
      <c r="C348" s="4" t="s">
        <v>13</v>
      </c>
      <c r="D348" s="5" t="s">
        <v>163</v>
      </c>
      <c r="E348" s="4" t="s">
        <v>93</v>
      </c>
      <c r="F348" s="4" t="s">
        <v>94</v>
      </c>
      <c r="G348" s="4" t="s">
        <v>16</v>
      </c>
      <c r="H348" s="12">
        <v>0.6</v>
      </c>
      <c r="I348" s="7">
        <v>95000</v>
      </c>
      <c r="J348" s="7">
        <f t="shared" si="26"/>
        <v>57000</v>
      </c>
      <c r="K348" s="8" t="s">
        <v>17</v>
      </c>
      <c r="L348" t="str">
        <f>IFERROR(VLOOKUP(F348,MÃ!$A:$B,2,0),0)</f>
        <v>NL600068</v>
      </c>
      <c r="M348" t="str">
        <f t="shared" si="30"/>
        <v>12/01/2026NL600068</v>
      </c>
      <c r="N348" s="15">
        <f>IFERROR(VLOOKUP(M348,'WS3'!$B$2:$Q$437,11,0),0)</f>
        <v>0.6</v>
      </c>
      <c r="O348" s="17">
        <f>IFERROR(VLOOKUP(M348,'WS3'!$B$2:$Q$437,12,0),0)</f>
        <v>95000</v>
      </c>
      <c r="P348" s="17">
        <f t="shared" si="27"/>
        <v>57000</v>
      </c>
      <c r="Q348" s="15">
        <f t="shared" si="28"/>
        <v>0</v>
      </c>
      <c r="R348" s="17">
        <f t="shared" si="29"/>
        <v>0</v>
      </c>
      <c r="S348" s="13"/>
    </row>
    <row r="349" spans="1:19" x14ac:dyDescent="0.25">
      <c r="A349" s="4" t="s">
        <v>162</v>
      </c>
      <c r="B349" s="5" t="s">
        <v>124</v>
      </c>
      <c r="C349" s="4" t="s">
        <v>13</v>
      </c>
      <c r="D349" s="5" t="s">
        <v>163</v>
      </c>
      <c r="E349" s="4" t="s">
        <v>30</v>
      </c>
      <c r="F349" s="4" t="s">
        <v>31</v>
      </c>
      <c r="G349" s="4" t="s">
        <v>16</v>
      </c>
      <c r="H349" s="12">
        <v>1</v>
      </c>
      <c r="I349" s="7">
        <v>38000</v>
      </c>
      <c r="J349" s="7">
        <f t="shared" si="26"/>
        <v>38000</v>
      </c>
      <c r="K349" s="8" t="s">
        <v>17</v>
      </c>
      <c r="L349" t="str">
        <f>IFERROR(VLOOKUP(F349,MÃ!$A:$B,2,0),0)</f>
        <v>NL300054</v>
      </c>
      <c r="M349" t="str">
        <f t="shared" si="30"/>
        <v>12/01/2026NL300054</v>
      </c>
      <c r="N349" s="15">
        <f>IFERROR(VLOOKUP(M349,'WS3'!$B$2:$Q$437,11,0),0)</f>
        <v>0.9</v>
      </c>
      <c r="O349" s="17">
        <f>IFERROR(VLOOKUP(M349,'WS3'!$B$2:$Q$437,12,0),0)</f>
        <v>38000</v>
      </c>
      <c r="P349" s="17">
        <f t="shared" si="27"/>
        <v>34200</v>
      </c>
      <c r="Q349" s="15">
        <f t="shared" si="28"/>
        <v>9.9999999999999978E-2</v>
      </c>
      <c r="R349" s="17">
        <f t="shared" si="29"/>
        <v>0</v>
      </c>
      <c r="S349" s="13" t="s">
        <v>543</v>
      </c>
    </row>
    <row r="350" spans="1:19" x14ac:dyDescent="0.25">
      <c r="A350" s="4" t="s">
        <v>162</v>
      </c>
      <c r="B350" s="5" t="s">
        <v>124</v>
      </c>
      <c r="C350" s="4" t="s">
        <v>13</v>
      </c>
      <c r="D350" s="5" t="s">
        <v>163</v>
      </c>
      <c r="E350" s="4" t="s">
        <v>32</v>
      </c>
      <c r="F350" s="4" t="s">
        <v>33</v>
      </c>
      <c r="G350" s="4" t="s">
        <v>16</v>
      </c>
      <c r="H350" s="12">
        <v>0.2</v>
      </c>
      <c r="I350" s="7">
        <v>25000</v>
      </c>
      <c r="J350" s="7">
        <f t="shared" si="26"/>
        <v>5000</v>
      </c>
      <c r="K350" s="8" t="s">
        <v>17</v>
      </c>
      <c r="L350" t="str">
        <f>IFERROR(VLOOKUP(F350,MÃ!$A:$B,2,0),0)</f>
        <v>NL300035</v>
      </c>
      <c r="M350" t="str">
        <f t="shared" si="30"/>
        <v>12/01/2026NL300035</v>
      </c>
      <c r="N350" s="15">
        <f>IFERROR(VLOOKUP(M350,'WS3'!$B$2:$Q$437,11,0),0)</f>
        <v>0.2</v>
      </c>
      <c r="O350" s="17">
        <f>IFERROR(VLOOKUP(M350,'WS3'!$B$2:$Q$437,12,0),0)</f>
        <v>25000</v>
      </c>
      <c r="P350" s="17">
        <f t="shared" si="27"/>
        <v>5000</v>
      </c>
      <c r="Q350" s="15">
        <f t="shared" si="28"/>
        <v>0</v>
      </c>
      <c r="R350" s="17">
        <f t="shared" si="29"/>
        <v>0</v>
      </c>
      <c r="S350" s="13"/>
    </row>
    <row r="351" spans="1:19" x14ac:dyDescent="0.25">
      <c r="A351" s="4" t="s">
        <v>162</v>
      </c>
      <c r="B351" s="5" t="s">
        <v>124</v>
      </c>
      <c r="C351" s="4" t="s">
        <v>13</v>
      </c>
      <c r="D351" s="5" t="s">
        <v>163</v>
      </c>
      <c r="E351" s="4" t="s">
        <v>34</v>
      </c>
      <c r="F351" s="4" t="s">
        <v>35</v>
      </c>
      <c r="G351" s="4" t="s">
        <v>16</v>
      </c>
      <c r="H351" s="12">
        <v>1</v>
      </c>
      <c r="I351" s="7">
        <v>32000</v>
      </c>
      <c r="J351" s="7">
        <f t="shared" si="26"/>
        <v>32000</v>
      </c>
      <c r="K351" s="8" t="s">
        <v>17</v>
      </c>
      <c r="L351" t="str">
        <f>IFERROR(VLOOKUP(F351,MÃ!$A:$B,2,0),0)</f>
        <v>NL300038</v>
      </c>
      <c r="M351" t="str">
        <f t="shared" si="30"/>
        <v>12/01/2026NL300038</v>
      </c>
      <c r="N351" s="15">
        <f>IFERROR(VLOOKUP(M351,'WS3'!$B$2:$Q$437,11,0),0)</f>
        <v>0.9</v>
      </c>
      <c r="O351" s="17">
        <f>IFERROR(VLOOKUP(M351,'WS3'!$B$2:$Q$437,12,0),0)</f>
        <v>32000</v>
      </c>
      <c r="P351" s="17">
        <f t="shared" si="27"/>
        <v>28800</v>
      </c>
      <c r="Q351" s="15">
        <f t="shared" si="28"/>
        <v>9.9999999999999978E-2</v>
      </c>
      <c r="R351" s="17">
        <f t="shared" si="29"/>
        <v>0</v>
      </c>
      <c r="S351" s="13" t="s">
        <v>543</v>
      </c>
    </row>
    <row r="352" spans="1:19" ht="28.5" x14ac:dyDescent="0.25">
      <c r="A352" s="4" t="s">
        <v>162</v>
      </c>
      <c r="B352" s="5" t="s">
        <v>124</v>
      </c>
      <c r="C352" s="4" t="s">
        <v>13</v>
      </c>
      <c r="D352" s="5" t="s">
        <v>163</v>
      </c>
      <c r="E352" s="4" t="s">
        <v>97</v>
      </c>
      <c r="F352" s="4" t="s">
        <v>98</v>
      </c>
      <c r="G352" s="4" t="s">
        <v>99</v>
      </c>
      <c r="H352" s="12">
        <v>9</v>
      </c>
      <c r="I352" s="7">
        <v>15000</v>
      </c>
      <c r="J352" s="7">
        <f t="shared" si="26"/>
        <v>135000</v>
      </c>
      <c r="K352" s="8" t="s">
        <v>17</v>
      </c>
      <c r="L352" t="str">
        <f>IFERROR(VLOOKUP(F352,MÃ!$A:$B,2,0),0)</f>
        <v>NL300041</v>
      </c>
      <c r="M352" t="str">
        <f t="shared" si="30"/>
        <v>12/01/2026NL300041</v>
      </c>
      <c r="N352" s="15">
        <f>IFERROR(VLOOKUP(M352,'WS3'!$B$2:$Q$437,11,0),0)</f>
        <v>9</v>
      </c>
      <c r="O352" s="17">
        <f>IFERROR(VLOOKUP(M352,'WS3'!$B$2:$Q$437,12,0),0)</f>
        <v>15000</v>
      </c>
      <c r="P352" s="17">
        <f t="shared" si="27"/>
        <v>135000</v>
      </c>
      <c r="Q352" s="15">
        <f t="shared" si="28"/>
        <v>0</v>
      </c>
      <c r="R352" s="17">
        <f t="shared" si="29"/>
        <v>0</v>
      </c>
      <c r="S352" s="13"/>
    </row>
    <row r="353" spans="1:19" x14ac:dyDescent="0.25">
      <c r="A353" s="4" t="s">
        <v>162</v>
      </c>
      <c r="B353" s="5" t="s">
        <v>124</v>
      </c>
      <c r="C353" s="4" t="s">
        <v>13</v>
      </c>
      <c r="D353" s="5" t="s">
        <v>163</v>
      </c>
      <c r="E353" s="4" t="s">
        <v>36</v>
      </c>
      <c r="F353" s="4" t="s">
        <v>37</v>
      </c>
      <c r="G353" s="4" t="s">
        <v>16</v>
      </c>
      <c r="H353" s="12">
        <v>18.399999999999999</v>
      </c>
      <c r="I353" s="7">
        <v>18000</v>
      </c>
      <c r="J353" s="7">
        <f t="shared" si="26"/>
        <v>331200</v>
      </c>
      <c r="K353" s="8" t="s">
        <v>17</v>
      </c>
      <c r="L353" t="str">
        <f>IFERROR(VLOOKUP(F353,MÃ!$A:$B,2,0),0)</f>
        <v>NL600004</v>
      </c>
      <c r="M353" t="str">
        <f t="shared" si="30"/>
        <v>12/01/2026NL600004</v>
      </c>
      <c r="N353" s="15">
        <f>IFERROR(VLOOKUP(M353,'WS3'!$B$2:$Q$437,11,0),0)</f>
        <v>18.399999999999999</v>
      </c>
      <c r="O353" s="17">
        <f>IFERROR(VLOOKUP(M353,'WS3'!$B$2:$Q$437,12,0),0)</f>
        <v>18000</v>
      </c>
      <c r="P353" s="17">
        <f t="shared" si="27"/>
        <v>331200</v>
      </c>
      <c r="Q353" s="15">
        <f t="shared" si="28"/>
        <v>0</v>
      </c>
      <c r="R353" s="17">
        <f t="shared" si="29"/>
        <v>0</v>
      </c>
      <c r="S353" s="13"/>
    </row>
    <row r="354" spans="1:19" x14ac:dyDescent="0.25">
      <c r="A354" s="4" t="s">
        <v>162</v>
      </c>
      <c r="B354" s="5" t="s">
        <v>124</v>
      </c>
      <c r="C354" s="4" t="s">
        <v>13</v>
      </c>
      <c r="D354" s="5" t="s">
        <v>163</v>
      </c>
      <c r="E354" s="4" t="s">
        <v>38</v>
      </c>
      <c r="F354" s="4" t="s">
        <v>39</v>
      </c>
      <c r="G354" s="4" t="s">
        <v>16</v>
      </c>
      <c r="H354" s="12">
        <v>2</v>
      </c>
      <c r="I354" s="7">
        <v>55000</v>
      </c>
      <c r="J354" s="7">
        <f t="shared" si="26"/>
        <v>110000</v>
      </c>
      <c r="K354" s="8" t="s">
        <v>17</v>
      </c>
      <c r="L354" t="str">
        <f>IFERROR(VLOOKUP(F354,MÃ!$A:$B,2,0),0)</f>
        <v>NL300058</v>
      </c>
      <c r="M354" t="str">
        <f t="shared" si="30"/>
        <v>12/01/2026NL300058</v>
      </c>
      <c r="N354" s="15">
        <f>IFERROR(VLOOKUP(M354,'WS3'!$B$2:$Q$437,11,0),0)</f>
        <v>1.8</v>
      </c>
      <c r="O354" s="17">
        <f>IFERROR(VLOOKUP(M354,'WS3'!$B$2:$Q$437,12,0),0)</f>
        <v>55000</v>
      </c>
      <c r="P354" s="17">
        <f t="shared" si="27"/>
        <v>99000</v>
      </c>
      <c r="Q354" s="15">
        <f t="shared" si="28"/>
        <v>0.19999999999999996</v>
      </c>
      <c r="R354" s="17">
        <f t="shared" si="29"/>
        <v>0</v>
      </c>
      <c r="S354" s="13" t="s">
        <v>543</v>
      </c>
    </row>
    <row r="355" spans="1:19" x14ac:dyDescent="0.25">
      <c r="A355" s="4" t="s">
        <v>162</v>
      </c>
      <c r="B355" s="5" t="s">
        <v>124</v>
      </c>
      <c r="C355" s="4" t="s">
        <v>13</v>
      </c>
      <c r="D355" s="5" t="s">
        <v>163</v>
      </c>
      <c r="E355" s="4" t="s">
        <v>113</v>
      </c>
      <c r="F355" s="4" t="s">
        <v>114</v>
      </c>
      <c r="G355" s="4" t="s">
        <v>16</v>
      </c>
      <c r="H355" s="12">
        <v>0.5</v>
      </c>
      <c r="I355" s="7">
        <v>13000</v>
      </c>
      <c r="J355" s="7">
        <f t="shared" si="26"/>
        <v>6500</v>
      </c>
      <c r="K355" s="8" t="s">
        <v>17</v>
      </c>
      <c r="L355" t="str">
        <f>IFERROR(VLOOKUP(F355,MÃ!$A:$B,2,0),0)</f>
        <v>NL300059</v>
      </c>
      <c r="M355" t="str">
        <f t="shared" si="30"/>
        <v>12/01/2026NL300059</v>
      </c>
      <c r="N355" s="15">
        <f>IFERROR(VLOOKUP(M355,'WS3'!$B$2:$Q$437,11,0),0)</f>
        <v>0.5</v>
      </c>
      <c r="O355" s="17">
        <f>IFERROR(VLOOKUP(M355,'WS3'!$B$2:$Q$437,12,0),0)</f>
        <v>13000</v>
      </c>
      <c r="P355" s="17">
        <f t="shared" si="27"/>
        <v>6500</v>
      </c>
      <c r="Q355" s="15">
        <f t="shared" si="28"/>
        <v>0</v>
      </c>
      <c r="R355" s="17">
        <f t="shared" si="29"/>
        <v>0</v>
      </c>
      <c r="S355" s="13"/>
    </row>
    <row r="356" spans="1:19" x14ac:dyDescent="0.25">
      <c r="A356" s="4" t="s">
        <v>162</v>
      </c>
      <c r="B356" s="5" t="s">
        <v>124</v>
      </c>
      <c r="C356" s="4" t="s">
        <v>13</v>
      </c>
      <c r="D356" s="5" t="s">
        <v>163</v>
      </c>
      <c r="E356" s="4" t="s">
        <v>40</v>
      </c>
      <c r="F356" s="4" t="s">
        <v>41</v>
      </c>
      <c r="G356" s="4" t="s">
        <v>16</v>
      </c>
      <c r="H356" s="12">
        <v>0.2</v>
      </c>
      <c r="I356" s="7">
        <v>80000</v>
      </c>
      <c r="J356" s="7">
        <f t="shared" si="26"/>
        <v>16000</v>
      </c>
      <c r="K356" s="8" t="s">
        <v>17</v>
      </c>
      <c r="L356" t="str">
        <f>IFERROR(VLOOKUP(F356,MÃ!$A:$B,2,0),0)</f>
        <v>NL300055</v>
      </c>
      <c r="M356" t="str">
        <f t="shared" si="30"/>
        <v>12/01/2026NL300055</v>
      </c>
      <c r="N356" s="15">
        <f>IFERROR(VLOOKUP(M356,'WS3'!$B$2:$Q$437,11,0),0)</f>
        <v>0.2</v>
      </c>
      <c r="O356" s="17">
        <f>IFERROR(VLOOKUP(M356,'WS3'!$B$2:$Q$437,12,0),0)</f>
        <v>80000</v>
      </c>
      <c r="P356" s="17">
        <f t="shared" si="27"/>
        <v>16000</v>
      </c>
      <c r="Q356" s="15">
        <f t="shared" si="28"/>
        <v>0</v>
      </c>
      <c r="R356" s="17">
        <f t="shared" si="29"/>
        <v>0</v>
      </c>
      <c r="S356" s="13"/>
    </row>
    <row r="357" spans="1:19" x14ac:dyDescent="0.25">
      <c r="A357" s="4" t="s">
        <v>162</v>
      </c>
      <c r="B357" s="5" t="s">
        <v>124</v>
      </c>
      <c r="C357" s="4" t="s">
        <v>13</v>
      </c>
      <c r="D357" s="5" t="s">
        <v>163</v>
      </c>
      <c r="E357" s="4" t="s">
        <v>65</v>
      </c>
      <c r="F357" s="4" t="s">
        <v>66</v>
      </c>
      <c r="G357" s="4" t="s">
        <v>16</v>
      </c>
      <c r="H357" s="12">
        <v>0.6</v>
      </c>
      <c r="I357" s="7">
        <v>23000</v>
      </c>
      <c r="J357" s="7">
        <f t="shared" si="26"/>
        <v>13800</v>
      </c>
      <c r="K357" s="8" t="s">
        <v>17</v>
      </c>
      <c r="L357" t="str">
        <f>IFERROR(VLOOKUP(F357,MÃ!$A:$B,2,0),0)</f>
        <v>NL300070</v>
      </c>
      <c r="M357" t="str">
        <f t="shared" si="30"/>
        <v>12/01/2026NL300070</v>
      </c>
      <c r="N357" s="15">
        <f>IFERROR(VLOOKUP(M357,'WS3'!$B$2:$Q$437,11,0),0)</f>
        <v>0.6</v>
      </c>
      <c r="O357" s="17">
        <f>IFERROR(VLOOKUP(M357,'WS3'!$B$2:$Q$437,12,0),0)</f>
        <v>23000</v>
      </c>
      <c r="P357" s="17">
        <f t="shared" si="27"/>
        <v>13800</v>
      </c>
      <c r="Q357" s="15">
        <f t="shared" si="28"/>
        <v>0</v>
      </c>
      <c r="R357" s="17">
        <f t="shared" si="29"/>
        <v>0</v>
      </c>
      <c r="S357" s="13"/>
    </row>
    <row r="358" spans="1:19" x14ac:dyDescent="0.25">
      <c r="A358" s="4" t="s">
        <v>162</v>
      </c>
      <c r="B358" s="5" t="s">
        <v>124</v>
      </c>
      <c r="C358" s="4" t="s">
        <v>13</v>
      </c>
      <c r="D358" s="5" t="s">
        <v>163</v>
      </c>
      <c r="E358" s="4" t="s">
        <v>71</v>
      </c>
      <c r="F358" s="4" t="s">
        <v>72</v>
      </c>
      <c r="G358" s="4" t="s">
        <v>16</v>
      </c>
      <c r="H358" s="12">
        <v>2</v>
      </c>
      <c r="I358" s="7">
        <v>47000</v>
      </c>
      <c r="J358" s="7">
        <f t="shared" si="26"/>
        <v>94000</v>
      </c>
      <c r="K358" s="8" t="s">
        <v>17</v>
      </c>
      <c r="L358" t="str">
        <f>IFERROR(VLOOKUP(F358,MÃ!$A:$B,2,0),0)</f>
        <v>NL300091</v>
      </c>
      <c r="M358" t="str">
        <f t="shared" si="30"/>
        <v>12/01/2026NL300091</v>
      </c>
      <c r="N358" s="15">
        <f>IFERROR(VLOOKUP(M358,'WS3'!$B$2:$Q$437,11,0),0)</f>
        <v>2</v>
      </c>
      <c r="O358" s="17">
        <f>IFERROR(VLOOKUP(M358,'WS3'!$B$2:$Q$437,12,0),0)</f>
        <v>47000</v>
      </c>
      <c r="P358" s="17">
        <f t="shared" si="27"/>
        <v>94000</v>
      </c>
      <c r="Q358" s="15">
        <f t="shared" si="28"/>
        <v>0</v>
      </c>
      <c r="R358" s="17">
        <f t="shared" si="29"/>
        <v>0</v>
      </c>
      <c r="S358" s="13"/>
    </row>
    <row r="359" spans="1:19" x14ac:dyDescent="0.25">
      <c r="A359" s="4" t="s">
        <v>162</v>
      </c>
      <c r="B359" s="5" t="s">
        <v>124</v>
      </c>
      <c r="C359" s="4" t="s">
        <v>13</v>
      </c>
      <c r="D359" s="5" t="s">
        <v>163</v>
      </c>
      <c r="E359" s="4" t="s">
        <v>73</v>
      </c>
      <c r="F359" s="4" t="s">
        <v>74</v>
      </c>
      <c r="G359" s="4" t="s">
        <v>16</v>
      </c>
      <c r="H359" s="12">
        <v>0.5</v>
      </c>
      <c r="I359" s="7">
        <v>90000</v>
      </c>
      <c r="J359" s="7">
        <f t="shared" si="26"/>
        <v>45000</v>
      </c>
      <c r="K359" s="8" t="s">
        <v>17</v>
      </c>
      <c r="L359" t="str">
        <f>IFERROR(VLOOKUP(F359,MÃ!$A:$B,2,0),0)</f>
        <v>NL300092</v>
      </c>
      <c r="M359" t="str">
        <f t="shared" si="30"/>
        <v>12/01/2026NL300092</v>
      </c>
      <c r="N359" s="15">
        <f>IFERROR(VLOOKUP(M359,'WS3'!$B$2:$Q$437,11,0),0)</f>
        <v>4.2</v>
      </c>
      <c r="O359" s="17">
        <f>IFERROR(VLOOKUP(M359,'WS3'!$B$2:$Q$437,12,0),0)</f>
        <v>90000</v>
      </c>
      <c r="P359" s="17">
        <f t="shared" si="27"/>
        <v>378000</v>
      </c>
      <c r="Q359" s="15">
        <f t="shared" si="28"/>
        <v>-3.7</v>
      </c>
      <c r="R359" s="17">
        <f t="shared" si="29"/>
        <v>0</v>
      </c>
      <c r="S359" s="13" t="s">
        <v>543</v>
      </c>
    </row>
    <row r="360" spans="1:19" x14ac:dyDescent="0.25">
      <c r="A360" s="4" t="s">
        <v>162</v>
      </c>
      <c r="B360" s="5" t="s">
        <v>124</v>
      </c>
      <c r="C360" s="4" t="s">
        <v>13</v>
      </c>
      <c r="D360" s="5" t="s">
        <v>163</v>
      </c>
      <c r="E360" s="4" t="s">
        <v>100</v>
      </c>
      <c r="F360" s="4" t="s">
        <v>101</v>
      </c>
      <c r="G360" s="4" t="s">
        <v>16</v>
      </c>
      <c r="H360" s="12">
        <v>1</v>
      </c>
      <c r="I360" s="7">
        <v>80000</v>
      </c>
      <c r="J360" s="7">
        <f t="shared" si="26"/>
        <v>80000</v>
      </c>
      <c r="K360" s="8" t="s">
        <v>17</v>
      </c>
      <c r="L360" t="str">
        <f>IFERROR(VLOOKUP(F360,MÃ!$A:$B,2,0),0)</f>
        <v>NL300094</v>
      </c>
      <c r="M360" t="str">
        <f t="shared" si="30"/>
        <v>12/01/2026NL300094</v>
      </c>
      <c r="N360" s="15">
        <f>IFERROR(VLOOKUP(M360,'WS3'!$B$2:$Q$437,11,0),0)</f>
        <v>1</v>
      </c>
      <c r="O360" s="17">
        <f>IFERROR(VLOOKUP(M360,'WS3'!$B$2:$Q$437,12,0),0)</f>
        <v>80000</v>
      </c>
      <c r="P360" s="17">
        <f t="shared" si="27"/>
        <v>80000</v>
      </c>
      <c r="Q360" s="15">
        <f t="shared" si="28"/>
        <v>0</v>
      </c>
      <c r="R360" s="17">
        <f t="shared" si="29"/>
        <v>0</v>
      </c>
      <c r="S360" s="13"/>
    </row>
    <row r="361" spans="1:19" ht="28.5" x14ac:dyDescent="0.25">
      <c r="A361" s="4" t="s">
        <v>162</v>
      </c>
      <c r="B361" s="5" t="s">
        <v>124</v>
      </c>
      <c r="C361" s="4" t="s">
        <v>13</v>
      </c>
      <c r="D361" s="5" t="s">
        <v>163</v>
      </c>
      <c r="E361" s="4" t="s">
        <v>75</v>
      </c>
      <c r="F361" s="4" t="s">
        <v>76</v>
      </c>
      <c r="G361" s="4" t="s">
        <v>16</v>
      </c>
      <c r="H361" s="12">
        <v>0.5</v>
      </c>
      <c r="I361" s="7">
        <v>90000</v>
      </c>
      <c r="J361" s="7">
        <f t="shared" si="26"/>
        <v>45000</v>
      </c>
      <c r="K361" s="8" t="s">
        <v>17</v>
      </c>
      <c r="L361" t="str">
        <f>IFERROR(VLOOKUP(F361,MÃ!$A:$B,2,0),0)</f>
        <v>NL300097</v>
      </c>
      <c r="M361" t="str">
        <f t="shared" si="30"/>
        <v>12/01/2026NL300097</v>
      </c>
      <c r="N361" s="15">
        <f>IFERROR(VLOOKUP(M361,'WS3'!$B$2:$Q$437,11,0),0)</f>
        <v>0.5</v>
      </c>
      <c r="O361" s="17">
        <f>IFERROR(VLOOKUP(M361,'WS3'!$B$2:$Q$437,12,0),0)</f>
        <v>90000</v>
      </c>
      <c r="P361" s="17">
        <f t="shared" si="27"/>
        <v>45000</v>
      </c>
      <c r="Q361" s="15">
        <f t="shared" si="28"/>
        <v>0</v>
      </c>
      <c r="R361" s="17">
        <f t="shared" si="29"/>
        <v>0</v>
      </c>
      <c r="S361" s="13"/>
    </row>
    <row r="362" spans="1:19" x14ac:dyDescent="0.25">
      <c r="A362" s="4" t="s">
        <v>162</v>
      </c>
      <c r="B362" s="5" t="s">
        <v>124</v>
      </c>
      <c r="C362" s="4" t="s">
        <v>13</v>
      </c>
      <c r="D362" s="5" t="s">
        <v>163</v>
      </c>
      <c r="E362" s="4" t="s">
        <v>109</v>
      </c>
      <c r="F362" s="4" t="s">
        <v>110</v>
      </c>
      <c r="G362" s="4" t="s">
        <v>16</v>
      </c>
      <c r="H362" s="12">
        <v>0.5</v>
      </c>
      <c r="I362" s="7">
        <v>195000</v>
      </c>
      <c r="J362" s="7">
        <f t="shared" si="26"/>
        <v>97500</v>
      </c>
      <c r="K362" s="8" t="s">
        <v>17</v>
      </c>
      <c r="L362" t="str">
        <f>IFERROR(VLOOKUP(F362,MÃ!$A:$B,2,0),0)</f>
        <v>NL300101</v>
      </c>
      <c r="M362" t="str">
        <f t="shared" si="30"/>
        <v>12/01/2026NL300101</v>
      </c>
      <c r="N362" s="15">
        <f>IFERROR(VLOOKUP(M362,'WS3'!$B$2:$Q$437,11,0),0)</f>
        <v>0.5</v>
      </c>
      <c r="O362" s="17">
        <f>IFERROR(VLOOKUP(M362,'WS3'!$B$2:$Q$437,12,0),0)</f>
        <v>195000</v>
      </c>
      <c r="P362" s="17">
        <f t="shared" si="27"/>
        <v>97500</v>
      </c>
      <c r="Q362" s="15">
        <f t="shared" si="28"/>
        <v>0</v>
      </c>
      <c r="R362" s="17">
        <f t="shared" si="29"/>
        <v>0</v>
      </c>
      <c r="S362" s="13"/>
    </row>
    <row r="363" spans="1:19" x14ac:dyDescent="0.25">
      <c r="A363" s="4" t="s">
        <v>162</v>
      </c>
      <c r="B363" s="5" t="s">
        <v>124</v>
      </c>
      <c r="C363" s="4" t="s">
        <v>13</v>
      </c>
      <c r="D363" s="5" t="s">
        <v>163</v>
      </c>
      <c r="E363" s="4" t="s">
        <v>77</v>
      </c>
      <c r="F363" s="4" t="s">
        <v>78</v>
      </c>
      <c r="G363" s="4" t="s">
        <v>16</v>
      </c>
      <c r="H363" s="12">
        <v>2</v>
      </c>
      <c r="I363" s="7">
        <v>45000</v>
      </c>
      <c r="J363" s="7">
        <f t="shared" si="26"/>
        <v>90000</v>
      </c>
      <c r="K363" s="8" t="s">
        <v>17</v>
      </c>
      <c r="L363" t="str">
        <f>IFERROR(VLOOKUP(F363,MÃ!$A:$B,2,0),0)</f>
        <v>NL300085</v>
      </c>
      <c r="M363" t="str">
        <f t="shared" si="30"/>
        <v>12/01/2026NL300085</v>
      </c>
      <c r="N363" s="15">
        <f>IFERROR(VLOOKUP(M363,'WS3'!$B$2:$Q$437,11,0),0)</f>
        <v>2</v>
      </c>
      <c r="O363" s="17">
        <f>IFERROR(VLOOKUP(M363,'WS3'!$B$2:$Q$437,12,0),0)</f>
        <v>45000</v>
      </c>
      <c r="P363" s="17">
        <f t="shared" si="27"/>
        <v>90000</v>
      </c>
      <c r="Q363" s="15">
        <f t="shared" si="28"/>
        <v>0</v>
      </c>
      <c r="R363" s="17">
        <f t="shared" si="29"/>
        <v>0</v>
      </c>
      <c r="S363" s="13"/>
    </row>
    <row r="364" spans="1:19" x14ac:dyDescent="0.25">
      <c r="A364" s="4" t="s">
        <v>162</v>
      </c>
      <c r="B364" s="5" t="s">
        <v>124</v>
      </c>
      <c r="C364" s="4" t="s">
        <v>13</v>
      </c>
      <c r="D364" s="5" t="s">
        <v>163</v>
      </c>
      <c r="E364" s="4" t="s">
        <v>79</v>
      </c>
      <c r="F364" s="4" t="s">
        <v>80</v>
      </c>
      <c r="G364" s="4" t="s">
        <v>16</v>
      </c>
      <c r="H364" s="12">
        <v>0.2</v>
      </c>
      <c r="I364" s="7">
        <v>70000</v>
      </c>
      <c r="J364" s="7">
        <f t="shared" si="26"/>
        <v>14000</v>
      </c>
      <c r="K364" s="8" t="s">
        <v>17</v>
      </c>
      <c r="L364" t="str">
        <f>IFERROR(VLOOKUP(F364,MÃ!$A:$B,2,0),0)</f>
        <v>NL300126</v>
      </c>
      <c r="M364" t="str">
        <f t="shared" si="30"/>
        <v>12/01/2026NL300126</v>
      </c>
      <c r="N364" s="15">
        <f>IFERROR(VLOOKUP(M364,'WS3'!$B$2:$Q$437,11,0),0)</f>
        <v>0.1</v>
      </c>
      <c r="O364" s="17">
        <f>IFERROR(VLOOKUP(M364,'WS3'!$B$2:$Q$437,12,0),0)</f>
        <v>70000</v>
      </c>
      <c r="P364" s="17">
        <f t="shared" si="27"/>
        <v>7000</v>
      </c>
      <c r="Q364" s="15">
        <f t="shared" si="28"/>
        <v>0.1</v>
      </c>
      <c r="R364" s="17">
        <f t="shared" si="29"/>
        <v>0</v>
      </c>
      <c r="S364" s="13" t="s">
        <v>543</v>
      </c>
    </row>
    <row r="365" spans="1:19" x14ac:dyDescent="0.25">
      <c r="A365" s="4" t="s">
        <v>162</v>
      </c>
      <c r="B365" s="5" t="s">
        <v>124</v>
      </c>
      <c r="C365" s="4" t="s">
        <v>13</v>
      </c>
      <c r="D365" s="5" t="s">
        <v>163</v>
      </c>
      <c r="E365" s="4" t="s">
        <v>128</v>
      </c>
      <c r="F365" s="4" t="s">
        <v>129</v>
      </c>
      <c r="G365" s="4" t="s">
        <v>16</v>
      </c>
      <c r="H365" s="12">
        <v>0.1</v>
      </c>
      <c r="I365" s="7">
        <v>185000</v>
      </c>
      <c r="J365" s="7">
        <f t="shared" si="26"/>
        <v>18500</v>
      </c>
      <c r="K365" s="8" t="s">
        <v>17</v>
      </c>
      <c r="L365" t="str">
        <f>IFERROR(VLOOKUP(F365,MÃ!$A:$B,2,0),0)</f>
        <v>NL300111</v>
      </c>
      <c r="M365" t="str">
        <f t="shared" si="30"/>
        <v>12/01/2026NL300111</v>
      </c>
      <c r="N365" s="15">
        <f>IFERROR(VLOOKUP(M365,'WS3'!$B$2:$Q$437,11,0),0)</f>
        <v>0.1</v>
      </c>
      <c r="O365" s="17">
        <f>IFERROR(VLOOKUP(M365,'WS3'!$B$2:$Q$437,12,0),0)</f>
        <v>185000</v>
      </c>
      <c r="P365" s="17">
        <f t="shared" si="27"/>
        <v>18500</v>
      </c>
      <c r="Q365" s="15">
        <f t="shared" si="28"/>
        <v>0</v>
      </c>
      <c r="R365" s="17">
        <f t="shared" si="29"/>
        <v>0</v>
      </c>
      <c r="S365" s="13"/>
    </row>
    <row r="366" spans="1:19" x14ac:dyDescent="0.25">
      <c r="A366" s="4" t="s">
        <v>162</v>
      </c>
      <c r="B366" s="5" t="s">
        <v>124</v>
      </c>
      <c r="C366" s="4" t="s">
        <v>13</v>
      </c>
      <c r="D366" s="5" t="s">
        <v>163</v>
      </c>
      <c r="E366" s="4" t="s">
        <v>46</v>
      </c>
      <c r="F366" s="4" t="s">
        <v>47</v>
      </c>
      <c r="G366" s="4" t="s">
        <v>16</v>
      </c>
      <c r="H366" s="12">
        <v>0.3</v>
      </c>
      <c r="I366" s="7">
        <v>148000</v>
      </c>
      <c r="J366" s="7">
        <f t="shared" si="26"/>
        <v>44400</v>
      </c>
      <c r="K366" s="8" t="s">
        <v>17</v>
      </c>
      <c r="L366" t="str">
        <f>IFERROR(VLOOKUP(F366,MÃ!$A:$B,2,0),0)</f>
        <v>NL300116</v>
      </c>
      <c r="M366" t="str">
        <f t="shared" si="30"/>
        <v>12/01/2026NL300116</v>
      </c>
      <c r="N366" s="15">
        <f>IFERROR(VLOOKUP(M366,'WS3'!$B$2:$Q$437,11,0),0)</f>
        <v>0.3</v>
      </c>
      <c r="O366" s="17">
        <f>IFERROR(VLOOKUP(M366,'WS3'!$B$2:$Q$437,12,0),0)</f>
        <v>148000</v>
      </c>
      <c r="P366" s="17">
        <f t="shared" si="27"/>
        <v>44400</v>
      </c>
      <c r="Q366" s="15">
        <f t="shared" si="28"/>
        <v>0</v>
      </c>
      <c r="R366" s="17">
        <f t="shared" si="29"/>
        <v>0</v>
      </c>
      <c r="S366" s="13"/>
    </row>
    <row r="367" spans="1:19" x14ac:dyDescent="0.25">
      <c r="A367" s="4" t="s">
        <v>162</v>
      </c>
      <c r="B367" s="5" t="s">
        <v>124</v>
      </c>
      <c r="C367" s="4" t="s">
        <v>13</v>
      </c>
      <c r="D367" s="5" t="s">
        <v>163</v>
      </c>
      <c r="E367" s="4" t="s">
        <v>48</v>
      </c>
      <c r="F367" s="4" t="s">
        <v>49</v>
      </c>
      <c r="G367" s="4" t="s">
        <v>16</v>
      </c>
      <c r="H367" s="12">
        <v>0.5</v>
      </c>
      <c r="I367" s="7">
        <v>42000</v>
      </c>
      <c r="J367" s="7">
        <f t="shared" si="26"/>
        <v>21000</v>
      </c>
      <c r="K367" s="8" t="s">
        <v>17</v>
      </c>
      <c r="L367" t="str">
        <f>IFERROR(VLOOKUP(F367,MÃ!$A:$B,2,0),0)</f>
        <v>NL300125</v>
      </c>
      <c r="M367" t="str">
        <f t="shared" si="30"/>
        <v>12/01/2026NL300125</v>
      </c>
      <c r="N367" s="15">
        <f>IFERROR(VLOOKUP(M367,'WS3'!$B$2:$Q$437,11,0),0)</f>
        <v>0.5</v>
      </c>
      <c r="O367" s="17">
        <f>IFERROR(VLOOKUP(M367,'WS3'!$B$2:$Q$437,12,0),0)</f>
        <v>42000</v>
      </c>
      <c r="P367" s="17">
        <f t="shared" si="27"/>
        <v>21000</v>
      </c>
      <c r="Q367" s="15">
        <f t="shared" si="28"/>
        <v>0</v>
      </c>
      <c r="R367" s="17">
        <f t="shared" si="29"/>
        <v>0</v>
      </c>
      <c r="S367" s="13"/>
    </row>
    <row r="368" spans="1:19" x14ac:dyDescent="0.25">
      <c r="A368" s="4" t="s">
        <v>162</v>
      </c>
      <c r="B368" s="5" t="s">
        <v>124</v>
      </c>
      <c r="C368" s="4" t="s">
        <v>13</v>
      </c>
      <c r="D368" s="5" t="s">
        <v>163</v>
      </c>
      <c r="E368" s="4" t="s">
        <v>50</v>
      </c>
      <c r="F368" s="4" t="s">
        <v>51</v>
      </c>
      <c r="G368" s="4" t="s">
        <v>16</v>
      </c>
      <c r="H368" s="12">
        <v>0.1</v>
      </c>
      <c r="I368" s="7">
        <v>22000</v>
      </c>
      <c r="J368" s="7">
        <f t="shared" si="26"/>
        <v>2200</v>
      </c>
      <c r="K368" s="8" t="s">
        <v>17</v>
      </c>
      <c r="L368" t="str">
        <f>IFERROR(VLOOKUP(F368,MÃ!$A:$B,2,0),0)</f>
        <v>NL300121</v>
      </c>
      <c r="M368" t="str">
        <f t="shared" si="30"/>
        <v>12/01/2026NL300121</v>
      </c>
      <c r="N368" s="15">
        <f>IFERROR(VLOOKUP(M368,'WS3'!$B$2:$Q$437,11,0),0)</f>
        <v>0.1</v>
      </c>
      <c r="O368" s="17">
        <f>IFERROR(VLOOKUP(M368,'WS3'!$B$2:$Q$437,12,0),0)</f>
        <v>22000</v>
      </c>
      <c r="P368" s="17">
        <f t="shared" si="27"/>
        <v>2200</v>
      </c>
      <c r="Q368" s="15">
        <f t="shared" si="28"/>
        <v>0</v>
      </c>
      <c r="R368" s="17">
        <f t="shared" si="29"/>
        <v>0</v>
      </c>
      <c r="S368" s="13"/>
    </row>
    <row r="369" spans="1:19" x14ac:dyDescent="0.25">
      <c r="A369" s="4" t="s">
        <v>162</v>
      </c>
      <c r="B369" s="5" t="s">
        <v>124</v>
      </c>
      <c r="C369" s="4" t="s">
        <v>13</v>
      </c>
      <c r="D369" s="5" t="s">
        <v>163</v>
      </c>
      <c r="E369" s="4" t="s">
        <v>81</v>
      </c>
      <c r="F369" s="4" t="s">
        <v>82</v>
      </c>
      <c r="G369" s="4" t="s">
        <v>16</v>
      </c>
      <c r="H369" s="12">
        <v>1</v>
      </c>
      <c r="I369" s="7">
        <v>12000</v>
      </c>
      <c r="J369" s="7">
        <f t="shared" si="26"/>
        <v>12000</v>
      </c>
      <c r="K369" s="8" t="s">
        <v>17</v>
      </c>
      <c r="L369" t="str">
        <f>IFERROR(VLOOKUP(F369,MÃ!$A:$B,2,0),0)</f>
        <v>NL300132</v>
      </c>
      <c r="M369" t="str">
        <f t="shared" si="30"/>
        <v>12/01/2026NL300132</v>
      </c>
      <c r="N369" s="15">
        <f>IFERROR(VLOOKUP(M369,'WS3'!$B$2:$Q$437,11,0),0)</f>
        <v>1</v>
      </c>
      <c r="O369" s="17">
        <f>IFERROR(VLOOKUP(M369,'WS3'!$B$2:$Q$437,12,0),0)</f>
        <v>12000</v>
      </c>
      <c r="P369" s="17">
        <f t="shared" si="27"/>
        <v>12000</v>
      </c>
      <c r="Q369" s="15">
        <f t="shared" si="28"/>
        <v>0</v>
      </c>
      <c r="R369" s="17">
        <f t="shared" si="29"/>
        <v>0</v>
      </c>
      <c r="S369" s="13"/>
    </row>
    <row r="370" spans="1:19" x14ac:dyDescent="0.25">
      <c r="A370" s="4" t="s">
        <v>162</v>
      </c>
      <c r="B370" s="5" t="s">
        <v>124</v>
      </c>
      <c r="C370" s="4" t="s">
        <v>13</v>
      </c>
      <c r="D370" s="5" t="s">
        <v>163</v>
      </c>
      <c r="E370" s="4" t="s">
        <v>52</v>
      </c>
      <c r="F370" s="4" t="s">
        <v>53</v>
      </c>
      <c r="G370" s="4" t="s">
        <v>16</v>
      </c>
      <c r="H370" s="12">
        <v>0.3</v>
      </c>
      <c r="I370" s="7">
        <v>21000</v>
      </c>
      <c r="J370" s="7">
        <f t="shared" si="26"/>
        <v>6300</v>
      </c>
      <c r="K370" s="8" t="s">
        <v>17</v>
      </c>
      <c r="L370" t="str">
        <f>IFERROR(VLOOKUP(F370,MÃ!$A:$B,2,0),0)</f>
        <v>NL300119</v>
      </c>
      <c r="M370" t="str">
        <f t="shared" si="30"/>
        <v>12/01/2026NL300119</v>
      </c>
      <c r="N370" s="15">
        <f>IFERROR(VLOOKUP(M370,'WS3'!$B$2:$Q$437,11,0),0)</f>
        <v>0.3</v>
      </c>
      <c r="O370" s="17">
        <f>IFERROR(VLOOKUP(M370,'WS3'!$B$2:$Q$437,12,0),0)</f>
        <v>21000</v>
      </c>
      <c r="P370" s="17">
        <f t="shared" si="27"/>
        <v>6300</v>
      </c>
      <c r="Q370" s="15">
        <f t="shared" si="28"/>
        <v>0</v>
      </c>
      <c r="R370" s="17">
        <f t="shared" si="29"/>
        <v>0</v>
      </c>
      <c r="S370" s="13"/>
    </row>
    <row r="371" spans="1:19" x14ac:dyDescent="0.25">
      <c r="A371" s="4" t="s">
        <v>162</v>
      </c>
      <c r="B371" s="5" t="s">
        <v>124</v>
      </c>
      <c r="C371" s="4" t="s">
        <v>13</v>
      </c>
      <c r="D371" s="5" t="s">
        <v>163</v>
      </c>
      <c r="E371" s="4" t="s">
        <v>83</v>
      </c>
      <c r="F371" s="4" t="s">
        <v>84</v>
      </c>
      <c r="G371" s="4" t="s">
        <v>16</v>
      </c>
      <c r="H371" s="12">
        <v>0.1</v>
      </c>
      <c r="I371" s="7">
        <v>42000</v>
      </c>
      <c r="J371" s="7">
        <f t="shared" si="26"/>
        <v>4200</v>
      </c>
      <c r="K371" s="8" t="s">
        <v>17</v>
      </c>
      <c r="L371" t="str">
        <f>IFERROR(VLOOKUP(F371,MÃ!$A:$B,2,0),0)</f>
        <v>NL300139</v>
      </c>
      <c r="M371" t="str">
        <f t="shared" si="30"/>
        <v>12/01/2026NL300139</v>
      </c>
      <c r="N371" s="15">
        <f>IFERROR(VLOOKUP(M371,'WS3'!$B$2:$Q$437,11,0),0)</f>
        <v>0.1</v>
      </c>
      <c r="O371" s="17">
        <f>IFERROR(VLOOKUP(M371,'WS3'!$B$2:$Q$437,12,0),0)</f>
        <v>42000</v>
      </c>
      <c r="P371" s="17">
        <f t="shared" si="27"/>
        <v>4200</v>
      </c>
      <c r="Q371" s="15">
        <f t="shared" si="28"/>
        <v>0</v>
      </c>
      <c r="R371" s="17">
        <f t="shared" si="29"/>
        <v>0</v>
      </c>
      <c r="S371" s="13"/>
    </row>
    <row r="372" spans="1:19" x14ac:dyDescent="0.25">
      <c r="A372" s="4" t="s">
        <v>162</v>
      </c>
      <c r="B372" s="5" t="s">
        <v>124</v>
      </c>
      <c r="C372" s="4" t="s">
        <v>13</v>
      </c>
      <c r="D372" s="5" t="s">
        <v>163</v>
      </c>
      <c r="E372" s="4" t="s">
        <v>85</v>
      </c>
      <c r="F372" s="4" t="s">
        <v>86</v>
      </c>
      <c r="G372" s="4" t="s">
        <v>16</v>
      </c>
      <c r="H372" s="12">
        <v>2</v>
      </c>
      <c r="I372" s="7">
        <v>50000</v>
      </c>
      <c r="J372" s="7">
        <f t="shared" si="26"/>
        <v>100000</v>
      </c>
      <c r="K372" s="8" t="s">
        <v>17</v>
      </c>
      <c r="L372" t="str">
        <f>IFERROR(VLOOKUP(F372,MÃ!$A:$B,2,0),0)</f>
        <v>NL300142</v>
      </c>
      <c r="M372" t="str">
        <f t="shared" si="30"/>
        <v>12/01/2026NL300142</v>
      </c>
      <c r="N372" s="15">
        <f>IFERROR(VLOOKUP(M372,'WS3'!$B$2:$Q$437,11,0),0)</f>
        <v>2</v>
      </c>
      <c r="O372" s="17">
        <f>IFERROR(VLOOKUP(M372,'WS3'!$B$2:$Q$437,12,0),0)</f>
        <v>50000</v>
      </c>
      <c r="P372" s="17">
        <f t="shared" si="27"/>
        <v>100000</v>
      </c>
      <c r="Q372" s="15">
        <f t="shared" si="28"/>
        <v>0</v>
      </c>
      <c r="R372" s="17">
        <f t="shared" si="29"/>
        <v>0</v>
      </c>
      <c r="S372" s="13"/>
    </row>
    <row r="373" spans="1:19" x14ac:dyDescent="0.25">
      <c r="A373" s="4" t="s">
        <v>162</v>
      </c>
      <c r="B373" s="5" t="s">
        <v>124</v>
      </c>
      <c r="C373" s="4" t="s">
        <v>13</v>
      </c>
      <c r="D373" s="5" t="s">
        <v>163</v>
      </c>
      <c r="E373" s="4" t="s">
        <v>106</v>
      </c>
      <c r="F373" s="4" t="s">
        <v>107</v>
      </c>
      <c r="G373" s="4" t="s">
        <v>108</v>
      </c>
      <c r="H373" s="12">
        <v>30</v>
      </c>
      <c r="I373" s="7">
        <v>5000</v>
      </c>
      <c r="J373" s="7">
        <f t="shared" si="26"/>
        <v>150000</v>
      </c>
      <c r="K373" s="8" t="s">
        <v>17</v>
      </c>
      <c r="L373" t="str">
        <f>IFERROR(VLOOKUP(F373,MÃ!$A:$B,2,0),0)</f>
        <v>NL100101</v>
      </c>
      <c r="M373" t="str">
        <f t="shared" si="30"/>
        <v>12/01/2026NL100101</v>
      </c>
      <c r="N373" s="15">
        <f>IFERROR(VLOOKUP(M373,'WS3'!$B$2:$Q$437,11,0),0)</f>
        <v>25</v>
      </c>
      <c r="O373" s="17">
        <f>IFERROR(VLOOKUP(M373,'WS3'!$B$2:$Q$437,12,0),0)</f>
        <v>5000</v>
      </c>
      <c r="P373" s="17">
        <f t="shared" si="27"/>
        <v>125000</v>
      </c>
      <c r="Q373" s="15">
        <f t="shared" si="28"/>
        <v>5</v>
      </c>
      <c r="R373" s="17">
        <f t="shared" si="29"/>
        <v>0</v>
      </c>
      <c r="S373" s="13" t="s">
        <v>543</v>
      </c>
    </row>
    <row r="374" spans="1:19" x14ac:dyDescent="0.25">
      <c r="A374" s="4" t="s">
        <v>162</v>
      </c>
      <c r="B374" s="5" t="s">
        <v>124</v>
      </c>
      <c r="C374" s="4" t="s">
        <v>13</v>
      </c>
      <c r="D374" s="5" t="s">
        <v>163</v>
      </c>
      <c r="E374" s="4" t="s">
        <v>54</v>
      </c>
      <c r="F374" s="4" t="s">
        <v>55</v>
      </c>
      <c r="G374" s="4" t="s">
        <v>16</v>
      </c>
      <c r="H374" s="12">
        <v>5</v>
      </c>
      <c r="I374" s="7">
        <v>62000</v>
      </c>
      <c r="J374" s="7">
        <f t="shared" si="26"/>
        <v>310000</v>
      </c>
      <c r="K374" s="8" t="s">
        <v>17</v>
      </c>
      <c r="L374" t="str">
        <f>IFERROR(VLOOKUP(F374,MÃ!$A:$B,2,0),0)</f>
        <v>NL300147</v>
      </c>
      <c r="M374" t="str">
        <f t="shared" si="30"/>
        <v>12/01/2026NL300147</v>
      </c>
      <c r="N374" s="15">
        <f>IFERROR(VLOOKUP(M374,'WS3'!$B$2:$Q$437,11,0),0)</f>
        <v>4.5</v>
      </c>
      <c r="O374" s="17">
        <f>IFERROR(VLOOKUP(M374,'WS3'!$B$2:$Q$437,12,0),0)</f>
        <v>62000</v>
      </c>
      <c r="P374" s="17">
        <f t="shared" si="27"/>
        <v>279000</v>
      </c>
      <c r="Q374" s="15">
        <f t="shared" si="28"/>
        <v>0.5</v>
      </c>
      <c r="R374" s="17">
        <f t="shared" si="29"/>
        <v>0</v>
      </c>
      <c r="S374" s="13" t="s">
        <v>543</v>
      </c>
    </row>
    <row r="375" spans="1:19" ht="42.75" x14ac:dyDescent="0.25">
      <c r="A375" s="4" t="s">
        <v>162</v>
      </c>
      <c r="B375" s="5" t="s">
        <v>124</v>
      </c>
      <c r="C375" s="4" t="s">
        <v>13</v>
      </c>
      <c r="D375" s="5" t="s">
        <v>164</v>
      </c>
      <c r="E375" s="4" t="s">
        <v>28</v>
      </c>
      <c r="F375" s="4" t="s">
        <v>29</v>
      </c>
      <c r="G375" s="4" t="s">
        <v>16</v>
      </c>
      <c r="H375" s="12">
        <v>1.7</v>
      </c>
      <c r="I375" s="7">
        <v>30000</v>
      </c>
      <c r="J375" s="7">
        <f t="shared" si="26"/>
        <v>51000</v>
      </c>
      <c r="K375" s="8" t="s">
        <v>17</v>
      </c>
      <c r="L375" t="str">
        <f>IFERROR(VLOOKUP(F375,MÃ!$A:$B,2,0),0)</f>
        <v>NL300020</v>
      </c>
      <c r="M375" t="str">
        <f t="shared" si="30"/>
        <v>12/01/2026NL300020</v>
      </c>
      <c r="N375" s="15">
        <v>1.7</v>
      </c>
      <c r="O375" s="17">
        <f>IFERROR(VLOOKUP(M375,'WS3'!$B$2:$Q$437,12,0),0)</f>
        <v>30000</v>
      </c>
      <c r="P375" s="17">
        <f t="shared" si="27"/>
        <v>51000</v>
      </c>
      <c r="Q375" s="15">
        <f t="shared" si="28"/>
        <v>0</v>
      </c>
      <c r="R375" s="17">
        <f t="shared" si="29"/>
        <v>0</v>
      </c>
      <c r="S375" s="13"/>
    </row>
    <row r="376" spans="1:19" x14ac:dyDescent="0.25">
      <c r="A376" s="4" t="s">
        <v>165</v>
      </c>
      <c r="B376" s="5" t="s">
        <v>124</v>
      </c>
      <c r="C376" s="4" t="s">
        <v>13</v>
      </c>
      <c r="D376" s="5" t="s">
        <v>166</v>
      </c>
      <c r="E376" s="4" t="s">
        <v>18</v>
      </c>
      <c r="F376" s="4" t="s">
        <v>19</v>
      </c>
      <c r="G376" s="4" t="s">
        <v>16</v>
      </c>
      <c r="H376" s="12">
        <v>3</v>
      </c>
      <c r="I376" s="7">
        <v>15000</v>
      </c>
      <c r="J376" s="7">
        <f t="shared" si="26"/>
        <v>45000</v>
      </c>
      <c r="K376" s="8" t="s">
        <v>17</v>
      </c>
      <c r="L376" t="str">
        <f>IFERROR(VLOOKUP(F376,MÃ!$A:$B,2,0),0)</f>
        <v>NL300189</v>
      </c>
      <c r="M376" t="str">
        <f t="shared" si="30"/>
        <v>13/01/2026NL300189</v>
      </c>
      <c r="N376" s="15">
        <f>IFERROR(VLOOKUP(M376,'WS3'!$B$2:$Q$437,11,0),0)</f>
        <v>3</v>
      </c>
      <c r="O376" s="17">
        <f>IFERROR(VLOOKUP(M376,'WS3'!$B$2:$Q$437,12,0),0)</f>
        <v>15000</v>
      </c>
      <c r="P376" s="17">
        <f t="shared" si="27"/>
        <v>45000</v>
      </c>
      <c r="Q376" s="15">
        <f t="shared" si="28"/>
        <v>0</v>
      </c>
      <c r="R376" s="17">
        <f t="shared" si="29"/>
        <v>0</v>
      </c>
      <c r="S376" s="13"/>
    </row>
    <row r="377" spans="1:19" ht="28.5" x14ac:dyDescent="0.25">
      <c r="A377" s="4" t="s">
        <v>165</v>
      </c>
      <c r="B377" s="5" t="s">
        <v>124</v>
      </c>
      <c r="C377" s="4" t="s">
        <v>13</v>
      </c>
      <c r="D377" s="5" t="s">
        <v>166</v>
      </c>
      <c r="E377" s="4" t="s">
        <v>56</v>
      </c>
      <c r="F377" s="4" t="s">
        <v>57</v>
      </c>
      <c r="G377" s="4" t="s">
        <v>58</v>
      </c>
      <c r="H377" s="12">
        <v>5</v>
      </c>
      <c r="I377" s="7">
        <v>8500</v>
      </c>
      <c r="J377" s="7">
        <f t="shared" si="26"/>
        <v>42500</v>
      </c>
      <c r="K377" s="8" t="s">
        <v>17</v>
      </c>
      <c r="L377" t="str">
        <f>IFERROR(VLOOKUP(F377,MÃ!$A:$B,2,0),0)</f>
        <v>NL300107</v>
      </c>
      <c r="M377" t="str">
        <f t="shared" si="30"/>
        <v>13/01/2026NL300107</v>
      </c>
      <c r="N377" s="15">
        <f>IFERROR(VLOOKUP(M377,'WS3'!$B$2:$Q$437,11,0),0)</f>
        <v>5</v>
      </c>
      <c r="O377" s="17">
        <f>IFERROR(VLOOKUP(M377,'WS3'!$B$2:$Q$437,12,0),0)</f>
        <v>8500</v>
      </c>
      <c r="P377" s="17">
        <f t="shared" si="27"/>
        <v>42500</v>
      </c>
      <c r="Q377" s="15">
        <f t="shared" si="28"/>
        <v>0</v>
      </c>
      <c r="R377" s="17">
        <f t="shared" si="29"/>
        <v>0</v>
      </c>
      <c r="S377" s="13"/>
    </row>
    <row r="378" spans="1:19" x14ac:dyDescent="0.25">
      <c r="A378" s="4" t="s">
        <v>165</v>
      </c>
      <c r="B378" s="5" t="s">
        <v>124</v>
      </c>
      <c r="C378" s="4" t="s">
        <v>13</v>
      </c>
      <c r="D378" s="5" t="s">
        <v>166</v>
      </c>
      <c r="E378" s="4" t="s">
        <v>22</v>
      </c>
      <c r="F378" s="4" t="s">
        <v>23</v>
      </c>
      <c r="G378" s="4" t="s">
        <v>16</v>
      </c>
      <c r="H378" s="12">
        <v>3.1</v>
      </c>
      <c r="I378" s="7">
        <v>30000</v>
      </c>
      <c r="J378" s="7">
        <f t="shared" si="26"/>
        <v>93000</v>
      </c>
      <c r="K378" s="8" t="s">
        <v>17</v>
      </c>
      <c r="L378" t="str">
        <f>IFERROR(VLOOKUP(F378,MÃ!$A:$B,2,0),0)</f>
        <v>NL300007</v>
      </c>
      <c r="M378" t="str">
        <f t="shared" si="30"/>
        <v>13/01/2026NL300007</v>
      </c>
      <c r="N378" s="15">
        <f>IFERROR(VLOOKUP(M378,'WS3'!$B$2:$Q$437,11,0),0)</f>
        <v>3.1</v>
      </c>
      <c r="O378" s="17">
        <f>IFERROR(VLOOKUP(M378,'WS3'!$B$2:$Q$437,12,0),0)</f>
        <v>30000</v>
      </c>
      <c r="P378" s="17">
        <f t="shared" si="27"/>
        <v>93000</v>
      </c>
      <c r="Q378" s="15">
        <f t="shared" si="28"/>
        <v>0</v>
      </c>
      <c r="R378" s="17">
        <f t="shared" si="29"/>
        <v>0</v>
      </c>
      <c r="S378" s="13"/>
    </row>
    <row r="379" spans="1:19" x14ac:dyDescent="0.25">
      <c r="A379" s="4" t="s">
        <v>165</v>
      </c>
      <c r="B379" s="5" t="s">
        <v>124</v>
      </c>
      <c r="C379" s="4" t="s">
        <v>13</v>
      </c>
      <c r="D379" s="5" t="s">
        <v>166</v>
      </c>
      <c r="E379" s="4" t="s">
        <v>24</v>
      </c>
      <c r="F379" s="4" t="s">
        <v>25</v>
      </c>
      <c r="G379" s="4" t="s">
        <v>16</v>
      </c>
      <c r="H379" s="12">
        <v>12</v>
      </c>
      <c r="I379" s="7">
        <v>40000</v>
      </c>
      <c r="J379" s="7">
        <f t="shared" si="26"/>
        <v>480000</v>
      </c>
      <c r="K379" s="8" t="s">
        <v>17</v>
      </c>
      <c r="L379" t="str">
        <f>IFERROR(VLOOKUP(F379,MÃ!$A:$B,2,0),0)</f>
        <v>NL300008</v>
      </c>
      <c r="M379" t="str">
        <f t="shared" si="30"/>
        <v>13/01/2026NL300008</v>
      </c>
      <c r="N379" s="15">
        <f>IFERROR(VLOOKUP(M379,'WS3'!$B$2:$Q$437,11,0),0)</f>
        <v>9</v>
      </c>
      <c r="O379" s="17">
        <f>IFERROR(VLOOKUP(M379,'WS3'!$B$2:$Q$437,12,0),0)</f>
        <v>40000</v>
      </c>
      <c r="P379" s="17">
        <f t="shared" si="27"/>
        <v>360000</v>
      </c>
      <c r="Q379" s="15">
        <f t="shared" si="28"/>
        <v>3</v>
      </c>
      <c r="R379" s="17">
        <f t="shared" si="29"/>
        <v>0</v>
      </c>
      <c r="S379" s="13" t="s">
        <v>543</v>
      </c>
    </row>
    <row r="380" spans="1:19" ht="42.75" x14ac:dyDescent="0.25">
      <c r="A380" s="4" t="s">
        <v>165</v>
      </c>
      <c r="B380" s="5" t="s">
        <v>124</v>
      </c>
      <c r="C380" s="4" t="s">
        <v>13</v>
      </c>
      <c r="D380" s="5" t="s">
        <v>166</v>
      </c>
      <c r="E380" s="4" t="s">
        <v>28</v>
      </c>
      <c r="F380" s="4" t="s">
        <v>29</v>
      </c>
      <c r="G380" s="4" t="s">
        <v>16</v>
      </c>
      <c r="H380" s="12">
        <v>2</v>
      </c>
      <c r="I380" s="7">
        <v>30000</v>
      </c>
      <c r="J380" s="7">
        <f t="shared" si="26"/>
        <v>60000</v>
      </c>
      <c r="K380" s="8" t="s">
        <v>17</v>
      </c>
      <c r="L380" t="str">
        <f>IFERROR(VLOOKUP(F380,MÃ!$A:$B,2,0),0)</f>
        <v>NL300020</v>
      </c>
      <c r="M380" t="str">
        <f t="shared" si="30"/>
        <v>13/01/2026NL300020</v>
      </c>
      <c r="N380" s="15">
        <f>IFERROR(VLOOKUP(M380,'WS3'!$B$2:$Q$437,11,0),0)</f>
        <v>1</v>
      </c>
      <c r="O380" s="17">
        <f>IFERROR(VLOOKUP(M380,'WS3'!$B$2:$Q$437,12,0),0)</f>
        <v>30000</v>
      </c>
      <c r="P380" s="17">
        <f t="shared" si="27"/>
        <v>30000</v>
      </c>
      <c r="Q380" s="15">
        <f t="shared" si="28"/>
        <v>1</v>
      </c>
      <c r="R380" s="17">
        <f t="shared" si="29"/>
        <v>0</v>
      </c>
      <c r="S380" s="13" t="s">
        <v>543</v>
      </c>
    </row>
    <row r="381" spans="1:19" x14ac:dyDescent="0.25">
      <c r="A381" s="4" t="s">
        <v>165</v>
      </c>
      <c r="B381" s="5" t="s">
        <v>124</v>
      </c>
      <c r="C381" s="4" t="s">
        <v>13</v>
      </c>
      <c r="D381" s="5" t="s">
        <v>166</v>
      </c>
      <c r="E381" s="4" t="s">
        <v>89</v>
      </c>
      <c r="F381" s="4" t="s">
        <v>90</v>
      </c>
      <c r="G381" s="4" t="s">
        <v>16</v>
      </c>
      <c r="H381" s="12">
        <v>0.9</v>
      </c>
      <c r="I381" s="7">
        <v>44000</v>
      </c>
      <c r="J381" s="7">
        <f t="shared" si="26"/>
        <v>39600</v>
      </c>
      <c r="K381" s="8" t="s">
        <v>17</v>
      </c>
      <c r="L381" t="str">
        <f>IFERROR(VLOOKUP(F381,MÃ!$A:$B,2,0),0)</f>
        <v>NL300025</v>
      </c>
      <c r="M381" t="str">
        <f t="shared" si="30"/>
        <v>13/01/2026NL300025</v>
      </c>
      <c r="N381" s="15">
        <f>IFERROR(VLOOKUP(M381,'WS3'!$B$2:$Q$437,11,0),0)</f>
        <v>0.7</v>
      </c>
      <c r="O381" s="17">
        <f>IFERROR(VLOOKUP(M381,'WS3'!$B$2:$Q$437,12,0),0)</f>
        <v>44000</v>
      </c>
      <c r="P381" s="17">
        <f t="shared" si="27"/>
        <v>30799.999999999996</v>
      </c>
      <c r="Q381" s="15">
        <f t="shared" si="28"/>
        <v>0.20000000000000007</v>
      </c>
      <c r="R381" s="17">
        <f t="shared" si="29"/>
        <v>0</v>
      </c>
      <c r="S381" s="13" t="s">
        <v>543</v>
      </c>
    </row>
    <row r="382" spans="1:19" x14ac:dyDescent="0.25">
      <c r="A382" s="4" t="s">
        <v>165</v>
      </c>
      <c r="B382" s="5" t="s">
        <v>124</v>
      </c>
      <c r="C382" s="4" t="s">
        <v>13</v>
      </c>
      <c r="D382" s="5" t="s">
        <v>166</v>
      </c>
      <c r="E382" s="4" t="s">
        <v>61</v>
      </c>
      <c r="F382" s="4" t="s">
        <v>62</v>
      </c>
      <c r="G382" s="4" t="s">
        <v>16</v>
      </c>
      <c r="H382" s="12">
        <v>1</v>
      </c>
      <c r="I382" s="7">
        <v>22000</v>
      </c>
      <c r="J382" s="7">
        <f t="shared" si="26"/>
        <v>22000</v>
      </c>
      <c r="K382" s="8" t="s">
        <v>17</v>
      </c>
      <c r="L382" t="str">
        <f>IFERROR(VLOOKUP(F382,MÃ!$A:$B,2,0),0)</f>
        <v>NL300029</v>
      </c>
      <c r="M382" t="str">
        <f t="shared" si="30"/>
        <v>13/01/2026NL300029</v>
      </c>
      <c r="N382" s="15">
        <f>IFERROR(VLOOKUP(M382,'WS3'!$B$2:$Q$437,11,0),0)</f>
        <v>1</v>
      </c>
      <c r="O382" s="17">
        <f>IFERROR(VLOOKUP(M382,'WS3'!$B$2:$Q$437,12,0),0)</f>
        <v>22000</v>
      </c>
      <c r="P382" s="17">
        <f t="shared" si="27"/>
        <v>22000</v>
      </c>
      <c r="Q382" s="15">
        <f t="shared" si="28"/>
        <v>0</v>
      </c>
      <c r="R382" s="17">
        <f t="shared" si="29"/>
        <v>0</v>
      </c>
      <c r="S382" s="13"/>
    </row>
    <row r="383" spans="1:19" x14ac:dyDescent="0.25">
      <c r="A383" s="4" t="s">
        <v>165</v>
      </c>
      <c r="B383" s="5" t="s">
        <v>124</v>
      </c>
      <c r="C383" s="4" t="s">
        <v>13</v>
      </c>
      <c r="D383" s="5" t="s">
        <v>166</v>
      </c>
      <c r="E383" s="4" t="s">
        <v>30</v>
      </c>
      <c r="F383" s="4" t="s">
        <v>31</v>
      </c>
      <c r="G383" s="4" t="s">
        <v>16</v>
      </c>
      <c r="H383" s="12">
        <v>1</v>
      </c>
      <c r="I383" s="7">
        <v>38000</v>
      </c>
      <c r="J383" s="7">
        <f t="shared" si="26"/>
        <v>38000</v>
      </c>
      <c r="K383" s="8" t="s">
        <v>17</v>
      </c>
      <c r="L383" t="str">
        <f>IFERROR(VLOOKUP(F383,MÃ!$A:$B,2,0),0)</f>
        <v>NL300054</v>
      </c>
      <c r="M383" t="str">
        <f t="shared" si="30"/>
        <v>13/01/2026NL300054</v>
      </c>
      <c r="N383" s="15">
        <f>IFERROR(VLOOKUP(M383,'WS3'!$B$2:$Q$437,11,0),0)</f>
        <v>0.9</v>
      </c>
      <c r="O383" s="17">
        <f>IFERROR(VLOOKUP(M383,'WS3'!$B$2:$Q$437,12,0),0)</f>
        <v>38000</v>
      </c>
      <c r="P383" s="17">
        <f t="shared" si="27"/>
        <v>34200</v>
      </c>
      <c r="Q383" s="15">
        <f t="shared" si="28"/>
        <v>9.9999999999999978E-2</v>
      </c>
      <c r="R383" s="17">
        <f t="shared" si="29"/>
        <v>0</v>
      </c>
      <c r="S383" s="13" t="s">
        <v>543</v>
      </c>
    </row>
    <row r="384" spans="1:19" x14ac:dyDescent="0.25">
      <c r="A384" s="4" t="s">
        <v>165</v>
      </c>
      <c r="B384" s="5" t="s">
        <v>124</v>
      </c>
      <c r="C384" s="4" t="s">
        <v>13</v>
      </c>
      <c r="D384" s="5" t="s">
        <v>166</v>
      </c>
      <c r="E384" s="4" t="s">
        <v>95</v>
      </c>
      <c r="F384" s="4" t="s">
        <v>96</v>
      </c>
      <c r="G384" s="4" t="s">
        <v>16</v>
      </c>
      <c r="H384" s="12">
        <v>1</v>
      </c>
      <c r="I384" s="7">
        <v>47000</v>
      </c>
      <c r="J384" s="7">
        <f t="shared" si="26"/>
        <v>47000</v>
      </c>
      <c r="K384" s="8" t="s">
        <v>17</v>
      </c>
      <c r="L384" t="str">
        <f>IFERROR(VLOOKUP(F384,MÃ!$A:$B,2,0),0)</f>
        <v>NL300036</v>
      </c>
      <c r="M384" t="str">
        <f t="shared" si="30"/>
        <v>13/01/2026NL300036</v>
      </c>
      <c r="N384" s="15">
        <f>IFERROR(VLOOKUP(M384,'WS3'!$B$2:$Q$437,11,0),0)</f>
        <v>1</v>
      </c>
      <c r="O384" s="17">
        <f>IFERROR(VLOOKUP(M384,'WS3'!$B$2:$Q$437,12,0),0)</f>
        <v>47000</v>
      </c>
      <c r="P384" s="17">
        <f t="shared" si="27"/>
        <v>47000</v>
      </c>
      <c r="Q384" s="15">
        <f t="shared" si="28"/>
        <v>0</v>
      </c>
      <c r="R384" s="17">
        <f t="shared" si="29"/>
        <v>0</v>
      </c>
      <c r="S384" s="13"/>
    </row>
    <row r="385" spans="1:19" x14ac:dyDescent="0.25">
      <c r="A385" s="4" t="s">
        <v>165</v>
      </c>
      <c r="B385" s="5" t="s">
        <v>124</v>
      </c>
      <c r="C385" s="4" t="s">
        <v>13</v>
      </c>
      <c r="D385" s="5" t="s">
        <v>166</v>
      </c>
      <c r="E385" s="4" t="s">
        <v>34</v>
      </c>
      <c r="F385" s="4" t="s">
        <v>35</v>
      </c>
      <c r="G385" s="4" t="s">
        <v>16</v>
      </c>
      <c r="H385" s="12">
        <v>2</v>
      </c>
      <c r="I385" s="7">
        <v>32000</v>
      </c>
      <c r="J385" s="7">
        <f t="shared" si="26"/>
        <v>64000</v>
      </c>
      <c r="K385" s="8" t="s">
        <v>17</v>
      </c>
      <c r="L385" t="str">
        <f>IFERROR(VLOOKUP(F385,MÃ!$A:$B,2,0),0)</f>
        <v>NL300038</v>
      </c>
      <c r="M385" t="str">
        <f t="shared" si="30"/>
        <v>13/01/2026NL300038</v>
      </c>
      <c r="N385" s="15">
        <f>IFERROR(VLOOKUP(M385,'WS3'!$B$2:$Q$437,11,0),0)</f>
        <v>1.8</v>
      </c>
      <c r="O385" s="17">
        <f>IFERROR(VLOOKUP(M385,'WS3'!$B$2:$Q$437,12,0),0)</f>
        <v>32000</v>
      </c>
      <c r="P385" s="17">
        <f t="shared" si="27"/>
        <v>57600</v>
      </c>
      <c r="Q385" s="15">
        <f t="shared" si="28"/>
        <v>0.19999999999999996</v>
      </c>
      <c r="R385" s="17">
        <f t="shared" si="29"/>
        <v>0</v>
      </c>
      <c r="S385" s="13" t="s">
        <v>543</v>
      </c>
    </row>
    <row r="386" spans="1:19" x14ac:dyDescent="0.25">
      <c r="A386" s="4" t="s">
        <v>165</v>
      </c>
      <c r="B386" s="5" t="s">
        <v>124</v>
      </c>
      <c r="C386" s="4" t="s">
        <v>13</v>
      </c>
      <c r="D386" s="5" t="s">
        <v>166</v>
      </c>
      <c r="E386" s="4" t="s">
        <v>36</v>
      </c>
      <c r="F386" s="4" t="s">
        <v>37</v>
      </c>
      <c r="G386" s="4" t="s">
        <v>16</v>
      </c>
      <c r="H386" s="12">
        <v>15</v>
      </c>
      <c r="I386" s="7">
        <v>18000</v>
      </c>
      <c r="J386" s="7">
        <f t="shared" si="26"/>
        <v>270000</v>
      </c>
      <c r="K386" s="8" t="s">
        <v>17</v>
      </c>
      <c r="L386" t="str">
        <f>IFERROR(VLOOKUP(F386,MÃ!$A:$B,2,0),0)</f>
        <v>NL600004</v>
      </c>
      <c r="M386" t="str">
        <f t="shared" si="30"/>
        <v>13/01/2026NL600004</v>
      </c>
      <c r="N386" s="15">
        <f>IFERROR(VLOOKUP(M386,'WS3'!$B$2:$Q$437,11,0),0)</f>
        <v>15</v>
      </c>
      <c r="O386" s="17">
        <f>IFERROR(VLOOKUP(M386,'WS3'!$B$2:$Q$437,12,0),0)</f>
        <v>18000</v>
      </c>
      <c r="P386" s="17">
        <f t="shared" si="27"/>
        <v>270000</v>
      </c>
      <c r="Q386" s="15">
        <f t="shared" si="28"/>
        <v>0</v>
      </c>
      <c r="R386" s="17">
        <f t="shared" si="29"/>
        <v>0</v>
      </c>
      <c r="S386" s="13"/>
    </row>
    <row r="387" spans="1:19" x14ac:dyDescent="0.25">
      <c r="A387" s="4" t="s">
        <v>165</v>
      </c>
      <c r="B387" s="5" t="s">
        <v>124</v>
      </c>
      <c r="C387" s="4" t="s">
        <v>13</v>
      </c>
      <c r="D387" s="5" t="s">
        <v>166</v>
      </c>
      <c r="E387" s="4" t="s">
        <v>38</v>
      </c>
      <c r="F387" s="4" t="s">
        <v>39</v>
      </c>
      <c r="G387" s="4" t="s">
        <v>16</v>
      </c>
      <c r="H387" s="12">
        <v>2</v>
      </c>
      <c r="I387" s="7">
        <v>55000</v>
      </c>
      <c r="J387" s="7">
        <f t="shared" si="26"/>
        <v>110000</v>
      </c>
      <c r="K387" s="8" t="s">
        <v>17</v>
      </c>
      <c r="L387" t="str">
        <f>IFERROR(VLOOKUP(F387,MÃ!$A:$B,2,0),0)</f>
        <v>NL300058</v>
      </c>
      <c r="M387" t="str">
        <f t="shared" si="30"/>
        <v>13/01/2026NL300058</v>
      </c>
      <c r="N387" s="15">
        <f>IFERROR(VLOOKUP(M387,'WS3'!$B$2:$Q$437,11,0),0)</f>
        <v>1</v>
      </c>
      <c r="O387" s="17">
        <f>IFERROR(VLOOKUP(M387,'WS3'!$B$2:$Q$437,12,0),0)</f>
        <v>55000</v>
      </c>
      <c r="P387" s="17">
        <f t="shared" si="27"/>
        <v>55000</v>
      </c>
      <c r="Q387" s="15">
        <f t="shared" si="28"/>
        <v>1</v>
      </c>
      <c r="R387" s="17">
        <f t="shared" si="29"/>
        <v>0</v>
      </c>
      <c r="S387" s="13" t="s">
        <v>543</v>
      </c>
    </row>
    <row r="388" spans="1:19" x14ac:dyDescent="0.25">
      <c r="A388" s="4" t="s">
        <v>165</v>
      </c>
      <c r="B388" s="5" t="s">
        <v>124</v>
      </c>
      <c r="C388" s="4" t="s">
        <v>13</v>
      </c>
      <c r="D388" s="5" t="s">
        <v>166</v>
      </c>
      <c r="E388" s="4" t="s">
        <v>113</v>
      </c>
      <c r="F388" s="4" t="s">
        <v>114</v>
      </c>
      <c r="G388" s="4" t="s">
        <v>16</v>
      </c>
      <c r="H388" s="12">
        <v>0.5</v>
      </c>
      <c r="I388" s="7">
        <v>13000</v>
      </c>
      <c r="J388" s="7">
        <f t="shared" si="26"/>
        <v>6500</v>
      </c>
      <c r="K388" s="8" t="s">
        <v>17</v>
      </c>
      <c r="L388" t="str">
        <f>IFERROR(VLOOKUP(F388,MÃ!$A:$B,2,0),0)</f>
        <v>NL300059</v>
      </c>
      <c r="M388" t="str">
        <f t="shared" si="30"/>
        <v>13/01/2026NL300059</v>
      </c>
      <c r="N388" s="15">
        <f>IFERROR(VLOOKUP(M388,'WS3'!$B$2:$Q$437,11,0),0)</f>
        <v>0.5</v>
      </c>
      <c r="O388" s="17">
        <f>IFERROR(VLOOKUP(M388,'WS3'!$B$2:$Q$437,12,0),0)</f>
        <v>13000</v>
      </c>
      <c r="P388" s="17">
        <f t="shared" si="27"/>
        <v>6500</v>
      </c>
      <c r="Q388" s="15">
        <f t="shared" si="28"/>
        <v>0</v>
      </c>
      <c r="R388" s="17">
        <f t="shared" si="29"/>
        <v>0</v>
      </c>
      <c r="S388" s="13"/>
    </row>
    <row r="389" spans="1:19" x14ac:dyDescent="0.25">
      <c r="A389" s="4" t="s">
        <v>165</v>
      </c>
      <c r="B389" s="5" t="s">
        <v>124</v>
      </c>
      <c r="C389" s="4" t="s">
        <v>13</v>
      </c>
      <c r="D389" s="5" t="s">
        <v>166</v>
      </c>
      <c r="E389" s="4" t="s">
        <v>63</v>
      </c>
      <c r="F389" s="4" t="s">
        <v>64</v>
      </c>
      <c r="G389" s="4" t="s">
        <v>16</v>
      </c>
      <c r="H389" s="12">
        <v>0.1</v>
      </c>
      <c r="I389" s="7">
        <v>65000</v>
      </c>
      <c r="J389" s="7">
        <f t="shared" si="26"/>
        <v>6500</v>
      </c>
      <c r="K389" s="8" t="s">
        <v>17</v>
      </c>
      <c r="L389" t="str">
        <f>IFERROR(VLOOKUP(F389,MÃ!$A:$B,2,0),0)</f>
        <v>NL300062</v>
      </c>
      <c r="M389" t="str">
        <f t="shared" si="30"/>
        <v>13/01/2026NL300062</v>
      </c>
      <c r="N389" s="15">
        <f>IFERROR(VLOOKUP(M389,'WS3'!$B$2:$Q$437,11,0),0)</f>
        <v>0.1</v>
      </c>
      <c r="O389" s="17">
        <f>IFERROR(VLOOKUP(M389,'WS3'!$B$2:$Q$437,12,0),0)</f>
        <v>65000</v>
      </c>
      <c r="P389" s="17">
        <f t="shared" si="27"/>
        <v>6500</v>
      </c>
      <c r="Q389" s="15">
        <f t="shared" si="28"/>
        <v>0</v>
      </c>
      <c r="R389" s="17">
        <f t="shared" si="29"/>
        <v>0</v>
      </c>
      <c r="S389" s="13"/>
    </row>
    <row r="390" spans="1:19" x14ac:dyDescent="0.25">
      <c r="A390" s="4" t="s">
        <v>165</v>
      </c>
      <c r="B390" s="5" t="s">
        <v>124</v>
      </c>
      <c r="C390" s="4" t="s">
        <v>13</v>
      </c>
      <c r="D390" s="5" t="s">
        <v>166</v>
      </c>
      <c r="E390" s="4" t="s">
        <v>67</v>
      </c>
      <c r="F390" s="4" t="s">
        <v>68</v>
      </c>
      <c r="G390" s="4" t="s">
        <v>16</v>
      </c>
      <c r="H390" s="12">
        <v>0.5</v>
      </c>
      <c r="I390" s="7">
        <v>18000</v>
      </c>
      <c r="J390" s="7">
        <f t="shared" si="26"/>
        <v>9000</v>
      </c>
      <c r="K390" s="8" t="s">
        <v>17</v>
      </c>
      <c r="L390" t="str">
        <f>IFERROR(VLOOKUP(F390,MÃ!$A:$B,2,0),0)</f>
        <v>NL300184</v>
      </c>
      <c r="M390" t="str">
        <f t="shared" si="30"/>
        <v>13/01/2026NL300184</v>
      </c>
      <c r="N390" s="15">
        <f>IFERROR(VLOOKUP(M390,'WS3'!$B$2:$Q$437,11,0),0)</f>
        <v>0.5</v>
      </c>
      <c r="O390" s="17">
        <f>IFERROR(VLOOKUP(M390,'WS3'!$B$2:$Q$437,12,0),0)</f>
        <v>18000</v>
      </c>
      <c r="P390" s="17">
        <f t="shared" si="27"/>
        <v>9000</v>
      </c>
      <c r="Q390" s="15">
        <f t="shared" si="28"/>
        <v>0</v>
      </c>
      <c r="R390" s="17">
        <f t="shared" si="29"/>
        <v>0</v>
      </c>
      <c r="S390" s="13"/>
    </row>
    <row r="391" spans="1:19" x14ac:dyDescent="0.25">
      <c r="A391" s="4" t="s">
        <v>165</v>
      </c>
      <c r="B391" s="5" t="s">
        <v>124</v>
      </c>
      <c r="C391" s="4" t="s">
        <v>13</v>
      </c>
      <c r="D391" s="5" t="s">
        <v>166</v>
      </c>
      <c r="E391" s="4" t="s">
        <v>71</v>
      </c>
      <c r="F391" s="4" t="s">
        <v>72</v>
      </c>
      <c r="G391" s="4" t="s">
        <v>16</v>
      </c>
      <c r="H391" s="12">
        <v>2</v>
      </c>
      <c r="I391" s="7">
        <v>47000</v>
      </c>
      <c r="J391" s="7">
        <f t="shared" si="26"/>
        <v>94000</v>
      </c>
      <c r="K391" s="8" t="s">
        <v>17</v>
      </c>
      <c r="L391" t="str">
        <f>IFERROR(VLOOKUP(F391,MÃ!$A:$B,2,0),0)</f>
        <v>NL300091</v>
      </c>
      <c r="M391" t="str">
        <f t="shared" si="30"/>
        <v>13/01/2026NL300091</v>
      </c>
      <c r="N391" s="15">
        <f>IFERROR(VLOOKUP(M391,'WS3'!$B$2:$Q$437,11,0),0)</f>
        <v>2</v>
      </c>
      <c r="O391" s="17">
        <f>IFERROR(VLOOKUP(M391,'WS3'!$B$2:$Q$437,12,0),0)</f>
        <v>47000</v>
      </c>
      <c r="P391" s="17">
        <f t="shared" si="27"/>
        <v>94000</v>
      </c>
      <c r="Q391" s="15">
        <f t="shared" si="28"/>
        <v>0</v>
      </c>
      <c r="R391" s="17">
        <f t="shared" si="29"/>
        <v>0</v>
      </c>
      <c r="S391" s="13"/>
    </row>
    <row r="392" spans="1:19" x14ac:dyDescent="0.25">
      <c r="A392" s="4" t="s">
        <v>165</v>
      </c>
      <c r="B392" s="5" t="s">
        <v>124</v>
      </c>
      <c r="C392" s="4" t="s">
        <v>13</v>
      </c>
      <c r="D392" s="5" t="s">
        <v>166</v>
      </c>
      <c r="E392" s="4" t="s">
        <v>73</v>
      </c>
      <c r="F392" s="4" t="s">
        <v>74</v>
      </c>
      <c r="G392" s="4" t="s">
        <v>16</v>
      </c>
      <c r="H392" s="12">
        <v>0.5</v>
      </c>
      <c r="I392" s="7">
        <v>90000</v>
      </c>
      <c r="J392" s="7">
        <f t="shared" si="26"/>
        <v>45000</v>
      </c>
      <c r="K392" s="8" t="s">
        <v>17</v>
      </c>
      <c r="L392" t="str">
        <f>IFERROR(VLOOKUP(F392,MÃ!$A:$B,2,0),0)</f>
        <v>NL300092</v>
      </c>
      <c r="M392" t="str">
        <f t="shared" si="30"/>
        <v>13/01/2026NL300092</v>
      </c>
      <c r="N392" s="15">
        <f>IFERROR(VLOOKUP(M392,'WS3'!$B$2:$Q$437,11,0),0)</f>
        <v>0.5</v>
      </c>
      <c r="O392" s="17">
        <f>IFERROR(VLOOKUP(M392,'WS3'!$B$2:$Q$437,12,0),0)</f>
        <v>90000</v>
      </c>
      <c r="P392" s="17">
        <f t="shared" si="27"/>
        <v>45000</v>
      </c>
      <c r="Q392" s="15">
        <f t="shared" si="28"/>
        <v>0</v>
      </c>
      <c r="R392" s="17">
        <f t="shared" si="29"/>
        <v>0</v>
      </c>
      <c r="S392" s="13"/>
    </row>
    <row r="393" spans="1:19" x14ac:dyDescent="0.25">
      <c r="A393" s="4" t="s">
        <v>165</v>
      </c>
      <c r="B393" s="5" t="s">
        <v>124</v>
      </c>
      <c r="C393" s="4" t="s">
        <v>13</v>
      </c>
      <c r="D393" s="5" t="s">
        <v>166</v>
      </c>
      <c r="E393" s="4" t="s">
        <v>100</v>
      </c>
      <c r="F393" s="4" t="s">
        <v>101</v>
      </c>
      <c r="G393" s="4" t="s">
        <v>16</v>
      </c>
      <c r="H393" s="12">
        <v>1</v>
      </c>
      <c r="I393" s="7">
        <v>80000</v>
      </c>
      <c r="J393" s="7">
        <f t="shared" si="26"/>
        <v>80000</v>
      </c>
      <c r="K393" s="8" t="s">
        <v>17</v>
      </c>
      <c r="L393" t="str">
        <f>IFERROR(VLOOKUP(F393,MÃ!$A:$B,2,0),0)</f>
        <v>NL300094</v>
      </c>
      <c r="M393" t="str">
        <f t="shared" si="30"/>
        <v>13/01/2026NL300094</v>
      </c>
      <c r="N393" s="15">
        <f>IFERROR(VLOOKUP(M393,'WS3'!$B$2:$Q$437,11,0),0)</f>
        <v>1</v>
      </c>
      <c r="O393" s="17">
        <f>IFERROR(VLOOKUP(M393,'WS3'!$B$2:$Q$437,12,0),0)</f>
        <v>80000</v>
      </c>
      <c r="P393" s="17">
        <f t="shared" si="27"/>
        <v>80000</v>
      </c>
      <c r="Q393" s="15">
        <f t="shared" si="28"/>
        <v>0</v>
      </c>
      <c r="R393" s="17">
        <f t="shared" si="29"/>
        <v>0</v>
      </c>
      <c r="S393" s="13"/>
    </row>
    <row r="394" spans="1:19" ht="28.5" x14ac:dyDescent="0.25">
      <c r="A394" s="4" t="s">
        <v>165</v>
      </c>
      <c r="B394" s="5" t="s">
        <v>124</v>
      </c>
      <c r="C394" s="4" t="s">
        <v>13</v>
      </c>
      <c r="D394" s="5" t="s">
        <v>166</v>
      </c>
      <c r="E394" s="4" t="s">
        <v>44</v>
      </c>
      <c r="F394" s="4" t="s">
        <v>45</v>
      </c>
      <c r="G394" s="4" t="s">
        <v>16</v>
      </c>
      <c r="H394" s="12">
        <v>3</v>
      </c>
      <c r="I394" s="7">
        <v>45000</v>
      </c>
      <c r="J394" s="7">
        <f t="shared" si="26"/>
        <v>135000</v>
      </c>
      <c r="K394" s="8" t="s">
        <v>17</v>
      </c>
      <c r="L394" t="str">
        <f>IFERROR(VLOOKUP(F394,MÃ!$A:$B,2,0),0)</f>
        <v>NL300096</v>
      </c>
      <c r="M394" t="str">
        <f t="shared" si="30"/>
        <v>13/01/2026NL300096</v>
      </c>
      <c r="N394" s="15">
        <f>IFERROR(VLOOKUP(M394,'WS3'!$B$2:$Q$437,11,0),0)</f>
        <v>2.6</v>
      </c>
      <c r="O394" s="17">
        <f>IFERROR(VLOOKUP(M394,'WS3'!$B$2:$Q$437,12,0),0)</f>
        <v>45000</v>
      </c>
      <c r="P394" s="17">
        <f t="shared" si="27"/>
        <v>117000</v>
      </c>
      <c r="Q394" s="15">
        <f t="shared" si="28"/>
        <v>0.39999999999999991</v>
      </c>
      <c r="R394" s="17">
        <f t="shared" si="29"/>
        <v>0</v>
      </c>
      <c r="S394" s="13" t="s">
        <v>543</v>
      </c>
    </row>
    <row r="395" spans="1:19" x14ac:dyDescent="0.25">
      <c r="A395" s="4" t="s">
        <v>165</v>
      </c>
      <c r="B395" s="5" t="s">
        <v>124</v>
      </c>
      <c r="C395" s="4" t="s">
        <v>13</v>
      </c>
      <c r="D395" s="5" t="s">
        <v>166</v>
      </c>
      <c r="E395" s="4" t="s">
        <v>111</v>
      </c>
      <c r="F395" s="4" t="s">
        <v>112</v>
      </c>
      <c r="G395" s="4" t="s">
        <v>16</v>
      </c>
      <c r="H395" s="12">
        <v>0.2</v>
      </c>
      <c r="I395" s="7">
        <v>250000</v>
      </c>
      <c r="J395" s="7">
        <f t="shared" si="26"/>
        <v>50000</v>
      </c>
      <c r="K395" s="8" t="s">
        <v>17</v>
      </c>
      <c r="L395" t="str">
        <f>IFERROR(VLOOKUP(F395,MÃ!$A:$B,2,0),0)</f>
        <v>NL300158</v>
      </c>
      <c r="M395" t="str">
        <f t="shared" si="30"/>
        <v>13/01/2026NL300158</v>
      </c>
      <c r="N395" s="15">
        <f>IFERROR(VLOOKUP(M395,'WS3'!$B$2:$Q$437,11,0),0)</f>
        <v>0.2</v>
      </c>
      <c r="O395" s="17">
        <f>IFERROR(VLOOKUP(M395,'WS3'!$B$2:$Q$437,12,0),0)</f>
        <v>250000</v>
      </c>
      <c r="P395" s="17">
        <f t="shared" si="27"/>
        <v>50000</v>
      </c>
      <c r="Q395" s="15">
        <f t="shared" si="28"/>
        <v>0</v>
      </c>
      <c r="R395" s="17">
        <f t="shared" si="29"/>
        <v>0</v>
      </c>
      <c r="S395" s="13"/>
    </row>
    <row r="396" spans="1:19" x14ac:dyDescent="0.25">
      <c r="A396" s="4" t="s">
        <v>165</v>
      </c>
      <c r="B396" s="5" t="s">
        <v>124</v>
      </c>
      <c r="C396" s="4" t="s">
        <v>13</v>
      </c>
      <c r="D396" s="5" t="s">
        <v>166</v>
      </c>
      <c r="E396" s="4" t="s">
        <v>77</v>
      </c>
      <c r="F396" s="4" t="s">
        <v>78</v>
      </c>
      <c r="G396" s="4" t="s">
        <v>16</v>
      </c>
      <c r="H396" s="12">
        <v>2</v>
      </c>
      <c r="I396" s="7">
        <v>45000</v>
      </c>
      <c r="J396" s="7">
        <f t="shared" si="26"/>
        <v>90000</v>
      </c>
      <c r="K396" s="8" t="s">
        <v>17</v>
      </c>
      <c r="L396" t="str">
        <f>IFERROR(VLOOKUP(F396,MÃ!$A:$B,2,0),0)</f>
        <v>NL300085</v>
      </c>
      <c r="M396" t="str">
        <f t="shared" si="30"/>
        <v>13/01/2026NL300085</v>
      </c>
      <c r="N396" s="15">
        <f>IFERROR(VLOOKUP(M396,'WS3'!$B$2:$Q$437,11,0),0)</f>
        <v>0.7</v>
      </c>
      <c r="O396" s="17">
        <f>IFERROR(VLOOKUP(M396,'WS3'!$B$2:$Q$437,12,0),0)</f>
        <v>45000</v>
      </c>
      <c r="P396" s="17">
        <f t="shared" si="27"/>
        <v>31499.999999999996</v>
      </c>
      <c r="Q396" s="15">
        <f t="shared" si="28"/>
        <v>1.3</v>
      </c>
      <c r="R396" s="17">
        <f t="shared" si="29"/>
        <v>0</v>
      </c>
      <c r="S396" s="13" t="s">
        <v>543</v>
      </c>
    </row>
    <row r="397" spans="1:19" x14ac:dyDescent="0.25">
      <c r="A397" s="4" t="s">
        <v>165</v>
      </c>
      <c r="B397" s="5" t="s">
        <v>124</v>
      </c>
      <c r="C397" s="4" t="s">
        <v>13</v>
      </c>
      <c r="D397" s="5" t="s">
        <v>166</v>
      </c>
      <c r="E397" s="4" t="s">
        <v>102</v>
      </c>
      <c r="F397" s="4" t="s">
        <v>103</v>
      </c>
      <c r="G397" s="4" t="s">
        <v>16</v>
      </c>
      <c r="H397" s="12">
        <v>1</v>
      </c>
      <c r="I397" s="7">
        <v>145000</v>
      </c>
      <c r="J397" s="7">
        <f t="shared" si="26"/>
        <v>145000</v>
      </c>
      <c r="K397" s="8" t="s">
        <v>17</v>
      </c>
      <c r="L397" t="str">
        <f>IFERROR(VLOOKUP(F397,MÃ!$A:$B,2,0),0)</f>
        <v>NL300113</v>
      </c>
      <c r="M397" t="str">
        <f t="shared" si="30"/>
        <v>13/01/2026NL300113</v>
      </c>
      <c r="N397" s="15">
        <f>IFERROR(VLOOKUP(M397,'WS3'!$B$2:$Q$437,11,0),0)</f>
        <v>0.8</v>
      </c>
      <c r="O397" s="17">
        <f>IFERROR(VLOOKUP(M397,'WS3'!$B$2:$Q$437,12,0),0)</f>
        <v>145000</v>
      </c>
      <c r="P397" s="17">
        <f t="shared" si="27"/>
        <v>116000</v>
      </c>
      <c r="Q397" s="15">
        <f t="shared" si="28"/>
        <v>0.19999999999999996</v>
      </c>
      <c r="R397" s="17">
        <f t="shared" si="29"/>
        <v>0</v>
      </c>
      <c r="S397" s="13" t="s">
        <v>543</v>
      </c>
    </row>
    <row r="398" spans="1:19" x14ac:dyDescent="0.25">
      <c r="A398" s="4" t="s">
        <v>165</v>
      </c>
      <c r="B398" s="5" t="s">
        <v>124</v>
      </c>
      <c r="C398" s="4" t="s">
        <v>13</v>
      </c>
      <c r="D398" s="5" t="s">
        <v>166</v>
      </c>
      <c r="E398" s="4" t="s">
        <v>46</v>
      </c>
      <c r="F398" s="4" t="s">
        <v>47</v>
      </c>
      <c r="G398" s="4" t="s">
        <v>16</v>
      </c>
      <c r="H398" s="12">
        <v>0.2</v>
      </c>
      <c r="I398" s="7">
        <v>148000</v>
      </c>
      <c r="J398" s="7">
        <f t="shared" si="26"/>
        <v>29600</v>
      </c>
      <c r="K398" s="8" t="s">
        <v>17</v>
      </c>
      <c r="L398" t="str">
        <f>IFERROR(VLOOKUP(F398,MÃ!$A:$B,2,0),0)</f>
        <v>NL300116</v>
      </c>
      <c r="M398" t="str">
        <f t="shared" si="30"/>
        <v>13/01/2026NL300116</v>
      </c>
      <c r="N398" s="15">
        <f>IFERROR(VLOOKUP(M398,'WS3'!$B$2:$Q$437,11,0),0)</f>
        <v>0.2</v>
      </c>
      <c r="O398" s="17">
        <f>IFERROR(VLOOKUP(M398,'WS3'!$B$2:$Q$437,12,0),0)</f>
        <v>148000</v>
      </c>
      <c r="P398" s="17">
        <f t="shared" si="27"/>
        <v>29600</v>
      </c>
      <c r="Q398" s="15">
        <f t="shared" si="28"/>
        <v>0</v>
      </c>
      <c r="R398" s="17">
        <f t="shared" si="29"/>
        <v>0</v>
      </c>
      <c r="S398" s="13"/>
    </row>
    <row r="399" spans="1:19" x14ac:dyDescent="0.25">
      <c r="A399" s="4" t="s">
        <v>165</v>
      </c>
      <c r="B399" s="5" t="s">
        <v>124</v>
      </c>
      <c r="C399" s="4" t="s">
        <v>13</v>
      </c>
      <c r="D399" s="5" t="s">
        <v>166</v>
      </c>
      <c r="E399" s="4" t="s">
        <v>48</v>
      </c>
      <c r="F399" s="4" t="s">
        <v>49</v>
      </c>
      <c r="G399" s="4" t="s">
        <v>16</v>
      </c>
      <c r="H399" s="12">
        <v>0.5</v>
      </c>
      <c r="I399" s="7">
        <v>42000</v>
      </c>
      <c r="J399" s="7">
        <f t="shared" si="26"/>
        <v>21000</v>
      </c>
      <c r="K399" s="8" t="s">
        <v>17</v>
      </c>
      <c r="L399" t="str">
        <f>IFERROR(VLOOKUP(F399,MÃ!$A:$B,2,0),0)</f>
        <v>NL300125</v>
      </c>
      <c r="M399" t="str">
        <f t="shared" si="30"/>
        <v>13/01/2026NL300125</v>
      </c>
      <c r="N399" s="15">
        <f>IFERROR(VLOOKUP(M399,'WS3'!$B$2:$Q$437,11,0),0)</f>
        <v>0.5</v>
      </c>
      <c r="O399" s="17">
        <f>IFERROR(VLOOKUP(M399,'WS3'!$B$2:$Q$437,12,0),0)</f>
        <v>42000</v>
      </c>
      <c r="P399" s="17">
        <f t="shared" si="27"/>
        <v>21000</v>
      </c>
      <c r="Q399" s="15">
        <f t="shared" si="28"/>
        <v>0</v>
      </c>
      <c r="R399" s="17">
        <f t="shared" si="29"/>
        <v>0</v>
      </c>
      <c r="S399" s="13"/>
    </row>
    <row r="400" spans="1:19" x14ac:dyDescent="0.25">
      <c r="A400" s="4" t="s">
        <v>165</v>
      </c>
      <c r="B400" s="5" t="s">
        <v>124</v>
      </c>
      <c r="C400" s="4" t="s">
        <v>13</v>
      </c>
      <c r="D400" s="5" t="s">
        <v>166</v>
      </c>
      <c r="E400" s="4" t="s">
        <v>133</v>
      </c>
      <c r="F400" s="4" t="s">
        <v>134</v>
      </c>
      <c r="G400" s="4" t="s">
        <v>16</v>
      </c>
      <c r="H400" s="12">
        <v>0.5</v>
      </c>
      <c r="I400" s="7">
        <v>36000</v>
      </c>
      <c r="J400" s="7">
        <f t="shared" ref="J400:J463" si="31">H400*I400</f>
        <v>18000</v>
      </c>
      <c r="K400" s="8" t="s">
        <v>17</v>
      </c>
      <c r="L400" t="str">
        <f>IFERROR(VLOOKUP(F400,MÃ!$A:$B,2,0),0)</f>
        <v>NL300140</v>
      </c>
      <c r="M400" t="str">
        <f t="shared" si="30"/>
        <v>13/01/2026NL300140</v>
      </c>
      <c r="N400" s="15">
        <f>IFERROR(VLOOKUP(M400,'WS3'!$B$2:$Q$437,11,0),0)</f>
        <v>0.3</v>
      </c>
      <c r="O400" s="17">
        <f>IFERROR(VLOOKUP(M400,'WS3'!$B$2:$Q$437,12,0),0)</f>
        <v>36000</v>
      </c>
      <c r="P400" s="17">
        <f t="shared" ref="P400:P463" si="32">N400*O400</f>
        <v>10800</v>
      </c>
      <c r="Q400" s="15">
        <f t="shared" ref="Q400:Q463" si="33">H400-N400</f>
        <v>0.2</v>
      </c>
      <c r="R400" s="17">
        <f t="shared" ref="R400:R463" si="34">I400-O400</f>
        <v>0</v>
      </c>
      <c r="S400" s="13" t="s">
        <v>543</v>
      </c>
    </row>
    <row r="401" spans="1:19" x14ac:dyDescent="0.25">
      <c r="A401" s="4" t="s">
        <v>165</v>
      </c>
      <c r="B401" s="5" t="s">
        <v>124</v>
      </c>
      <c r="C401" s="4" t="s">
        <v>13</v>
      </c>
      <c r="D401" s="5" t="s">
        <v>166</v>
      </c>
      <c r="E401" s="4" t="s">
        <v>81</v>
      </c>
      <c r="F401" s="4" t="s">
        <v>82</v>
      </c>
      <c r="G401" s="4" t="s">
        <v>16</v>
      </c>
      <c r="H401" s="12">
        <v>1</v>
      </c>
      <c r="I401" s="7">
        <v>12000</v>
      </c>
      <c r="J401" s="7">
        <f t="shared" si="31"/>
        <v>12000</v>
      </c>
      <c r="K401" s="8" t="s">
        <v>17</v>
      </c>
      <c r="L401" t="str">
        <f>IFERROR(VLOOKUP(F401,MÃ!$A:$B,2,0),0)</f>
        <v>NL300132</v>
      </c>
      <c r="M401" t="str">
        <f t="shared" si="30"/>
        <v>13/01/2026NL300132</v>
      </c>
      <c r="N401" s="15">
        <f>IFERROR(VLOOKUP(M401,'WS3'!$B$2:$Q$437,11,0),0)</f>
        <v>1</v>
      </c>
      <c r="O401" s="17">
        <f>IFERROR(VLOOKUP(M401,'WS3'!$B$2:$Q$437,12,0),0)</f>
        <v>12000</v>
      </c>
      <c r="P401" s="17">
        <f t="shared" si="32"/>
        <v>12000</v>
      </c>
      <c r="Q401" s="15">
        <f t="shared" si="33"/>
        <v>0</v>
      </c>
      <c r="R401" s="17">
        <f t="shared" si="34"/>
        <v>0</v>
      </c>
      <c r="S401" s="13"/>
    </row>
    <row r="402" spans="1:19" x14ac:dyDescent="0.25">
      <c r="A402" s="4" t="s">
        <v>165</v>
      </c>
      <c r="B402" s="5" t="s">
        <v>124</v>
      </c>
      <c r="C402" s="4" t="s">
        <v>13</v>
      </c>
      <c r="D402" s="5" t="s">
        <v>166</v>
      </c>
      <c r="E402" s="4" t="s">
        <v>85</v>
      </c>
      <c r="F402" s="4" t="s">
        <v>86</v>
      </c>
      <c r="G402" s="4" t="s">
        <v>16</v>
      </c>
      <c r="H402" s="12">
        <v>2</v>
      </c>
      <c r="I402" s="7">
        <v>50000</v>
      </c>
      <c r="J402" s="7">
        <f t="shared" si="31"/>
        <v>100000</v>
      </c>
      <c r="K402" s="8" t="s">
        <v>17</v>
      </c>
      <c r="L402" t="str">
        <f>IFERROR(VLOOKUP(F402,MÃ!$A:$B,2,0),0)</f>
        <v>NL300142</v>
      </c>
      <c r="M402" t="str">
        <f t="shared" si="30"/>
        <v>13/01/2026NL300142</v>
      </c>
      <c r="N402" s="15">
        <f>IFERROR(VLOOKUP(M402,'WS3'!$B$2:$Q$437,11,0),0)</f>
        <v>2</v>
      </c>
      <c r="O402" s="17">
        <f>IFERROR(VLOOKUP(M402,'WS3'!$B$2:$Q$437,12,0),0)</f>
        <v>50000</v>
      </c>
      <c r="P402" s="17">
        <f t="shared" si="32"/>
        <v>100000</v>
      </c>
      <c r="Q402" s="15">
        <f t="shared" si="33"/>
        <v>0</v>
      </c>
      <c r="R402" s="17">
        <f t="shared" si="34"/>
        <v>0</v>
      </c>
      <c r="S402" s="13"/>
    </row>
    <row r="403" spans="1:19" x14ac:dyDescent="0.25">
      <c r="A403" s="4" t="s">
        <v>165</v>
      </c>
      <c r="B403" s="5" t="s">
        <v>124</v>
      </c>
      <c r="C403" s="4" t="s">
        <v>13</v>
      </c>
      <c r="D403" s="5" t="s">
        <v>166</v>
      </c>
      <c r="E403" s="4" t="s">
        <v>106</v>
      </c>
      <c r="F403" s="4" t="s">
        <v>107</v>
      </c>
      <c r="G403" s="4" t="s">
        <v>108</v>
      </c>
      <c r="H403" s="12">
        <v>30</v>
      </c>
      <c r="I403" s="7">
        <v>5000</v>
      </c>
      <c r="J403" s="7">
        <f t="shared" si="31"/>
        <v>150000</v>
      </c>
      <c r="K403" s="8" t="s">
        <v>17</v>
      </c>
      <c r="L403" t="str">
        <f>IFERROR(VLOOKUP(F403,MÃ!$A:$B,2,0),0)</f>
        <v>NL100101</v>
      </c>
      <c r="M403" t="str">
        <f t="shared" si="30"/>
        <v>13/01/2026NL100101</v>
      </c>
      <c r="N403" s="15">
        <f>IFERROR(VLOOKUP(M403,'WS3'!$B$2:$Q$437,11,0),0)</f>
        <v>29</v>
      </c>
      <c r="O403" s="17">
        <f>IFERROR(VLOOKUP(M403,'WS3'!$B$2:$Q$437,12,0),0)</f>
        <v>5000</v>
      </c>
      <c r="P403" s="17">
        <f t="shared" si="32"/>
        <v>145000</v>
      </c>
      <c r="Q403" s="15">
        <f t="shared" si="33"/>
        <v>1</v>
      </c>
      <c r="R403" s="17">
        <f t="shared" si="34"/>
        <v>0</v>
      </c>
      <c r="S403" s="13" t="s">
        <v>543</v>
      </c>
    </row>
    <row r="404" spans="1:19" x14ac:dyDescent="0.25">
      <c r="A404" s="4" t="s">
        <v>165</v>
      </c>
      <c r="B404" s="5" t="s">
        <v>124</v>
      </c>
      <c r="C404" s="4" t="s">
        <v>13</v>
      </c>
      <c r="D404" s="5" t="s">
        <v>166</v>
      </c>
      <c r="E404" s="4" t="s">
        <v>54</v>
      </c>
      <c r="F404" s="4" t="s">
        <v>55</v>
      </c>
      <c r="G404" s="4" t="s">
        <v>16</v>
      </c>
      <c r="H404" s="12">
        <v>4</v>
      </c>
      <c r="I404" s="7">
        <v>62000</v>
      </c>
      <c r="J404" s="7">
        <f t="shared" si="31"/>
        <v>248000</v>
      </c>
      <c r="K404" s="8" t="s">
        <v>17</v>
      </c>
      <c r="L404" t="str">
        <f>IFERROR(VLOOKUP(F404,MÃ!$A:$B,2,0),0)</f>
        <v>NL300147</v>
      </c>
      <c r="M404" t="str">
        <f t="shared" ref="M404:M465" si="35">""&amp;DAY(A404)&amp;"/01/2026"&amp;L404</f>
        <v>13/01/2026NL300147</v>
      </c>
      <c r="N404" s="15">
        <f>IFERROR(VLOOKUP(M404,'WS3'!$B$2:$Q$437,11,0),0)</f>
        <v>2.5</v>
      </c>
      <c r="O404" s="17">
        <f>IFERROR(VLOOKUP(M404,'WS3'!$B$2:$Q$437,12,0),0)</f>
        <v>62000</v>
      </c>
      <c r="P404" s="17">
        <f t="shared" si="32"/>
        <v>155000</v>
      </c>
      <c r="Q404" s="15">
        <f t="shared" si="33"/>
        <v>1.5</v>
      </c>
      <c r="R404" s="17">
        <f t="shared" si="34"/>
        <v>0</v>
      </c>
      <c r="S404" s="13" t="s">
        <v>543</v>
      </c>
    </row>
    <row r="405" spans="1:19" x14ac:dyDescent="0.25">
      <c r="A405" s="4" t="s">
        <v>167</v>
      </c>
      <c r="B405" s="5" t="s">
        <v>124</v>
      </c>
      <c r="C405" s="4" t="s">
        <v>13</v>
      </c>
      <c r="D405" s="5" t="s">
        <v>168</v>
      </c>
      <c r="E405" s="4" t="s">
        <v>18</v>
      </c>
      <c r="F405" s="4" t="s">
        <v>19</v>
      </c>
      <c r="G405" s="4" t="s">
        <v>16</v>
      </c>
      <c r="H405" s="12">
        <v>3</v>
      </c>
      <c r="I405" s="7">
        <v>15000</v>
      </c>
      <c r="J405" s="7">
        <f t="shared" si="31"/>
        <v>45000</v>
      </c>
      <c r="K405" s="8" t="s">
        <v>17</v>
      </c>
      <c r="L405" t="str">
        <f>IFERROR(VLOOKUP(F405,MÃ!$A:$B,2,0),0)</f>
        <v>NL300189</v>
      </c>
      <c r="M405" t="str">
        <f t="shared" si="35"/>
        <v>14/01/2026NL300189</v>
      </c>
      <c r="N405" s="15">
        <f>IFERROR(VLOOKUP(M405,'WS3'!$B$2:$Q$437,11,0),0)</f>
        <v>3</v>
      </c>
      <c r="O405" s="17">
        <f>IFERROR(VLOOKUP(M405,'WS3'!$B$2:$Q$437,12,0),0)</f>
        <v>15000</v>
      </c>
      <c r="P405" s="17">
        <f t="shared" si="32"/>
        <v>45000</v>
      </c>
      <c r="Q405" s="15">
        <f t="shared" si="33"/>
        <v>0</v>
      </c>
      <c r="R405" s="17">
        <f t="shared" si="34"/>
        <v>0</v>
      </c>
      <c r="S405" s="13"/>
    </row>
    <row r="406" spans="1:19" ht="28.5" x14ac:dyDescent="0.25">
      <c r="A406" s="4" t="s">
        <v>167</v>
      </c>
      <c r="B406" s="5" t="s">
        <v>124</v>
      </c>
      <c r="C406" s="4" t="s">
        <v>13</v>
      </c>
      <c r="D406" s="5" t="s">
        <v>168</v>
      </c>
      <c r="E406" s="4" t="s">
        <v>56</v>
      </c>
      <c r="F406" s="4" t="s">
        <v>57</v>
      </c>
      <c r="G406" s="4" t="s">
        <v>58</v>
      </c>
      <c r="H406" s="12">
        <v>10</v>
      </c>
      <c r="I406" s="7">
        <v>8500</v>
      </c>
      <c r="J406" s="7">
        <f t="shared" si="31"/>
        <v>85000</v>
      </c>
      <c r="K406" s="8" t="s">
        <v>17</v>
      </c>
      <c r="L406" t="str">
        <f>IFERROR(VLOOKUP(F406,MÃ!$A:$B,2,0),0)</f>
        <v>NL300107</v>
      </c>
      <c r="M406" t="str">
        <f t="shared" si="35"/>
        <v>14/01/2026NL300107</v>
      </c>
      <c r="N406" s="15">
        <f>IFERROR(VLOOKUP(M406,'WS3'!$B$2:$Q$437,11,0),0)</f>
        <v>0</v>
      </c>
      <c r="O406" s="17">
        <f>IFERROR(VLOOKUP(M406,'WS3'!$B$2:$Q$437,12,0),0)</f>
        <v>0</v>
      </c>
      <c r="P406" s="17">
        <f t="shared" si="32"/>
        <v>0</v>
      </c>
      <c r="Q406" s="15">
        <f t="shared" si="33"/>
        <v>10</v>
      </c>
      <c r="R406" s="17">
        <f t="shared" si="34"/>
        <v>8500</v>
      </c>
      <c r="S406" s="13" t="s">
        <v>540</v>
      </c>
    </row>
    <row r="407" spans="1:19" x14ac:dyDescent="0.25">
      <c r="A407" s="4" t="s">
        <v>167</v>
      </c>
      <c r="B407" s="5" t="s">
        <v>124</v>
      </c>
      <c r="C407" s="4" t="s">
        <v>13</v>
      </c>
      <c r="D407" s="5" t="s">
        <v>168</v>
      </c>
      <c r="E407" s="4" t="s">
        <v>22</v>
      </c>
      <c r="F407" s="4" t="s">
        <v>23</v>
      </c>
      <c r="G407" s="4" t="s">
        <v>16</v>
      </c>
      <c r="H407" s="12">
        <v>4.5999999999999996</v>
      </c>
      <c r="I407" s="7">
        <v>30000</v>
      </c>
      <c r="J407" s="7">
        <f t="shared" si="31"/>
        <v>138000</v>
      </c>
      <c r="K407" s="8" t="s">
        <v>17</v>
      </c>
      <c r="L407" t="str">
        <f>IFERROR(VLOOKUP(F407,MÃ!$A:$B,2,0),0)</f>
        <v>NL300007</v>
      </c>
      <c r="M407" t="str">
        <f t="shared" si="35"/>
        <v>14/01/2026NL300007</v>
      </c>
      <c r="N407" s="15">
        <f>IFERROR(VLOOKUP(M407,'WS3'!$B$2:$Q$437,11,0),0)</f>
        <v>4.5999999999999996</v>
      </c>
      <c r="O407" s="17">
        <f>IFERROR(VLOOKUP(M407,'WS3'!$B$2:$Q$437,12,0),0)</f>
        <v>30000</v>
      </c>
      <c r="P407" s="17">
        <f t="shared" si="32"/>
        <v>138000</v>
      </c>
      <c r="Q407" s="15">
        <f t="shared" si="33"/>
        <v>0</v>
      </c>
      <c r="R407" s="17">
        <f t="shared" si="34"/>
        <v>0</v>
      </c>
      <c r="S407" s="13"/>
    </row>
    <row r="408" spans="1:19" x14ac:dyDescent="0.25">
      <c r="A408" s="4" t="s">
        <v>167</v>
      </c>
      <c r="B408" s="5" t="s">
        <v>124</v>
      </c>
      <c r="C408" s="4" t="s">
        <v>13</v>
      </c>
      <c r="D408" s="5" t="s">
        <v>168</v>
      </c>
      <c r="E408" s="4" t="s">
        <v>24</v>
      </c>
      <c r="F408" s="4" t="s">
        <v>25</v>
      </c>
      <c r="G408" s="4" t="s">
        <v>16</v>
      </c>
      <c r="H408" s="12">
        <v>4.4000000000000004</v>
      </c>
      <c r="I408" s="7">
        <v>40000</v>
      </c>
      <c r="J408" s="7">
        <f t="shared" si="31"/>
        <v>176000</v>
      </c>
      <c r="K408" s="8" t="s">
        <v>17</v>
      </c>
      <c r="L408" t="str">
        <f>IFERROR(VLOOKUP(F408,MÃ!$A:$B,2,0),0)</f>
        <v>NL300008</v>
      </c>
      <c r="M408" t="str">
        <f t="shared" si="35"/>
        <v>14/01/2026NL300008</v>
      </c>
      <c r="N408" s="15">
        <f>IFERROR(VLOOKUP(M408,'WS3'!$B$2:$Q$437,11,0),0)</f>
        <v>2</v>
      </c>
      <c r="O408" s="17">
        <f>IFERROR(VLOOKUP(M408,'WS3'!$B$2:$Q$437,12,0),0)</f>
        <v>40000</v>
      </c>
      <c r="P408" s="17">
        <f t="shared" si="32"/>
        <v>80000</v>
      </c>
      <c r="Q408" s="15">
        <f t="shared" si="33"/>
        <v>2.4000000000000004</v>
      </c>
      <c r="R408" s="17">
        <f t="shared" si="34"/>
        <v>0</v>
      </c>
      <c r="S408" s="13" t="s">
        <v>543</v>
      </c>
    </row>
    <row r="409" spans="1:19" x14ac:dyDescent="0.25">
      <c r="A409" s="4" t="s">
        <v>167</v>
      </c>
      <c r="B409" s="5" t="s">
        <v>124</v>
      </c>
      <c r="C409" s="4" t="s">
        <v>13</v>
      </c>
      <c r="D409" s="5" t="s">
        <v>168</v>
      </c>
      <c r="E409" s="4" t="s">
        <v>126</v>
      </c>
      <c r="F409" s="4" t="s">
        <v>127</v>
      </c>
      <c r="G409" s="4" t="s">
        <v>16</v>
      </c>
      <c r="H409" s="12">
        <v>3.7</v>
      </c>
      <c r="I409" s="7">
        <v>52000</v>
      </c>
      <c r="J409" s="7">
        <f t="shared" si="31"/>
        <v>192400</v>
      </c>
      <c r="K409" s="8" t="s">
        <v>17</v>
      </c>
      <c r="L409" t="str">
        <f>IFERROR(VLOOKUP(F409,MÃ!$A:$B,2,0),0)</f>
        <v>NL300137</v>
      </c>
      <c r="M409" t="str">
        <f t="shared" si="35"/>
        <v>14/01/2026NL300137</v>
      </c>
      <c r="N409" s="15">
        <f>IFERROR(VLOOKUP(M409,'WS3'!$B$2:$Q$437,11,0),0)</f>
        <v>2</v>
      </c>
      <c r="O409" s="17">
        <f>IFERROR(VLOOKUP(M409,'WS3'!$B$2:$Q$437,12,0),0)</f>
        <v>52000</v>
      </c>
      <c r="P409" s="17">
        <f t="shared" si="32"/>
        <v>104000</v>
      </c>
      <c r="Q409" s="15">
        <f t="shared" si="33"/>
        <v>1.7000000000000002</v>
      </c>
      <c r="R409" s="17">
        <f t="shared" si="34"/>
        <v>0</v>
      </c>
      <c r="S409" s="13" t="s">
        <v>543</v>
      </c>
    </row>
    <row r="410" spans="1:19" ht="42.75" x14ac:dyDescent="0.25">
      <c r="A410" s="4" t="s">
        <v>167</v>
      </c>
      <c r="B410" s="5" t="s">
        <v>124</v>
      </c>
      <c r="C410" s="4" t="s">
        <v>13</v>
      </c>
      <c r="D410" s="5" t="s">
        <v>168</v>
      </c>
      <c r="E410" s="4" t="s">
        <v>28</v>
      </c>
      <c r="F410" s="4" t="s">
        <v>29</v>
      </c>
      <c r="G410" s="4" t="s">
        <v>16</v>
      </c>
      <c r="H410" s="12">
        <v>2</v>
      </c>
      <c r="I410" s="7">
        <v>30000</v>
      </c>
      <c r="J410" s="7">
        <f t="shared" si="31"/>
        <v>60000</v>
      </c>
      <c r="K410" s="8" t="s">
        <v>17</v>
      </c>
      <c r="L410" t="str">
        <f>IFERROR(VLOOKUP(F410,MÃ!$A:$B,2,0),0)</f>
        <v>NL300020</v>
      </c>
      <c r="M410" t="str">
        <f t="shared" si="35"/>
        <v>14/01/2026NL300020</v>
      </c>
      <c r="N410" s="15">
        <f>IFERROR(VLOOKUP(M410,'WS3'!$B$2:$Q$437,11,0),0)</f>
        <v>1</v>
      </c>
      <c r="O410" s="17">
        <f>IFERROR(VLOOKUP(M410,'WS3'!$B$2:$Q$437,12,0),0)</f>
        <v>30000</v>
      </c>
      <c r="P410" s="17">
        <f t="shared" si="32"/>
        <v>30000</v>
      </c>
      <c r="Q410" s="15">
        <f t="shared" si="33"/>
        <v>1</v>
      </c>
      <c r="R410" s="17">
        <f t="shared" si="34"/>
        <v>0</v>
      </c>
      <c r="S410" s="13" t="s">
        <v>543</v>
      </c>
    </row>
    <row r="411" spans="1:19" x14ac:dyDescent="0.25">
      <c r="A411" s="4" t="s">
        <v>167</v>
      </c>
      <c r="B411" s="5" t="s">
        <v>124</v>
      </c>
      <c r="C411" s="4" t="s">
        <v>13</v>
      </c>
      <c r="D411" s="5" t="s">
        <v>168</v>
      </c>
      <c r="E411" s="4" t="s">
        <v>89</v>
      </c>
      <c r="F411" s="4" t="s">
        <v>90</v>
      </c>
      <c r="G411" s="4" t="s">
        <v>16</v>
      </c>
      <c r="H411" s="12">
        <v>1</v>
      </c>
      <c r="I411" s="7">
        <v>44000</v>
      </c>
      <c r="J411" s="7">
        <f t="shared" si="31"/>
        <v>44000</v>
      </c>
      <c r="K411" s="8" t="s">
        <v>17</v>
      </c>
      <c r="L411" t="str">
        <f>IFERROR(VLOOKUP(F411,MÃ!$A:$B,2,0),0)</f>
        <v>NL300025</v>
      </c>
      <c r="M411" t="str">
        <f t="shared" si="35"/>
        <v>14/01/2026NL300025</v>
      </c>
      <c r="N411" s="15">
        <f>IFERROR(VLOOKUP(M411,'WS3'!$B$2:$Q$437,11,0),0)</f>
        <v>1</v>
      </c>
      <c r="O411" s="17">
        <f>IFERROR(VLOOKUP(M411,'WS3'!$B$2:$Q$437,12,0),0)</f>
        <v>44000</v>
      </c>
      <c r="P411" s="17">
        <f t="shared" si="32"/>
        <v>44000</v>
      </c>
      <c r="Q411" s="15">
        <f t="shared" si="33"/>
        <v>0</v>
      </c>
      <c r="R411" s="17">
        <f t="shared" si="34"/>
        <v>0</v>
      </c>
      <c r="S411" s="13"/>
    </row>
    <row r="412" spans="1:19" x14ac:dyDescent="0.25">
      <c r="A412" s="4" t="s">
        <v>167</v>
      </c>
      <c r="B412" s="5" t="s">
        <v>124</v>
      </c>
      <c r="C412" s="4" t="s">
        <v>13</v>
      </c>
      <c r="D412" s="5" t="s">
        <v>168</v>
      </c>
      <c r="E412" s="4" t="s">
        <v>30</v>
      </c>
      <c r="F412" s="4" t="s">
        <v>31</v>
      </c>
      <c r="G412" s="4" t="s">
        <v>16</v>
      </c>
      <c r="H412" s="12">
        <v>1</v>
      </c>
      <c r="I412" s="7">
        <v>38000</v>
      </c>
      <c r="J412" s="7">
        <f t="shared" si="31"/>
        <v>38000</v>
      </c>
      <c r="K412" s="8" t="s">
        <v>17</v>
      </c>
      <c r="L412" t="str">
        <f>IFERROR(VLOOKUP(F412,MÃ!$A:$B,2,0),0)</f>
        <v>NL300054</v>
      </c>
      <c r="M412" t="str">
        <f t="shared" si="35"/>
        <v>14/01/2026NL300054</v>
      </c>
      <c r="N412" s="15">
        <f>IFERROR(VLOOKUP(M412,'WS3'!$B$2:$Q$437,11,0),0)</f>
        <v>1</v>
      </c>
      <c r="O412" s="17">
        <f>IFERROR(VLOOKUP(M412,'WS3'!$B$2:$Q$437,12,0),0)</f>
        <v>38000</v>
      </c>
      <c r="P412" s="17">
        <f t="shared" si="32"/>
        <v>38000</v>
      </c>
      <c r="Q412" s="15">
        <f t="shared" si="33"/>
        <v>0</v>
      </c>
      <c r="R412" s="17">
        <f t="shared" si="34"/>
        <v>0</v>
      </c>
      <c r="S412" s="13"/>
    </row>
    <row r="413" spans="1:19" x14ac:dyDescent="0.25">
      <c r="A413" s="4" t="s">
        <v>167</v>
      </c>
      <c r="B413" s="5" t="s">
        <v>124</v>
      </c>
      <c r="C413" s="4" t="s">
        <v>13</v>
      </c>
      <c r="D413" s="5" t="s">
        <v>168</v>
      </c>
      <c r="E413" s="4" t="s">
        <v>32</v>
      </c>
      <c r="F413" s="4" t="s">
        <v>33</v>
      </c>
      <c r="G413" s="4" t="s">
        <v>16</v>
      </c>
      <c r="H413" s="12">
        <v>0.16</v>
      </c>
      <c r="I413" s="7">
        <v>25000</v>
      </c>
      <c r="J413" s="7">
        <f t="shared" si="31"/>
        <v>4000</v>
      </c>
      <c r="K413" s="8" t="s">
        <v>17</v>
      </c>
      <c r="L413" t="str">
        <f>IFERROR(VLOOKUP(F413,MÃ!$A:$B,2,0),0)</f>
        <v>NL300035</v>
      </c>
      <c r="M413" t="str">
        <f t="shared" si="35"/>
        <v>14/01/2026NL300035</v>
      </c>
      <c r="N413" s="15">
        <f>IFERROR(VLOOKUP(M413,'WS3'!$B$2:$Q$437,11,0),0)</f>
        <v>0.16</v>
      </c>
      <c r="O413" s="17">
        <f>IFERROR(VLOOKUP(M413,'WS3'!$B$2:$Q$437,12,0),0)</f>
        <v>25000</v>
      </c>
      <c r="P413" s="17">
        <f t="shared" si="32"/>
        <v>4000</v>
      </c>
      <c r="Q413" s="15">
        <f t="shared" si="33"/>
        <v>0</v>
      </c>
      <c r="R413" s="17">
        <f t="shared" si="34"/>
        <v>0</v>
      </c>
      <c r="S413" s="13"/>
    </row>
    <row r="414" spans="1:19" x14ac:dyDescent="0.25">
      <c r="A414" s="4" t="s">
        <v>167</v>
      </c>
      <c r="B414" s="5" t="s">
        <v>124</v>
      </c>
      <c r="C414" s="4" t="s">
        <v>13</v>
      </c>
      <c r="D414" s="5" t="s">
        <v>168</v>
      </c>
      <c r="E414" s="4" t="s">
        <v>95</v>
      </c>
      <c r="F414" s="4" t="s">
        <v>96</v>
      </c>
      <c r="G414" s="4" t="s">
        <v>16</v>
      </c>
      <c r="H414" s="12">
        <v>1</v>
      </c>
      <c r="I414" s="7">
        <v>47000</v>
      </c>
      <c r="J414" s="7">
        <f t="shared" si="31"/>
        <v>47000</v>
      </c>
      <c r="K414" s="8" t="s">
        <v>17</v>
      </c>
      <c r="L414" t="str">
        <f>IFERROR(VLOOKUP(F414,MÃ!$A:$B,2,0),0)</f>
        <v>NL300036</v>
      </c>
      <c r="M414" t="str">
        <f t="shared" si="35"/>
        <v>14/01/2026NL300036</v>
      </c>
      <c r="N414" s="15">
        <f>IFERROR(VLOOKUP(M414,'WS3'!$B$2:$Q$437,11,0),0)</f>
        <v>1</v>
      </c>
      <c r="O414" s="17">
        <f>IFERROR(VLOOKUP(M414,'WS3'!$B$2:$Q$437,12,0),0)</f>
        <v>47000</v>
      </c>
      <c r="P414" s="17">
        <f t="shared" si="32"/>
        <v>47000</v>
      </c>
      <c r="Q414" s="15">
        <f t="shared" si="33"/>
        <v>0</v>
      </c>
      <c r="R414" s="17">
        <f t="shared" si="34"/>
        <v>0</v>
      </c>
      <c r="S414" s="13"/>
    </row>
    <row r="415" spans="1:19" x14ac:dyDescent="0.25">
      <c r="A415" s="4" t="s">
        <v>167</v>
      </c>
      <c r="B415" s="5" t="s">
        <v>124</v>
      </c>
      <c r="C415" s="4" t="s">
        <v>13</v>
      </c>
      <c r="D415" s="5" t="s">
        <v>168</v>
      </c>
      <c r="E415" s="4" t="s">
        <v>34</v>
      </c>
      <c r="F415" s="4" t="s">
        <v>35</v>
      </c>
      <c r="G415" s="4" t="s">
        <v>16</v>
      </c>
      <c r="H415" s="12">
        <v>2</v>
      </c>
      <c r="I415" s="7">
        <v>32000</v>
      </c>
      <c r="J415" s="7">
        <f t="shared" si="31"/>
        <v>64000</v>
      </c>
      <c r="K415" s="8" t="s">
        <v>17</v>
      </c>
      <c r="L415" t="str">
        <f>IFERROR(VLOOKUP(F415,MÃ!$A:$B,2,0),0)</f>
        <v>NL300038</v>
      </c>
      <c r="M415" t="str">
        <f t="shared" si="35"/>
        <v>14/01/2026NL300038</v>
      </c>
      <c r="N415" s="15">
        <f>IFERROR(VLOOKUP(M415,'WS3'!$B$2:$Q$437,11,0),0)</f>
        <v>2</v>
      </c>
      <c r="O415" s="17">
        <f>IFERROR(VLOOKUP(M415,'WS3'!$B$2:$Q$437,12,0),0)</f>
        <v>32000</v>
      </c>
      <c r="P415" s="17">
        <f t="shared" si="32"/>
        <v>64000</v>
      </c>
      <c r="Q415" s="15">
        <f t="shared" si="33"/>
        <v>0</v>
      </c>
      <c r="R415" s="17">
        <f t="shared" si="34"/>
        <v>0</v>
      </c>
      <c r="S415" s="13"/>
    </row>
    <row r="416" spans="1:19" x14ac:dyDescent="0.25">
      <c r="A416" s="4" t="s">
        <v>167</v>
      </c>
      <c r="B416" s="5" t="s">
        <v>124</v>
      </c>
      <c r="C416" s="4" t="s">
        <v>13</v>
      </c>
      <c r="D416" s="5" t="s">
        <v>168</v>
      </c>
      <c r="E416" s="4" t="s">
        <v>36</v>
      </c>
      <c r="F416" s="4" t="s">
        <v>37</v>
      </c>
      <c r="G416" s="4" t="s">
        <v>16</v>
      </c>
      <c r="H416" s="12">
        <v>9.6999999999999993</v>
      </c>
      <c r="I416" s="7">
        <v>18000</v>
      </c>
      <c r="J416" s="7">
        <f t="shared" si="31"/>
        <v>174600</v>
      </c>
      <c r="K416" s="8" t="s">
        <v>17</v>
      </c>
      <c r="L416" t="str">
        <f>IFERROR(VLOOKUP(F416,MÃ!$A:$B,2,0),0)</f>
        <v>NL600004</v>
      </c>
      <c r="M416" t="str">
        <f t="shared" si="35"/>
        <v>14/01/2026NL600004</v>
      </c>
      <c r="N416" s="15">
        <f>IFERROR(VLOOKUP(M416,'WS3'!$B$2:$Q$437,11,0),0)</f>
        <v>9.6999999999999993</v>
      </c>
      <c r="O416" s="17">
        <f>IFERROR(VLOOKUP(M416,'WS3'!$B$2:$Q$437,12,0),0)</f>
        <v>18000</v>
      </c>
      <c r="P416" s="17">
        <f t="shared" si="32"/>
        <v>174600</v>
      </c>
      <c r="Q416" s="15">
        <f t="shared" si="33"/>
        <v>0</v>
      </c>
      <c r="R416" s="17">
        <f t="shared" si="34"/>
        <v>0</v>
      </c>
      <c r="S416" s="13"/>
    </row>
    <row r="417" spans="1:19" x14ac:dyDescent="0.25">
      <c r="A417" s="4" t="s">
        <v>167</v>
      </c>
      <c r="B417" s="5" t="s">
        <v>124</v>
      </c>
      <c r="C417" s="4" t="s">
        <v>13</v>
      </c>
      <c r="D417" s="5" t="s">
        <v>168</v>
      </c>
      <c r="E417" s="4" t="s">
        <v>38</v>
      </c>
      <c r="F417" s="4" t="s">
        <v>39</v>
      </c>
      <c r="G417" s="4" t="s">
        <v>16</v>
      </c>
      <c r="H417" s="12">
        <v>3</v>
      </c>
      <c r="I417" s="7">
        <v>55000</v>
      </c>
      <c r="J417" s="7">
        <f t="shared" si="31"/>
        <v>165000</v>
      </c>
      <c r="K417" s="8" t="s">
        <v>17</v>
      </c>
      <c r="L417" t="str">
        <f>IFERROR(VLOOKUP(F417,MÃ!$A:$B,2,0),0)</f>
        <v>NL300058</v>
      </c>
      <c r="M417" t="str">
        <f t="shared" si="35"/>
        <v>14/01/2026NL300058</v>
      </c>
      <c r="N417" s="15">
        <f>IFERROR(VLOOKUP(M417,'WS3'!$B$2:$Q$437,11,0),0)</f>
        <v>2</v>
      </c>
      <c r="O417" s="17">
        <f>IFERROR(VLOOKUP(M417,'WS3'!$B$2:$Q$437,12,0),0)</f>
        <v>55000</v>
      </c>
      <c r="P417" s="17">
        <f t="shared" si="32"/>
        <v>110000</v>
      </c>
      <c r="Q417" s="15">
        <f t="shared" si="33"/>
        <v>1</v>
      </c>
      <c r="R417" s="17">
        <f t="shared" si="34"/>
        <v>0</v>
      </c>
      <c r="S417" s="13" t="s">
        <v>543</v>
      </c>
    </row>
    <row r="418" spans="1:19" x14ac:dyDescent="0.25">
      <c r="A418" s="4" t="s">
        <v>167</v>
      </c>
      <c r="B418" s="5" t="s">
        <v>124</v>
      </c>
      <c r="C418" s="4" t="s">
        <v>13</v>
      </c>
      <c r="D418" s="5" t="s">
        <v>168</v>
      </c>
      <c r="E418" s="4" t="s">
        <v>40</v>
      </c>
      <c r="F418" s="4" t="s">
        <v>41</v>
      </c>
      <c r="G418" s="4" t="s">
        <v>16</v>
      </c>
      <c r="H418" s="12">
        <v>0.2</v>
      </c>
      <c r="I418" s="7">
        <v>80000</v>
      </c>
      <c r="J418" s="7">
        <f t="shared" si="31"/>
        <v>16000</v>
      </c>
      <c r="K418" s="8" t="s">
        <v>17</v>
      </c>
      <c r="L418" t="str">
        <f>IFERROR(VLOOKUP(F418,MÃ!$A:$B,2,0),0)</f>
        <v>NL300055</v>
      </c>
      <c r="M418" t="str">
        <f t="shared" si="35"/>
        <v>14/01/2026NL300055</v>
      </c>
      <c r="N418" s="15">
        <f>IFERROR(VLOOKUP(M418,'WS3'!$B$2:$Q$437,11,0),0)</f>
        <v>0.2</v>
      </c>
      <c r="O418" s="17">
        <f>IFERROR(VLOOKUP(M418,'WS3'!$B$2:$Q$437,12,0),0)</f>
        <v>80000</v>
      </c>
      <c r="P418" s="17">
        <f t="shared" si="32"/>
        <v>16000</v>
      </c>
      <c r="Q418" s="15">
        <f t="shared" si="33"/>
        <v>0</v>
      </c>
      <c r="R418" s="17">
        <f t="shared" si="34"/>
        <v>0</v>
      </c>
      <c r="S418" s="13"/>
    </row>
    <row r="419" spans="1:19" x14ac:dyDescent="0.25">
      <c r="A419" s="4" t="s">
        <v>167</v>
      </c>
      <c r="B419" s="5" t="s">
        <v>124</v>
      </c>
      <c r="C419" s="4" t="s">
        <v>13</v>
      </c>
      <c r="D419" s="5" t="s">
        <v>168</v>
      </c>
      <c r="E419" s="4" t="s">
        <v>63</v>
      </c>
      <c r="F419" s="4" t="s">
        <v>64</v>
      </c>
      <c r="G419" s="4" t="s">
        <v>16</v>
      </c>
      <c r="H419" s="12">
        <v>0.1</v>
      </c>
      <c r="I419" s="7">
        <v>65000</v>
      </c>
      <c r="J419" s="7">
        <f t="shared" si="31"/>
        <v>6500</v>
      </c>
      <c r="K419" s="8" t="s">
        <v>17</v>
      </c>
      <c r="L419" t="str">
        <f>IFERROR(VLOOKUP(F419,MÃ!$A:$B,2,0),0)</f>
        <v>NL300062</v>
      </c>
      <c r="M419" t="str">
        <f t="shared" si="35"/>
        <v>14/01/2026NL300062</v>
      </c>
      <c r="N419" s="15">
        <f>IFERROR(VLOOKUP(M419,'WS3'!$B$2:$Q$437,11,0),0)</f>
        <v>0.1</v>
      </c>
      <c r="O419" s="17">
        <f>IFERROR(VLOOKUP(M419,'WS3'!$B$2:$Q$437,12,0),0)</f>
        <v>65000</v>
      </c>
      <c r="P419" s="17">
        <f t="shared" si="32"/>
        <v>6500</v>
      </c>
      <c r="Q419" s="15">
        <f t="shared" si="33"/>
        <v>0</v>
      </c>
      <c r="R419" s="17">
        <f t="shared" si="34"/>
        <v>0</v>
      </c>
      <c r="S419" s="13"/>
    </row>
    <row r="420" spans="1:19" x14ac:dyDescent="0.25">
      <c r="A420" s="4" t="s">
        <v>167</v>
      </c>
      <c r="B420" s="5" t="s">
        <v>124</v>
      </c>
      <c r="C420" s="4" t="s">
        <v>13</v>
      </c>
      <c r="D420" s="5" t="s">
        <v>168</v>
      </c>
      <c r="E420" s="4" t="s">
        <v>65</v>
      </c>
      <c r="F420" s="4" t="s">
        <v>66</v>
      </c>
      <c r="G420" s="4" t="s">
        <v>16</v>
      </c>
      <c r="H420" s="12">
        <v>0.5</v>
      </c>
      <c r="I420" s="7">
        <v>23000</v>
      </c>
      <c r="J420" s="7">
        <f t="shared" si="31"/>
        <v>11500</v>
      </c>
      <c r="K420" s="8" t="s">
        <v>17</v>
      </c>
      <c r="L420" t="str">
        <f>IFERROR(VLOOKUP(F420,MÃ!$A:$B,2,0),0)</f>
        <v>NL300070</v>
      </c>
      <c r="M420" t="str">
        <f t="shared" si="35"/>
        <v>14/01/2026NL300070</v>
      </c>
      <c r="N420" s="15">
        <f>IFERROR(VLOOKUP(M420,'WS3'!$B$2:$Q$437,11,0),0)</f>
        <v>0</v>
      </c>
      <c r="O420" s="17">
        <f>IFERROR(VLOOKUP(M420,'WS3'!$B$2:$Q$437,12,0),0)</f>
        <v>0</v>
      </c>
      <c r="P420" s="17">
        <f t="shared" si="32"/>
        <v>0</v>
      </c>
      <c r="Q420" s="15">
        <f t="shared" si="33"/>
        <v>0.5</v>
      </c>
      <c r="R420" s="17">
        <f t="shared" si="34"/>
        <v>23000</v>
      </c>
      <c r="S420" s="13" t="s">
        <v>540</v>
      </c>
    </row>
    <row r="421" spans="1:19" x14ac:dyDescent="0.25">
      <c r="A421" s="4" t="s">
        <v>167</v>
      </c>
      <c r="B421" s="5" t="s">
        <v>124</v>
      </c>
      <c r="C421" s="4" t="s">
        <v>13</v>
      </c>
      <c r="D421" s="5" t="s">
        <v>168</v>
      </c>
      <c r="E421" s="4" t="s">
        <v>42</v>
      </c>
      <c r="F421" s="4" t="s">
        <v>43</v>
      </c>
      <c r="G421" s="4" t="s">
        <v>16</v>
      </c>
      <c r="H421" s="12">
        <v>0.1</v>
      </c>
      <c r="I421" s="7">
        <v>42000</v>
      </c>
      <c r="J421" s="7">
        <f t="shared" si="31"/>
        <v>4200</v>
      </c>
      <c r="K421" s="8" t="s">
        <v>17</v>
      </c>
      <c r="L421" t="str">
        <f>IFERROR(VLOOKUP(F421,MÃ!$A:$B,2,0),0)</f>
        <v>NL300073</v>
      </c>
      <c r="M421" t="str">
        <f t="shared" si="35"/>
        <v>14/01/2026NL300073</v>
      </c>
      <c r="N421" s="15">
        <f>IFERROR(VLOOKUP(M421,'WS3'!$B$2:$Q$437,11,0),0)</f>
        <v>0.1</v>
      </c>
      <c r="O421" s="17">
        <f>IFERROR(VLOOKUP(M421,'WS3'!$B$2:$Q$437,12,0),0)</f>
        <v>42000</v>
      </c>
      <c r="P421" s="17">
        <f t="shared" si="32"/>
        <v>4200</v>
      </c>
      <c r="Q421" s="15">
        <f t="shared" si="33"/>
        <v>0</v>
      </c>
      <c r="R421" s="17">
        <f t="shared" si="34"/>
        <v>0</v>
      </c>
      <c r="S421" s="13"/>
    </row>
    <row r="422" spans="1:19" x14ac:dyDescent="0.25">
      <c r="A422" s="4" t="s">
        <v>167</v>
      </c>
      <c r="B422" s="5" t="s">
        <v>124</v>
      </c>
      <c r="C422" s="4" t="s">
        <v>13</v>
      </c>
      <c r="D422" s="5" t="s">
        <v>168</v>
      </c>
      <c r="E422" s="4" t="s">
        <v>14</v>
      </c>
      <c r="F422" s="4" t="s">
        <v>15</v>
      </c>
      <c r="G422" s="4" t="s">
        <v>16</v>
      </c>
      <c r="H422" s="12">
        <v>3.8</v>
      </c>
      <c r="I422" s="7">
        <v>27000</v>
      </c>
      <c r="J422" s="7">
        <f t="shared" si="31"/>
        <v>102600</v>
      </c>
      <c r="K422" s="8" t="s">
        <v>17</v>
      </c>
      <c r="L422" t="str">
        <f>IFERROR(VLOOKUP(F422,MÃ!$A:$B,2,0),0)</f>
        <v>NL300088</v>
      </c>
      <c r="M422" t="str">
        <f t="shared" si="35"/>
        <v>14/01/2026NL300088</v>
      </c>
      <c r="N422" s="15">
        <f>IFERROR(VLOOKUP(M422,'WS3'!$B$2:$Q$437,11,0),0)</f>
        <v>1</v>
      </c>
      <c r="O422" s="17">
        <f>IFERROR(VLOOKUP(M422,'WS3'!$B$2:$Q$437,12,0),0)</f>
        <v>27000</v>
      </c>
      <c r="P422" s="17">
        <f t="shared" si="32"/>
        <v>27000</v>
      </c>
      <c r="Q422" s="15">
        <f t="shared" si="33"/>
        <v>2.8</v>
      </c>
      <c r="R422" s="17">
        <f t="shared" si="34"/>
        <v>0</v>
      </c>
      <c r="S422" s="13" t="s">
        <v>543</v>
      </c>
    </row>
    <row r="423" spans="1:19" ht="28.5" x14ac:dyDescent="0.25">
      <c r="A423" s="4" t="s">
        <v>167</v>
      </c>
      <c r="B423" s="5" t="s">
        <v>124</v>
      </c>
      <c r="C423" s="4" t="s">
        <v>13</v>
      </c>
      <c r="D423" s="5" t="s">
        <v>168</v>
      </c>
      <c r="E423" s="4" t="s">
        <v>69</v>
      </c>
      <c r="F423" s="4" t="s">
        <v>70</v>
      </c>
      <c r="G423" s="4" t="s">
        <v>16</v>
      </c>
      <c r="H423" s="12">
        <v>5</v>
      </c>
      <c r="I423" s="7">
        <v>145000</v>
      </c>
      <c r="J423" s="7">
        <f t="shared" si="31"/>
        <v>725000</v>
      </c>
      <c r="K423" s="8" t="s">
        <v>17</v>
      </c>
      <c r="L423" t="str">
        <f>IFERROR(VLOOKUP(F423,MÃ!$A:$B,2,0),0)</f>
        <v>NL300090</v>
      </c>
      <c r="M423" t="str">
        <f t="shared" si="35"/>
        <v>14/01/2026NL300090</v>
      </c>
      <c r="N423" s="15">
        <f>IFERROR(VLOOKUP(M423,'WS3'!$B$2:$Q$437,11,0),0)</f>
        <v>4.7</v>
      </c>
      <c r="O423" s="17">
        <f>IFERROR(VLOOKUP(M423,'WS3'!$B$2:$Q$437,12,0),0)</f>
        <v>145000</v>
      </c>
      <c r="P423" s="17">
        <f t="shared" si="32"/>
        <v>681500</v>
      </c>
      <c r="Q423" s="15">
        <f t="shared" si="33"/>
        <v>0.29999999999999982</v>
      </c>
      <c r="R423" s="17">
        <f t="shared" si="34"/>
        <v>0</v>
      </c>
      <c r="S423" s="13" t="s">
        <v>543</v>
      </c>
    </row>
    <row r="424" spans="1:19" x14ac:dyDescent="0.25">
      <c r="A424" s="4" t="s">
        <v>167</v>
      </c>
      <c r="B424" s="5" t="s">
        <v>124</v>
      </c>
      <c r="C424" s="4" t="s">
        <v>13</v>
      </c>
      <c r="D424" s="5" t="s">
        <v>168</v>
      </c>
      <c r="E424" s="4" t="s">
        <v>71</v>
      </c>
      <c r="F424" s="4" t="s">
        <v>72</v>
      </c>
      <c r="G424" s="4" t="s">
        <v>16</v>
      </c>
      <c r="H424" s="12">
        <v>1</v>
      </c>
      <c r="I424" s="7">
        <v>47000</v>
      </c>
      <c r="J424" s="7">
        <f t="shared" si="31"/>
        <v>47000</v>
      </c>
      <c r="K424" s="8" t="s">
        <v>17</v>
      </c>
      <c r="L424" t="str">
        <f>IFERROR(VLOOKUP(F424,MÃ!$A:$B,2,0),0)</f>
        <v>NL300091</v>
      </c>
      <c r="M424" t="str">
        <f t="shared" si="35"/>
        <v>14/01/2026NL300091</v>
      </c>
      <c r="N424" s="15">
        <f>IFERROR(VLOOKUP(M424,'WS3'!$B$2:$Q$437,11,0),0)</f>
        <v>1</v>
      </c>
      <c r="O424" s="17">
        <f>IFERROR(VLOOKUP(M424,'WS3'!$B$2:$Q$437,12,0),0)</f>
        <v>47000</v>
      </c>
      <c r="P424" s="17">
        <f t="shared" si="32"/>
        <v>47000</v>
      </c>
      <c r="Q424" s="15">
        <f t="shared" si="33"/>
        <v>0</v>
      </c>
      <c r="R424" s="17">
        <f t="shared" si="34"/>
        <v>0</v>
      </c>
      <c r="S424" s="13"/>
    </row>
    <row r="425" spans="1:19" x14ac:dyDescent="0.25">
      <c r="A425" s="4" t="s">
        <v>167</v>
      </c>
      <c r="B425" s="5" t="s">
        <v>124</v>
      </c>
      <c r="C425" s="4" t="s">
        <v>13</v>
      </c>
      <c r="D425" s="5" t="s">
        <v>168</v>
      </c>
      <c r="E425" s="4" t="s">
        <v>73</v>
      </c>
      <c r="F425" s="4" t="s">
        <v>74</v>
      </c>
      <c r="G425" s="4" t="s">
        <v>16</v>
      </c>
      <c r="H425" s="12">
        <v>1.6</v>
      </c>
      <c r="I425" s="7">
        <v>90000</v>
      </c>
      <c r="J425" s="7">
        <f t="shared" si="31"/>
        <v>144000</v>
      </c>
      <c r="K425" s="8" t="s">
        <v>17</v>
      </c>
      <c r="L425" t="str">
        <f>IFERROR(VLOOKUP(F425,MÃ!$A:$B,2,0),0)</f>
        <v>NL300092</v>
      </c>
      <c r="M425" t="str">
        <f t="shared" si="35"/>
        <v>14/01/2026NL300092</v>
      </c>
      <c r="N425" s="15">
        <f>IFERROR(VLOOKUP(M425,'WS3'!$B$2:$Q$437,11,0),0)</f>
        <v>1.3</v>
      </c>
      <c r="O425" s="17">
        <f>IFERROR(VLOOKUP(M425,'WS3'!$B$2:$Q$437,12,0),0)</f>
        <v>90000</v>
      </c>
      <c r="P425" s="17">
        <f t="shared" si="32"/>
        <v>117000</v>
      </c>
      <c r="Q425" s="15">
        <f t="shared" si="33"/>
        <v>0.30000000000000004</v>
      </c>
      <c r="R425" s="17">
        <f t="shared" si="34"/>
        <v>0</v>
      </c>
      <c r="S425" s="13" t="s">
        <v>543</v>
      </c>
    </row>
    <row r="426" spans="1:19" ht="28.5" x14ac:dyDescent="0.25">
      <c r="A426" s="4" t="s">
        <v>167</v>
      </c>
      <c r="B426" s="5" t="s">
        <v>124</v>
      </c>
      <c r="C426" s="4" t="s">
        <v>13</v>
      </c>
      <c r="D426" s="5" t="s">
        <v>168</v>
      </c>
      <c r="E426" s="4" t="s">
        <v>44</v>
      </c>
      <c r="F426" s="4" t="s">
        <v>45</v>
      </c>
      <c r="G426" s="4" t="s">
        <v>16</v>
      </c>
      <c r="H426" s="12">
        <v>4</v>
      </c>
      <c r="I426" s="7">
        <v>45000</v>
      </c>
      <c r="J426" s="7">
        <f t="shared" si="31"/>
        <v>180000</v>
      </c>
      <c r="K426" s="8" t="s">
        <v>17</v>
      </c>
      <c r="L426" t="str">
        <f>IFERROR(VLOOKUP(F426,MÃ!$A:$B,2,0),0)</f>
        <v>NL300096</v>
      </c>
      <c r="M426" t="str">
        <f t="shared" si="35"/>
        <v>14/01/2026NL300096</v>
      </c>
      <c r="N426" s="15">
        <f>IFERROR(VLOOKUP(M426,'WS3'!$B$2:$Q$437,11,0),0)</f>
        <v>3.6</v>
      </c>
      <c r="O426" s="17">
        <f>IFERROR(VLOOKUP(M426,'WS3'!$B$2:$Q$437,12,0),0)</f>
        <v>45000</v>
      </c>
      <c r="P426" s="17">
        <f t="shared" si="32"/>
        <v>162000</v>
      </c>
      <c r="Q426" s="15">
        <f t="shared" si="33"/>
        <v>0.39999999999999991</v>
      </c>
      <c r="R426" s="17">
        <f t="shared" si="34"/>
        <v>0</v>
      </c>
      <c r="S426" s="13" t="s">
        <v>543</v>
      </c>
    </row>
    <row r="427" spans="1:19" ht="28.5" x14ac:dyDescent="0.25">
      <c r="A427" s="4" t="s">
        <v>167</v>
      </c>
      <c r="B427" s="5" t="s">
        <v>124</v>
      </c>
      <c r="C427" s="4" t="s">
        <v>13</v>
      </c>
      <c r="D427" s="5" t="s">
        <v>168</v>
      </c>
      <c r="E427" s="4" t="s">
        <v>75</v>
      </c>
      <c r="F427" s="4" t="s">
        <v>76</v>
      </c>
      <c r="G427" s="4" t="s">
        <v>16</v>
      </c>
      <c r="H427" s="12">
        <v>0.5</v>
      </c>
      <c r="I427" s="7">
        <v>90000</v>
      </c>
      <c r="J427" s="7">
        <f t="shared" si="31"/>
        <v>45000</v>
      </c>
      <c r="K427" s="8" t="s">
        <v>17</v>
      </c>
      <c r="L427" t="str">
        <f>IFERROR(VLOOKUP(F427,MÃ!$A:$B,2,0),0)</f>
        <v>NL300097</v>
      </c>
      <c r="M427" t="str">
        <f t="shared" si="35"/>
        <v>14/01/2026NL300097</v>
      </c>
      <c r="N427" s="15">
        <f>IFERROR(VLOOKUP(M427,'WS3'!$B$2:$Q$437,11,0),0)</f>
        <v>0.5</v>
      </c>
      <c r="O427" s="17">
        <f>IFERROR(VLOOKUP(M427,'WS3'!$B$2:$Q$437,12,0),0)</f>
        <v>90000</v>
      </c>
      <c r="P427" s="17">
        <f t="shared" si="32"/>
        <v>45000</v>
      </c>
      <c r="Q427" s="15">
        <f t="shared" si="33"/>
        <v>0</v>
      </c>
      <c r="R427" s="17">
        <f t="shared" si="34"/>
        <v>0</v>
      </c>
      <c r="S427" s="13"/>
    </row>
    <row r="428" spans="1:19" x14ac:dyDescent="0.25">
      <c r="A428" s="4" t="s">
        <v>167</v>
      </c>
      <c r="B428" s="5" t="s">
        <v>124</v>
      </c>
      <c r="C428" s="4" t="s">
        <v>13</v>
      </c>
      <c r="D428" s="5" t="s">
        <v>168</v>
      </c>
      <c r="E428" s="4" t="s">
        <v>77</v>
      </c>
      <c r="F428" s="4" t="s">
        <v>78</v>
      </c>
      <c r="G428" s="4" t="s">
        <v>16</v>
      </c>
      <c r="H428" s="12">
        <v>2</v>
      </c>
      <c r="I428" s="7">
        <v>45000</v>
      </c>
      <c r="J428" s="7">
        <f t="shared" si="31"/>
        <v>90000</v>
      </c>
      <c r="K428" s="8" t="s">
        <v>17</v>
      </c>
      <c r="L428" t="str">
        <f>IFERROR(VLOOKUP(F428,MÃ!$A:$B,2,0),0)</f>
        <v>NL300085</v>
      </c>
      <c r="M428" t="str">
        <f t="shared" si="35"/>
        <v>14/01/2026NL300085</v>
      </c>
      <c r="N428" s="15">
        <f>IFERROR(VLOOKUP(M428,'WS3'!$B$2:$Q$437,11,0),0)</f>
        <v>1</v>
      </c>
      <c r="O428" s="17">
        <f>IFERROR(VLOOKUP(M428,'WS3'!$B$2:$Q$437,12,0),0)</f>
        <v>45000</v>
      </c>
      <c r="P428" s="17">
        <f t="shared" si="32"/>
        <v>45000</v>
      </c>
      <c r="Q428" s="15">
        <f t="shared" si="33"/>
        <v>1</v>
      </c>
      <c r="R428" s="17">
        <f t="shared" si="34"/>
        <v>0</v>
      </c>
      <c r="S428" s="13" t="s">
        <v>543</v>
      </c>
    </row>
    <row r="429" spans="1:19" x14ac:dyDescent="0.25">
      <c r="A429" s="4" t="s">
        <v>167</v>
      </c>
      <c r="B429" s="5" t="s">
        <v>124</v>
      </c>
      <c r="C429" s="4" t="s">
        <v>13</v>
      </c>
      <c r="D429" s="5" t="s">
        <v>168</v>
      </c>
      <c r="E429" s="4" t="s">
        <v>102</v>
      </c>
      <c r="F429" s="4" t="s">
        <v>103</v>
      </c>
      <c r="G429" s="4" t="s">
        <v>16</v>
      </c>
      <c r="H429" s="12">
        <v>0.5</v>
      </c>
      <c r="I429" s="7">
        <v>145000</v>
      </c>
      <c r="J429" s="7">
        <f t="shared" si="31"/>
        <v>72500</v>
      </c>
      <c r="K429" s="8" t="s">
        <v>17</v>
      </c>
      <c r="L429" t="str">
        <f>IFERROR(VLOOKUP(F429,MÃ!$A:$B,2,0),0)</f>
        <v>NL300113</v>
      </c>
      <c r="M429" t="str">
        <f t="shared" si="35"/>
        <v>14/01/2026NL300113</v>
      </c>
      <c r="N429" s="15">
        <f>IFERROR(VLOOKUP(M429,'WS3'!$B$2:$Q$437,11,0),0)</f>
        <v>0.5</v>
      </c>
      <c r="O429" s="17">
        <f>IFERROR(VLOOKUP(M429,'WS3'!$B$2:$Q$437,12,0),0)</f>
        <v>145000</v>
      </c>
      <c r="P429" s="17">
        <f t="shared" si="32"/>
        <v>72500</v>
      </c>
      <c r="Q429" s="15">
        <f t="shared" si="33"/>
        <v>0</v>
      </c>
      <c r="R429" s="17">
        <f t="shared" si="34"/>
        <v>0</v>
      </c>
      <c r="S429" s="13"/>
    </row>
    <row r="430" spans="1:19" x14ac:dyDescent="0.25">
      <c r="A430" s="4" t="s">
        <v>167</v>
      </c>
      <c r="B430" s="5" t="s">
        <v>124</v>
      </c>
      <c r="C430" s="4" t="s">
        <v>13</v>
      </c>
      <c r="D430" s="5" t="s">
        <v>168</v>
      </c>
      <c r="E430" s="4" t="s">
        <v>48</v>
      </c>
      <c r="F430" s="4" t="s">
        <v>49</v>
      </c>
      <c r="G430" s="4" t="s">
        <v>16</v>
      </c>
      <c r="H430" s="12">
        <v>0.5</v>
      </c>
      <c r="I430" s="7">
        <v>42000</v>
      </c>
      <c r="J430" s="7">
        <f t="shared" si="31"/>
        <v>21000</v>
      </c>
      <c r="K430" s="8" t="s">
        <v>17</v>
      </c>
      <c r="L430" t="str">
        <f>IFERROR(VLOOKUP(F430,MÃ!$A:$B,2,0),0)</f>
        <v>NL300125</v>
      </c>
      <c r="M430" t="str">
        <f t="shared" si="35"/>
        <v>14/01/2026NL300125</v>
      </c>
      <c r="N430" s="15">
        <f>IFERROR(VLOOKUP(M430,'WS3'!$B$2:$Q$437,11,0),0)</f>
        <v>0.5</v>
      </c>
      <c r="O430" s="17">
        <f>IFERROR(VLOOKUP(M430,'WS3'!$B$2:$Q$437,12,0),0)</f>
        <v>42000</v>
      </c>
      <c r="P430" s="17">
        <f t="shared" si="32"/>
        <v>21000</v>
      </c>
      <c r="Q430" s="15">
        <f t="shared" si="33"/>
        <v>0</v>
      </c>
      <c r="R430" s="17">
        <f t="shared" si="34"/>
        <v>0</v>
      </c>
      <c r="S430" s="13"/>
    </row>
    <row r="431" spans="1:19" x14ac:dyDescent="0.25">
      <c r="A431" s="4" t="s">
        <v>167</v>
      </c>
      <c r="B431" s="5" t="s">
        <v>124</v>
      </c>
      <c r="C431" s="4" t="s">
        <v>13</v>
      </c>
      <c r="D431" s="5" t="s">
        <v>168</v>
      </c>
      <c r="E431" s="4" t="s">
        <v>52</v>
      </c>
      <c r="F431" s="4" t="s">
        <v>53</v>
      </c>
      <c r="G431" s="4" t="s">
        <v>16</v>
      </c>
      <c r="H431" s="12">
        <v>1.5</v>
      </c>
      <c r="I431" s="7">
        <v>21000</v>
      </c>
      <c r="J431" s="7">
        <f t="shared" si="31"/>
        <v>31500</v>
      </c>
      <c r="K431" s="8" t="s">
        <v>17</v>
      </c>
      <c r="L431" t="str">
        <f>IFERROR(VLOOKUP(F431,MÃ!$A:$B,2,0),0)</f>
        <v>NL300119</v>
      </c>
      <c r="M431" t="str">
        <f t="shared" si="35"/>
        <v>14/01/2026NL300119</v>
      </c>
      <c r="N431" s="15">
        <f>IFERROR(VLOOKUP(M431,'WS3'!$B$2:$Q$437,11,0),0)</f>
        <v>1.5</v>
      </c>
      <c r="O431" s="17">
        <f>IFERROR(VLOOKUP(M431,'WS3'!$B$2:$Q$437,12,0),0)</f>
        <v>21000</v>
      </c>
      <c r="P431" s="17">
        <f t="shared" si="32"/>
        <v>31500</v>
      </c>
      <c r="Q431" s="15">
        <f t="shared" si="33"/>
        <v>0</v>
      </c>
      <c r="R431" s="17">
        <f t="shared" si="34"/>
        <v>0</v>
      </c>
      <c r="S431" s="13"/>
    </row>
    <row r="432" spans="1:19" x14ac:dyDescent="0.25">
      <c r="A432" s="4" t="s">
        <v>167</v>
      </c>
      <c r="B432" s="5" t="s">
        <v>124</v>
      </c>
      <c r="C432" s="4" t="s">
        <v>13</v>
      </c>
      <c r="D432" s="5" t="s">
        <v>168</v>
      </c>
      <c r="E432" s="4" t="s">
        <v>85</v>
      </c>
      <c r="F432" s="4" t="s">
        <v>86</v>
      </c>
      <c r="G432" s="4" t="s">
        <v>16</v>
      </c>
      <c r="H432" s="12">
        <v>2</v>
      </c>
      <c r="I432" s="7">
        <v>50000</v>
      </c>
      <c r="J432" s="7">
        <f t="shared" si="31"/>
        <v>100000</v>
      </c>
      <c r="K432" s="8" t="s">
        <v>17</v>
      </c>
      <c r="L432" t="str">
        <f>IFERROR(VLOOKUP(F432,MÃ!$A:$B,2,0),0)</f>
        <v>NL300142</v>
      </c>
      <c r="M432" t="str">
        <f t="shared" si="35"/>
        <v>14/01/2026NL300142</v>
      </c>
      <c r="N432" s="15">
        <f>IFERROR(VLOOKUP(M432,'WS3'!$B$2:$Q$437,11,0),0)</f>
        <v>2</v>
      </c>
      <c r="O432" s="17">
        <f>IFERROR(VLOOKUP(M432,'WS3'!$B$2:$Q$437,12,0),0)</f>
        <v>50000</v>
      </c>
      <c r="P432" s="17">
        <f t="shared" si="32"/>
        <v>100000</v>
      </c>
      <c r="Q432" s="15">
        <f t="shared" si="33"/>
        <v>0</v>
      </c>
      <c r="R432" s="17">
        <f t="shared" si="34"/>
        <v>0</v>
      </c>
      <c r="S432" s="13"/>
    </row>
    <row r="433" spans="1:19" x14ac:dyDescent="0.25">
      <c r="A433" s="4" t="s">
        <v>167</v>
      </c>
      <c r="B433" s="5" t="s">
        <v>124</v>
      </c>
      <c r="C433" s="4" t="s">
        <v>13</v>
      </c>
      <c r="D433" s="5" t="s">
        <v>168</v>
      </c>
      <c r="E433" s="4" t="s">
        <v>106</v>
      </c>
      <c r="F433" s="4" t="s">
        <v>107</v>
      </c>
      <c r="G433" s="4" t="s">
        <v>108</v>
      </c>
      <c r="H433" s="12">
        <v>50</v>
      </c>
      <c r="I433" s="7">
        <v>5000</v>
      </c>
      <c r="J433" s="7">
        <f t="shared" si="31"/>
        <v>250000</v>
      </c>
      <c r="K433" s="8" t="s">
        <v>17</v>
      </c>
      <c r="L433" t="str">
        <f>IFERROR(VLOOKUP(F433,MÃ!$A:$B,2,0),0)</f>
        <v>NL100101</v>
      </c>
      <c r="M433" t="str">
        <f t="shared" si="35"/>
        <v>14/01/2026NL100101</v>
      </c>
      <c r="N433" s="15">
        <f>IFERROR(VLOOKUP(M433,'WS3'!$B$2:$Q$437,11,0),0)</f>
        <v>49</v>
      </c>
      <c r="O433" s="17">
        <f>IFERROR(VLOOKUP(M433,'WS3'!$B$2:$Q$437,12,0),0)</f>
        <v>5000</v>
      </c>
      <c r="P433" s="17">
        <f t="shared" si="32"/>
        <v>245000</v>
      </c>
      <c r="Q433" s="15">
        <f t="shared" si="33"/>
        <v>1</v>
      </c>
      <c r="R433" s="17">
        <f t="shared" si="34"/>
        <v>0</v>
      </c>
      <c r="S433" s="13" t="s">
        <v>543</v>
      </c>
    </row>
    <row r="434" spans="1:19" x14ac:dyDescent="0.25">
      <c r="A434" s="4" t="s">
        <v>167</v>
      </c>
      <c r="B434" s="5" t="s">
        <v>124</v>
      </c>
      <c r="C434" s="4" t="s">
        <v>13</v>
      </c>
      <c r="D434" s="5" t="s">
        <v>168</v>
      </c>
      <c r="E434" s="4" t="s">
        <v>87</v>
      </c>
      <c r="F434" s="4" t="s">
        <v>88</v>
      </c>
      <c r="G434" s="4" t="s">
        <v>16</v>
      </c>
      <c r="H434" s="12">
        <v>0.3</v>
      </c>
      <c r="I434" s="7">
        <v>220000</v>
      </c>
      <c r="J434" s="7">
        <f t="shared" si="31"/>
        <v>66000</v>
      </c>
      <c r="K434" s="8" t="s">
        <v>17</v>
      </c>
      <c r="L434" t="str">
        <f>IFERROR(VLOOKUP(F434,MÃ!$A:$B,2,0),0)</f>
        <v>NL300131</v>
      </c>
      <c r="M434" t="str">
        <f t="shared" si="35"/>
        <v>14/01/2026NL300131</v>
      </c>
      <c r="N434" s="15">
        <f>IFERROR(VLOOKUP(M434,'WS3'!$B$2:$Q$437,11,0),0)</f>
        <v>0.3</v>
      </c>
      <c r="O434" s="17">
        <f>IFERROR(VLOOKUP(M434,'WS3'!$B$2:$Q$437,12,0),0)</f>
        <v>220000</v>
      </c>
      <c r="P434" s="17">
        <f t="shared" si="32"/>
        <v>66000</v>
      </c>
      <c r="Q434" s="15">
        <f t="shared" si="33"/>
        <v>0</v>
      </c>
      <c r="R434" s="17">
        <f t="shared" si="34"/>
        <v>0</v>
      </c>
      <c r="S434" s="13"/>
    </row>
    <row r="435" spans="1:19" x14ac:dyDescent="0.25">
      <c r="A435" s="4" t="s">
        <v>167</v>
      </c>
      <c r="B435" s="5" t="s">
        <v>124</v>
      </c>
      <c r="C435" s="4" t="s">
        <v>13</v>
      </c>
      <c r="D435" s="5" t="s">
        <v>168</v>
      </c>
      <c r="E435" s="4" t="s">
        <v>54</v>
      </c>
      <c r="F435" s="4" t="s">
        <v>55</v>
      </c>
      <c r="G435" s="4" t="s">
        <v>16</v>
      </c>
      <c r="H435" s="12">
        <v>3</v>
      </c>
      <c r="I435" s="7">
        <v>62000</v>
      </c>
      <c r="J435" s="7">
        <f t="shared" si="31"/>
        <v>186000</v>
      </c>
      <c r="K435" s="8" t="s">
        <v>17</v>
      </c>
      <c r="L435" t="str">
        <f>IFERROR(VLOOKUP(F435,MÃ!$A:$B,2,0),0)</f>
        <v>NL300147</v>
      </c>
      <c r="M435" t="str">
        <f t="shared" si="35"/>
        <v>14/01/2026NL300147</v>
      </c>
      <c r="N435" s="15">
        <f>IFERROR(VLOOKUP(M435,'WS3'!$B$2:$Q$437,11,0),0)</f>
        <v>2</v>
      </c>
      <c r="O435" s="17">
        <f>IFERROR(VLOOKUP(M435,'WS3'!$B$2:$Q$437,12,0),0)</f>
        <v>62000</v>
      </c>
      <c r="P435" s="17">
        <f t="shared" si="32"/>
        <v>124000</v>
      </c>
      <c r="Q435" s="15">
        <f t="shared" si="33"/>
        <v>1</v>
      </c>
      <c r="R435" s="17">
        <f t="shared" si="34"/>
        <v>0</v>
      </c>
      <c r="S435" s="13" t="s">
        <v>543</v>
      </c>
    </row>
    <row r="436" spans="1:19" x14ac:dyDescent="0.25">
      <c r="A436" s="4" t="s">
        <v>169</v>
      </c>
      <c r="B436" s="5" t="s">
        <v>124</v>
      </c>
      <c r="C436" s="4" t="s">
        <v>13</v>
      </c>
      <c r="D436" s="5" t="s">
        <v>170</v>
      </c>
      <c r="E436" s="4" t="s">
        <v>20</v>
      </c>
      <c r="F436" s="4" t="s">
        <v>21</v>
      </c>
      <c r="G436" s="4" t="s">
        <v>16</v>
      </c>
      <c r="H436" s="12">
        <v>6.3</v>
      </c>
      <c r="I436" s="7">
        <v>19000</v>
      </c>
      <c r="J436" s="7">
        <f t="shared" si="31"/>
        <v>119700</v>
      </c>
      <c r="K436" s="8" t="s">
        <v>17</v>
      </c>
      <c r="L436" t="str">
        <f>IFERROR(VLOOKUP(F436,MÃ!$A:$B,2,0),0)</f>
        <v>NL300004</v>
      </c>
      <c r="M436" t="str">
        <f t="shared" si="35"/>
        <v>15/01/2026NL300004</v>
      </c>
      <c r="N436" s="15">
        <f>IFERROR(VLOOKUP(M436,'WS3'!$B$2:$Q$437,11,0),0)</f>
        <v>4.3</v>
      </c>
      <c r="O436" s="17">
        <f>IFERROR(VLOOKUP(M436,'WS3'!$B$2:$Q$437,12,0),0)</f>
        <v>19000</v>
      </c>
      <c r="P436" s="17">
        <f t="shared" si="32"/>
        <v>81700</v>
      </c>
      <c r="Q436" s="15">
        <f t="shared" si="33"/>
        <v>2</v>
      </c>
      <c r="R436" s="17">
        <f t="shared" si="34"/>
        <v>0</v>
      </c>
      <c r="S436" s="13" t="s">
        <v>543</v>
      </c>
    </row>
    <row r="437" spans="1:19" ht="28.5" x14ac:dyDescent="0.25">
      <c r="A437" s="4" t="s">
        <v>169</v>
      </c>
      <c r="B437" s="5" t="s">
        <v>124</v>
      </c>
      <c r="C437" s="4" t="s">
        <v>13</v>
      </c>
      <c r="D437" s="5" t="s">
        <v>170</v>
      </c>
      <c r="E437" s="4" t="s">
        <v>56</v>
      </c>
      <c r="F437" s="4" t="s">
        <v>57</v>
      </c>
      <c r="G437" s="4" t="s">
        <v>58</v>
      </c>
      <c r="H437" s="12">
        <v>7</v>
      </c>
      <c r="I437" s="7">
        <v>8500</v>
      </c>
      <c r="J437" s="7">
        <f t="shared" si="31"/>
        <v>59500</v>
      </c>
      <c r="K437" s="8" t="s">
        <v>17</v>
      </c>
      <c r="L437" t="str">
        <f>IFERROR(VLOOKUP(F437,MÃ!$A:$B,2,0),0)</f>
        <v>NL300107</v>
      </c>
      <c r="M437" t="str">
        <f t="shared" si="35"/>
        <v>15/01/2026NL300107</v>
      </c>
      <c r="N437" s="15">
        <f>IFERROR(VLOOKUP(M437,'WS3'!$B$2:$Q$437,11,0),0)</f>
        <v>7</v>
      </c>
      <c r="O437" s="17">
        <f>IFERROR(VLOOKUP(M437,'WS3'!$B$2:$Q$437,12,0),0)</f>
        <v>8500</v>
      </c>
      <c r="P437" s="17">
        <f t="shared" si="32"/>
        <v>59500</v>
      </c>
      <c r="Q437" s="15">
        <f t="shared" si="33"/>
        <v>0</v>
      </c>
      <c r="R437" s="17">
        <f t="shared" si="34"/>
        <v>0</v>
      </c>
      <c r="S437" s="13"/>
    </row>
    <row r="438" spans="1:19" x14ac:dyDescent="0.25">
      <c r="A438" s="4" t="s">
        <v>169</v>
      </c>
      <c r="B438" s="5" t="s">
        <v>124</v>
      </c>
      <c r="C438" s="4" t="s">
        <v>13</v>
      </c>
      <c r="D438" s="5" t="s">
        <v>170</v>
      </c>
      <c r="E438" s="4" t="s">
        <v>24</v>
      </c>
      <c r="F438" s="4" t="s">
        <v>25</v>
      </c>
      <c r="G438" s="4" t="s">
        <v>16</v>
      </c>
      <c r="H438" s="12">
        <v>8.3000000000000007</v>
      </c>
      <c r="I438" s="7">
        <v>40000</v>
      </c>
      <c r="J438" s="7">
        <f t="shared" si="31"/>
        <v>332000</v>
      </c>
      <c r="K438" s="8" t="s">
        <v>17</v>
      </c>
      <c r="L438" t="str">
        <f>IFERROR(VLOOKUP(F438,MÃ!$A:$B,2,0),0)</f>
        <v>NL300008</v>
      </c>
      <c r="M438" t="str">
        <f t="shared" si="35"/>
        <v>15/01/2026NL300008</v>
      </c>
      <c r="N438" s="15">
        <f>IFERROR(VLOOKUP(M438,'WS3'!$B$2:$Q$437,11,0),0)</f>
        <v>6</v>
      </c>
      <c r="O438" s="17">
        <f>IFERROR(VLOOKUP(M438,'WS3'!$B$2:$Q$437,12,0),0)</f>
        <v>40000</v>
      </c>
      <c r="P438" s="17">
        <f t="shared" si="32"/>
        <v>240000</v>
      </c>
      <c r="Q438" s="15">
        <f t="shared" si="33"/>
        <v>2.3000000000000007</v>
      </c>
      <c r="R438" s="17">
        <f t="shared" si="34"/>
        <v>0</v>
      </c>
      <c r="S438" s="13" t="s">
        <v>543</v>
      </c>
    </row>
    <row r="439" spans="1:19" x14ac:dyDescent="0.25">
      <c r="A439" s="4" t="s">
        <v>169</v>
      </c>
      <c r="B439" s="5" t="s">
        <v>124</v>
      </c>
      <c r="C439" s="4" t="s">
        <v>13</v>
      </c>
      <c r="D439" s="5" t="s">
        <v>170</v>
      </c>
      <c r="E439" s="4" t="s">
        <v>126</v>
      </c>
      <c r="F439" s="4" t="s">
        <v>127</v>
      </c>
      <c r="G439" s="4" t="s">
        <v>16</v>
      </c>
      <c r="H439" s="12">
        <v>3.1</v>
      </c>
      <c r="I439" s="7">
        <v>52000</v>
      </c>
      <c r="J439" s="7">
        <f t="shared" si="31"/>
        <v>161200</v>
      </c>
      <c r="K439" s="8" t="s">
        <v>17</v>
      </c>
      <c r="L439" t="str">
        <f>IFERROR(VLOOKUP(F439,MÃ!$A:$B,2,0),0)</f>
        <v>NL300137</v>
      </c>
      <c r="M439" t="str">
        <f t="shared" si="35"/>
        <v>15/01/2026NL300137</v>
      </c>
      <c r="N439" s="15">
        <f>IFERROR(VLOOKUP(M439,'WS3'!$B$2:$Q$437,11,0),0)</f>
        <v>2</v>
      </c>
      <c r="O439" s="17">
        <f>IFERROR(VLOOKUP(M439,'WS3'!$B$2:$Q$437,12,0),0)</f>
        <v>52000</v>
      </c>
      <c r="P439" s="17">
        <f t="shared" si="32"/>
        <v>104000</v>
      </c>
      <c r="Q439" s="15">
        <f t="shared" si="33"/>
        <v>1.1000000000000001</v>
      </c>
      <c r="R439" s="17">
        <f t="shared" si="34"/>
        <v>0</v>
      </c>
      <c r="S439" s="13" t="s">
        <v>543</v>
      </c>
    </row>
    <row r="440" spans="1:19" ht="42.75" x14ac:dyDescent="0.25">
      <c r="A440" s="4" t="s">
        <v>169</v>
      </c>
      <c r="B440" s="5" t="s">
        <v>124</v>
      </c>
      <c r="C440" s="4" t="s">
        <v>13</v>
      </c>
      <c r="D440" s="5" t="s">
        <v>170</v>
      </c>
      <c r="E440" s="4" t="s">
        <v>28</v>
      </c>
      <c r="F440" s="4" t="s">
        <v>29</v>
      </c>
      <c r="G440" s="4" t="s">
        <v>16</v>
      </c>
      <c r="H440" s="12">
        <v>2</v>
      </c>
      <c r="I440" s="7">
        <v>30000</v>
      </c>
      <c r="J440" s="7">
        <f t="shared" si="31"/>
        <v>60000</v>
      </c>
      <c r="K440" s="8" t="s">
        <v>17</v>
      </c>
      <c r="L440" t="str">
        <f>IFERROR(VLOOKUP(F440,MÃ!$A:$B,2,0),0)</f>
        <v>NL300020</v>
      </c>
      <c r="M440" t="str">
        <f t="shared" si="35"/>
        <v>15/01/2026NL300020</v>
      </c>
      <c r="N440" s="15">
        <f>IFERROR(VLOOKUP(M440,'WS3'!$B$2:$Q$437,11,0),0)</f>
        <v>1</v>
      </c>
      <c r="O440" s="17">
        <f>IFERROR(VLOOKUP(M440,'WS3'!$B$2:$Q$437,12,0),0)</f>
        <v>30000</v>
      </c>
      <c r="P440" s="17">
        <f t="shared" si="32"/>
        <v>30000</v>
      </c>
      <c r="Q440" s="15">
        <f t="shared" si="33"/>
        <v>1</v>
      </c>
      <c r="R440" s="17">
        <f t="shared" si="34"/>
        <v>0</v>
      </c>
      <c r="S440" s="13" t="s">
        <v>543</v>
      </c>
    </row>
    <row r="441" spans="1:19" x14ac:dyDescent="0.25">
      <c r="A441" s="4" t="s">
        <v>169</v>
      </c>
      <c r="B441" s="5" t="s">
        <v>124</v>
      </c>
      <c r="C441" s="4" t="s">
        <v>13</v>
      </c>
      <c r="D441" s="5" t="s">
        <v>170</v>
      </c>
      <c r="E441" s="4" t="s">
        <v>89</v>
      </c>
      <c r="F441" s="4" t="s">
        <v>90</v>
      </c>
      <c r="G441" s="4" t="s">
        <v>16</v>
      </c>
      <c r="H441" s="12">
        <v>0.7</v>
      </c>
      <c r="I441" s="7">
        <v>44000</v>
      </c>
      <c r="J441" s="7">
        <f t="shared" si="31"/>
        <v>30799.999999999996</v>
      </c>
      <c r="K441" s="8" t="s">
        <v>17</v>
      </c>
      <c r="L441" t="str">
        <f>IFERROR(VLOOKUP(F441,MÃ!$A:$B,2,0),0)</f>
        <v>NL300025</v>
      </c>
      <c r="M441" t="str">
        <f t="shared" si="35"/>
        <v>15/01/2026NL300025</v>
      </c>
      <c r="N441" s="15">
        <f>IFERROR(VLOOKUP(M441,'WS3'!$B$2:$Q$437,11,0),0)</f>
        <v>0</v>
      </c>
      <c r="O441" s="17">
        <f>IFERROR(VLOOKUP(M441,'WS3'!$B$2:$Q$437,12,0),0)</f>
        <v>0</v>
      </c>
      <c r="P441" s="17">
        <f t="shared" si="32"/>
        <v>0</v>
      </c>
      <c r="Q441" s="15">
        <f t="shared" si="33"/>
        <v>0.7</v>
      </c>
      <c r="R441" s="17">
        <f t="shared" si="34"/>
        <v>44000</v>
      </c>
      <c r="S441" s="13" t="s">
        <v>540</v>
      </c>
    </row>
    <row r="442" spans="1:19" x14ac:dyDescent="0.25">
      <c r="A442" s="4" t="s">
        <v>169</v>
      </c>
      <c r="B442" s="5" t="s">
        <v>124</v>
      </c>
      <c r="C442" s="4" t="s">
        <v>13</v>
      </c>
      <c r="D442" s="5" t="s">
        <v>170</v>
      </c>
      <c r="E442" s="4" t="s">
        <v>61</v>
      </c>
      <c r="F442" s="4" t="s">
        <v>62</v>
      </c>
      <c r="G442" s="4" t="s">
        <v>16</v>
      </c>
      <c r="H442" s="12">
        <v>2</v>
      </c>
      <c r="I442" s="7">
        <v>22000</v>
      </c>
      <c r="J442" s="7">
        <f t="shared" si="31"/>
        <v>44000</v>
      </c>
      <c r="K442" s="8" t="s">
        <v>17</v>
      </c>
      <c r="L442" t="str">
        <f>IFERROR(VLOOKUP(F442,MÃ!$A:$B,2,0),0)</f>
        <v>NL300029</v>
      </c>
      <c r="M442" t="str">
        <f t="shared" si="35"/>
        <v>15/01/2026NL300029</v>
      </c>
      <c r="N442" s="15">
        <f>IFERROR(VLOOKUP(M442,'WS3'!$B$2:$Q$437,11,0),0)</f>
        <v>2</v>
      </c>
      <c r="O442" s="17">
        <f>IFERROR(VLOOKUP(M442,'WS3'!$B$2:$Q$437,12,0),0)</f>
        <v>22000</v>
      </c>
      <c r="P442" s="17">
        <f t="shared" si="32"/>
        <v>44000</v>
      </c>
      <c r="Q442" s="15">
        <f t="shared" si="33"/>
        <v>0</v>
      </c>
      <c r="R442" s="17">
        <f t="shared" si="34"/>
        <v>0</v>
      </c>
      <c r="S442" s="13"/>
    </row>
    <row r="443" spans="1:19" x14ac:dyDescent="0.25">
      <c r="A443" s="4" t="s">
        <v>169</v>
      </c>
      <c r="B443" s="5" t="s">
        <v>124</v>
      </c>
      <c r="C443" s="4" t="s">
        <v>13</v>
      </c>
      <c r="D443" s="5" t="s">
        <v>170</v>
      </c>
      <c r="E443" s="4" t="s">
        <v>32</v>
      </c>
      <c r="F443" s="4" t="s">
        <v>33</v>
      </c>
      <c r="G443" s="4" t="s">
        <v>16</v>
      </c>
      <c r="H443" s="12">
        <v>0.2</v>
      </c>
      <c r="I443" s="7">
        <v>25000</v>
      </c>
      <c r="J443" s="7">
        <f t="shared" si="31"/>
        <v>5000</v>
      </c>
      <c r="K443" s="8" t="s">
        <v>17</v>
      </c>
      <c r="L443" t="str">
        <f>IFERROR(VLOOKUP(F443,MÃ!$A:$B,2,0),0)</f>
        <v>NL300035</v>
      </c>
      <c r="M443" t="str">
        <f t="shared" si="35"/>
        <v>15/01/2026NL300035</v>
      </c>
      <c r="N443" s="15">
        <f>IFERROR(VLOOKUP(M443,'WS3'!$B$2:$Q$437,11,0),0)</f>
        <v>0</v>
      </c>
      <c r="O443" s="17">
        <f>IFERROR(VLOOKUP(M443,'WS3'!$B$2:$Q$437,12,0),0)</f>
        <v>0</v>
      </c>
      <c r="P443" s="17">
        <f t="shared" si="32"/>
        <v>0</v>
      </c>
      <c r="Q443" s="15">
        <f t="shared" si="33"/>
        <v>0.2</v>
      </c>
      <c r="R443" s="17">
        <f t="shared" si="34"/>
        <v>25000</v>
      </c>
      <c r="S443" s="13" t="s">
        <v>540</v>
      </c>
    </row>
    <row r="444" spans="1:19" x14ac:dyDescent="0.25">
      <c r="A444" s="4" t="s">
        <v>169</v>
      </c>
      <c r="B444" s="5" t="s">
        <v>124</v>
      </c>
      <c r="C444" s="4" t="s">
        <v>13</v>
      </c>
      <c r="D444" s="5" t="s">
        <v>170</v>
      </c>
      <c r="E444" s="4" t="s">
        <v>95</v>
      </c>
      <c r="F444" s="4" t="s">
        <v>96</v>
      </c>
      <c r="G444" s="4" t="s">
        <v>16</v>
      </c>
      <c r="H444" s="12">
        <v>1</v>
      </c>
      <c r="I444" s="7">
        <v>47000</v>
      </c>
      <c r="J444" s="7">
        <f t="shared" si="31"/>
        <v>47000</v>
      </c>
      <c r="K444" s="8" t="s">
        <v>17</v>
      </c>
      <c r="L444" t="str">
        <f>IFERROR(VLOOKUP(F444,MÃ!$A:$B,2,0),0)</f>
        <v>NL300036</v>
      </c>
      <c r="M444" t="str">
        <f t="shared" si="35"/>
        <v>15/01/2026NL300036</v>
      </c>
      <c r="N444" s="15">
        <f>IFERROR(VLOOKUP(M444,'WS3'!$B$2:$Q$437,11,0),0)</f>
        <v>1</v>
      </c>
      <c r="O444" s="17">
        <f>IFERROR(VLOOKUP(M444,'WS3'!$B$2:$Q$437,12,0),0)</f>
        <v>47000</v>
      </c>
      <c r="P444" s="17">
        <f t="shared" si="32"/>
        <v>47000</v>
      </c>
      <c r="Q444" s="15">
        <f t="shared" si="33"/>
        <v>0</v>
      </c>
      <c r="R444" s="17">
        <f t="shared" si="34"/>
        <v>0</v>
      </c>
      <c r="S444" s="13"/>
    </row>
    <row r="445" spans="1:19" x14ac:dyDescent="0.25">
      <c r="A445" s="4" t="s">
        <v>169</v>
      </c>
      <c r="B445" s="5" t="s">
        <v>124</v>
      </c>
      <c r="C445" s="4" t="s">
        <v>13</v>
      </c>
      <c r="D445" s="5" t="s">
        <v>170</v>
      </c>
      <c r="E445" s="4" t="s">
        <v>34</v>
      </c>
      <c r="F445" s="4" t="s">
        <v>35</v>
      </c>
      <c r="G445" s="4" t="s">
        <v>16</v>
      </c>
      <c r="H445" s="12">
        <v>2</v>
      </c>
      <c r="I445" s="7">
        <v>32000</v>
      </c>
      <c r="J445" s="7">
        <f t="shared" si="31"/>
        <v>64000</v>
      </c>
      <c r="K445" s="8" t="s">
        <v>17</v>
      </c>
      <c r="L445" t="str">
        <f>IFERROR(VLOOKUP(F445,MÃ!$A:$B,2,0),0)</f>
        <v>NL300038</v>
      </c>
      <c r="M445" t="str">
        <f t="shared" si="35"/>
        <v>15/01/2026NL300038</v>
      </c>
      <c r="N445" s="15">
        <f>IFERROR(VLOOKUP(M445,'WS3'!$B$2:$Q$437,11,0),0)</f>
        <v>2</v>
      </c>
      <c r="O445" s="17">
        <f>IFERROR(VLOOKUP(M445,'WS3'!$B$2:$Q$437,12,0),0)</f>
        <v>32000</v>
      </c>
      <c r="P445" s="17">
        <f t="shared" si="32"/>
        <v>64000</v>
      </c>
      <c r="Q445" s="15">
        <f t="shared" si="33"/>
        <v>0</v>
      </c>
      <c r="R445" s="17">
        <f t="shared" si="34"/>
        <v>0</v>
      </c>
      <c r="S445" s="13"/>
    </row>
    <row r="446" spans="1:19" x14ac:dyDescent="0.25">
      <c r="A446" s="4" t="s">
        <v>169</v>
      </c>
      <c r="B446" s="5" t="s">
        <v>124</v>
      </c>
      <c r="C446" s="4" t="s">
        <v>13</v>
      </c>
      <c r="D446" s="5" t="s">
        <v>170</v>
      </c>
      <c r="E446" s="4" t="s">
        <v>36</v>
      </c>
      <c r="F446" s="4" t="s">
        <v>37</v>
      </c>
      <c r="G446" s="4" t="s">
        <v>16</v>
      </c>
      <c r="H446" s="12">
        <v>9.1999999999999993</v>
      </c>
      <c r="I446" s="7">
        <v>18000</v>
      </c>
      <c r="J446" s="7">
        <f t="shared" si="31"/>
        <v>165600</v>
      </c>
      <c r="K446" s="8" t="s">
        <v>17</v>
      </c>
      <c r="L446" t="str">
        <f>IFERROR(VLOOKUP(F446,MÃ!$A:$B,2,0),0)</f>
        <v>NL600004</v>
      </c>
      <c r="M446" t="str">
        <f t="shared" si="35"/>
        <v>15/01/2026NL600004</v>
      </c>
      <c r="N446" s="15">
        <f>IFERROR(VLOOKUP(M446,'WS3'!$B$2:$Q$437,11,0),0)</f>
        <v>9.1999999999999993</v>
      </c>
      <c r="O446" s="17">
        <f>IFERROR(VLOOKUP(M446,'WS3'!$B$2:$Q$437,12,0),0)</f>
        <v>18000</v>
      </c>
      <c r="P446" s="17">
        <f t="shared" si="32"/>
        <v>165600</v>
      </c>
      <c r="Q446" s="15">
        <f t="shared" si="33"/>
        <v>0</v>
      </c>
      <c r="R446" s="17">
        <f t="shared" si="34"/>
        <v>0</v>
      </c>
      <c r="S446" s="13"/>
    </row>
    <row r="447" spans="1:19" x14ac:dyDescent="0.25">
      <c r="A447" s="4" t="s">
        <v>169</v>
      </c>
      <c r="B447" s="5" t="s">
        <v>124</v>
      </c>
      <c r="C447" s="4" t="s">
        <v>13</v>
      </c>
      <c r="D447" s="5" t="s">
        <v>170</v>
      </c>
      <c r="E447" s="4" t="s">
        <v>38</v>
      </c>
      <c r="F447" s="4" t="s">
        <v>39</v>
      </c>
      <c r="G447" s="4" t="s">
        <v>16</v>
      </c>
      <c r="H447" s="12">
        <v>3</v>
      </c>
      <c r="I447" s="7">
        <v>55000</v>
      </c>
      <c r="J447" s="7">
        <f t="shared" si="31"/>
        <v>165000</v>
      </c>
      <c r="K447" s="8" t="s">
        <v>17</v>
      </c>
      <c r="L447" t="str">
        <f>IFERROR(VLOOKUP(F447,MÃ!$A:$B,2,0),0)</f>
        <v>NL300058</v>
      </c>
      <c r="M447" t="str">
        <f t="shared" si="35"/>
        <v>15/01/2026NL300058</v>
      </c>
      <c r="N447" s="15">
        <f>IFERROR(VLOOKUP(M447,'WS3'!$B$2:$Q$437,11,0),0)</f>
        <v>2</v>
      </c>
      <c r="O447" s="17">
        <f>IFERROR(VLOOKUP(M447,'WS3'!$B$2:$Q$437,12,0),0)</f>
        <v>55000</v>
      </c>
      <c r="P447" s="17">
        <f t="shared" si="32"/>
        <v>110000</v>
      </c>
      <c r="Q447" s="15">
        <f t="shared" si="33"/>
        <v>1</v>
      </c>
      <c r="R447" s="17">
        <f t="shared" si="34"/>
        <v>0</v>
      </c>
      <c r="S447" s="13" t="s">
        <v>543</v>
      </c>
    </row>
    <row r="448" spans="1:19" x14ac:dyDescent="0.25">
      <c r="A448" s="4" t="s">
        <v>169</v>
      </c>
      <c r="B448" s="5" t="s">
        <v>124</v>
      </c>
      <c r="C448" s="4" t="s">
        <v>13</v>
      </c>
      <c r="D448" s="5" t="s">
        <v>170</v>
      </c>
      <c r="E448" s="4" t="s">
        <v>67</v>
      </c>
      <c r="F448" s="4" t="s">
        <v>68</v>
      </c>
      <c r="G448" s="4" t="s">
        <v>16</v>
      </c>
      <c r="H448" s="12">
        <v>0.3</v>
      </c>
      <c r="I448" s="7">
        <v>18000</v>
      </c>
      <c r="J448" s="7">
        <f t="shared" si="31"/>
        <v>5400</v>
      </c>
      <c r="K448" s="8" t="s">
        <v>17</v>
      </c>
      <c r="L448" t="str">
        <f>IFERROR(VLOOKUP(F448,MÃ!$A:$B,2,0),0)</f>
        <v>NL300184</v>
      </c>
      <c r="M448" t="str">
        <f t="shared" si="35"/>
        <v>15/01/2026NL300184</v>
      </c>
      <c r="N448" s="15">
        <f>IFERROR(VLOOKUP(M448,'WS3'!$B$2:$Q$437,11,0),0)</f>
        <v>0.3</v>
      </c>
      <c r="O448" s="17">
        <f>IFERROR(VLOOKUP(M448,'WS3'!$B$2:$Q$437,12,0),0)</f>
        <v>18000</v>
      </c>
      <c r="P448" s="17">
        <f t="shared" si="32"/>
        <v>5400</v>
      </c>
      <c r="Q448" s="15">
        <f t="shared" si="33"/>
        <v>0</v>
      </c>
      <c r="R448" s="17">
        <f t="shared" si="34"/>
        <v>0</v>
      </c>
      <c r="S448" s="13"/>
    </row>
    <row r="449" spans="1:19" x14ac:dyDescent="0.25">
      <c r="A449" s="4" t="s">
        <v>169</v>
      </c>
      <c r="B449" s="5" t="s">
        <v>124</v>
      </c>
      <c r="C449" s="4" t="s">
        <v>13</v>
      </c>
      <c r="D449" s="5" t="s">
        <v>170</v>
      </c>
      <c r="E449" s="4" t="s">
        <v>14</v>
      </c>
      <c r="F449" s="4" t="s">
        <v>15</v>
      </c>
      <c r="G449" s="4" t="s">
        <v>16</v>
      </c>
      <c r="H449" s="12">
        <v>7</v>
      </c>
      <c r="I449" s="7">
        <v>27000</v>
      </c>
      <c r="J449" s="7">
        <f t="shared" si="31"/>
        <v>189000</v>
      </c>
      <c r="K449" s="8" t="s">
        <v>17</v>
      </c>
      <c r="L449" t="str">
        <f>IFERROR(VLOOKUP(F449,MÃ!$A:$B,2,0),0)</f>
        <v>NL300088</v>
      </c>
      <c r="M449" t="str">
        <f t="shared" si="35"/>
        <v>15/01/2026NL300088</v>
      </c>
      <c r="N449" s="15">
        <f>IFERROR(VLOOKUP(M449,'WS3'!$B$2:$Q$437,11,0),0)</f>
        <v>3</v>
      </c>
      <c r="O449" s="17">
        <f>IFERROR(VLOOKUP(M449,'WS3'!$B$2:$Q$437,12,0),0)</f>
        <v>27000</v>
      </c>
      <c r="P449" s="17">
        <f t="shared" si="32"/>
        <v>81000</v>
      </c>
      <c r="Q449" s="15">
        <f t="shared" si="33"/>
        <v>4</v>
      </c>
      <c r="R449" s="17">
        <f t="shared" si="34"/>
        <v>0</v>
      </c>
      <c r="S449" s="13" t="s">
        <v>543</v>
      </c>
    </row>
    <row r="450" spans="1:19" ht="28.5" x14ac:dyDescent="0.25">
      <c r="A450" s="4" t="s">
        <v>169</v>
      </c>
      <c r="B450" s="5" t="s">
        <v>124</v>
      </c>
      <c r="C450" s="4" t="s">
        <v>13</v>
      </c>
      <c r="D450" s="5" t="s">
        <v>170</v>
      </c>
      <c r="E450" s="4" t="s">
        <v>69</v>
      </c>
      <c r="F450" s="4" t="s">
        <v>70</v>
      </c>
      <c r="G450" s="4" t="s">
        <v>16</v>
      </c>
      <c r="H450" s="12">
        <v>5</v>
      </c>
      <c r="I450" s="7">
        <v>145000</v>
      </c>
      <c r="J450" s="7">
        <f t="shared" si="31"/>
        <v>725000</v>
      </c>
      <c r="K450" s="8" t="s">
        <v>17</v>
      </c>
      <c r="L450" t="str">
        <f>IFERROR(VLOOKUP(F450,MÃ!$A:$B,2,0),0)</f>
        <v>NL300090</v>
      </c>
      <c r="M450" t="str">
        <f t="shared" si="35"/>
        <v>15/01/2026NL300090</v>
      </c>
      <c r="N450" s="15">
        <f>IFERROR(VLOOKUP(M450,'WS3'!$B$2:$Q$437,11,0),0)</f>
        <v>0</v>
      </c>
      <c r="O450" s="17">
        <f>IFERROR(VLOOKUP(M450,'WS3'!$B$2:$Q$437,12,0),0)</f>
        <v>0</v>
      </c>
      <c r="P450" s="17">
        <f t="shared" si="32"/>
        <v>0</v>
      </c>
      <c r="Q450" s="15">
        <f t="shared" si="33"/>
        <v>5</v>
      </c>
      <c r="R450" s="17">
        <f t="shared" si="34"/>
        <v>145000</v>
      </c>
      <c r="S450" s="13" t="s">
        <v>540</v>
      </c>
    </row>
    <row r="451" spans="1:19" x14ac:dyDescent="0.25">
      <c r="A451" s="4" t="s">
        <v>169</v>
      </c>
      <c r="B451" s="5" t="s">
        <v>124</v>
      </c>
      <c r="C451" s="4" t="s">
        <v>13</v>
      </c>
      <c r="D451" s="5" t="s">
        <v>170</v>
      </c>
      <c r="E451" s="4" t="s">
        <v>73</v>
      </c>
      <c r="F451" s="4" t="s">
        <v>74</v>
      </c>
      <c r="G451" s="4" t="s">
        <v>16</v>
      </c>
      <c r="H451" s="12">
        <v>1</v>
      </c>
      <c r="I451" s="7">
        <v>90000</v>
      </c>
      <c r="J451" s="7">
        <f t="shared" si="31"/>
        <v>90000</v>
      </c>
      <c r="K451" s="8" t="s">
        <v>17</v>
      </c>
      <c r="L451" t="str">
        <f>IFERROR(VLOOKUP(F451,MÃ!$A:$B,2,0),0)</f>
        <v>NL300092</v>
      </c>
      <c r="M451" t="str">
        <f t="shared" si="35"/>
        <v>15/01/2026NL300092</v>
      </c>
      <c r="N451" s="15">
        <f>IFERROR(VLOOKUP(M451,'WS3'!$B$2:$Q$437,11,0),0)</f>
        <v>0.8</v>
      </c>
      <c r="O451" s="17">
        <f>IFERROR(VLOOKUP(M451,'WS3'!$B$2:$Q$437,12,0),0)</f>
        <v>90000</v>
      </c>
      <c r="P451" s="17">
        <f t="shared" si="32"/>
        <v>72000</v>
      </c>
      <c r="Q451" s="15">
        <f t="shared" si="33"/>
        <v>0.19999999999999996</v>
      </c>
      <c r="R451" s="17">
        <f t="shared" si="34"/>
        <v>0</v>
      </c>
      <c r="S451" s="13" t="s">
        <v>543</v>
      </c>
    </row>
    <row r="452" spans="1:19" ht="28.5" x14ac:dyDescent="0.25">
      <c r="A452" s="4" t="s">
        <v>169</v>
      </c>
      <c r="B452" s="5" t="s">
        <v>124</v>
      </c>
      <c r="C452" s="4" t="s">
        <v>13</v>
      </c>
      <c r="D452" s="5" t="s">
        <v>170</v>
      </c>
      <c r="E452" s="4" t="s">
        <v>44</v>
      </c>
      <c r="F452" s="4" t="s">
        <v>45</v>
      </c>
      <c r="G452" s="4" t="s">
        <v>16</v>
      </c>
      <c r="H452" s="12">
        <v>3</v>
      </c>
      <c r="I452" s="7">
        <v>45000</v>
      </c>
      <c r="J452" s="7">
        <f t="shared" si="31"/>
        <v>135000</v>
      </c>
      <c r="K452" s="8" t="s">
        <v>17</v>
      </c>
      <c r="L452" t="str">
        <f>IFERROR(VLOOKUP(F452,MÃ!$A:$B,2,0),0)</f>
        <v>NL300096</v>
      </c>
      <c r="M452" t="str">
        <f t="shared" si="35"/>
        <v>15/01/2026NL300096</v>
      </c>
      <c r="N452" s="15">
        <f>IFERROR(VLOOKUP(M452,'WS3'!$B$2:$Q$437,11,0),0)</f>
        <v>3</v>
      </c>
      <c r="O452" s="17">
        <f>IFERROR(VLOOKUP(M452,'WS3'!$B$2:$Q$437,12,0),0)</f>
        <v>45000</v>
      </c>
      <c r="P452" s="17">
        <f t="shared" si="32"/>
        <v>135000</v>
      </c>
      <c r="Q452" s="15">
        <f t="shared" si="33"/>
        <v>0</v>
      </c>
      <c r="R452" s="17">
        <f t="shared" si="34"/>
        <v>0</v>
      </c>
      <c r="S452" s="13"/>
    </row>
    <row r="453" spans="1:19" ht="28.5" x14ac:dyDescent="0.25">
      <c r="A453" s="4" t="s">
        <v>169</v>
      </c>
      <c r="B453" s="5" t="s">
        <v>124</v>
      </c>
      <c r="C453" s="4" t="s">
        <v>13</v>
      </c>
      <c r="D453" s="5" t="s">
        <v>170</v>
      </c>
      <c r="E453" s="4" t="s">
        <v>75</v>
      </c>
      <c r="F453" s="4" t="s">
        <v>76</v>
      </c>
      <c r="G453" s="4" t="s">
        <v>16</v>
      </c>
      <c r="H453" s="12">
        <v>1</v>
      </c>
      <c r="I453" s="7">
        <v>90000</v>
      </c>
      <c r="J453" s="7">
        <f t="shared" si="31"/>
        <v>90000</v>
      </c>
      <c r="K453" s="8" t="s">
        <v>17</v>
      </c>
      <c r="L453" t="str">
        <f>IFERROR(VLOOKUP(F453,MÃ!$A:$B,2,0),0)</f>
        <v>NL300097</v>
      </c>
      <c r="M453" t="str">
        <f t="shared" si="35"/>
        <v>15/01/2026NL300097</v>
      </c>
      <c r="N453" s="15">
        <f>IFERROR(VLOOKUP(M453,'WS3'!$B$2:$Q$437,11,0),0)</f>
        <v>0.8</v>
      </c>
      <c r="O453" s="17">
        <f>IFERROR(VLOOKUP(M453,'WS3'!$B$2:$Q$437,12,0),0)</f>
        <v>90000</v>
      </c>
      <c r="P453" s="17">
        <f t="shared" si="32"/>
        <v>72000</v>
      </c>
      <c r="Q453" s="15">
        <f t="shared" si="33"/>
        <v>0.19999999999999996</v>
      </c>
      <c r="R453" s="17">
        <f t="shared" si="34"/>
        <v>0</v>
      </c>
      <c r="S453" s="13" t="s">
        <v>543</v>
      </c>
    </row>
    <row r="454" spans="1:19" x14ac:dyDescent="0.25">
      <c r="A454" s="4" t="s">
        <v>169</v>
      </c>
      <c r="B454" s="5" t="s">
        <v>124</v>
      </c>
      <c r="C454" s="4" t="s">
        <v>13</v>
      </c>
      <c r="D454" s="5" t="s">
        <v>170</v>
      </c>
      <c r="E454" s="4" t="s">
        <v>77</v>
      </c>
      <c r="F454" s="4" t="s">
        <v>78</v>
      </c>
      <c r="G454" s="4" t="s">
        <v>16</v>
      </c>
      <c r="H454" s="12">
        <v>2</v>
      </c>
      <c r="I454" s="7">
        <v>45000</v>
      </c>
      <c r="J454" s="7">
        <f t="shared" si="31"/>
        <v>90000</v>
      </c>
      <c r="K454" s="8" t="s">
        <v>17</v>
      </c>
      <c r="L454" t="str">
        <f>IFERROR(VLOOKUP(F454,MÃ!$A:$B,2,0),0)</f>
        <v>NL300085</v>
      </c>
      <c r="M454" t="str">
        <f t="shared" si="35"/>
        <v>15/01/2026NL300085</v>
      </c>
      <c r="N454" s="15">
        <f>IFERROR(VLOOKUP(M454,'WS3'!$B$2:$Q$437,11,0),0)</f>
        <v>0</v>
      </c>
      <c r="O454" s="17">
        <f>IFERROR(VLOOKUP(M454,'WS3'!$B$2:$Q$437,12,0),0)</f>
        <v>0</v>
      </c>
      <c r="P454" s="17">
        <f t="shared" si="32"/>
        <v>0</v>
      </c>
      <c r="Q454" s="15">
        <f t="shared" si="33"/>
        <v>2</v>
      </c>
      <c r="R454" s="17">
        <f t="shared" si="34"/>
        <v>45000</v>
      </c>
      <c r="S454" s="13" t="s">
        <v>540</v>
      </c>
    </row>
    <row r="455" spans="1:19" x14ac:dyDescent="0.25">
      <c r="A455" s="4" t="s">
        <v>169</v>
      </c>
      <c r="B455" s="5" t="s">
        <v>124</v>
      </c>
      <c r="C455" s="4" t="s">
        <v>13</v>
      </c>
      <c r="D455" s="5" t="s">
        <v>170</v>
      </c>
      <c r="E455" s="4" t="s">
        <v>46</v>
      </c>
      <c r="F455" s="4" t="s">
        <v>47</v>
      </c>
      <c r="G455" s="4" t="s">
        <v>16</v>
      </c>
      <c r="H455" s="12">
        <v>0.3</v>
      </c>
      <c r="I455" s="7">
        <v>148000</v>
      </c>
      <c r="J455" s="7">
        <f t="shared" si="31"/>
        <v>44400</v>
      </c>
      <c r="K455" s="8" t="s">
        <v>17</v>
      </c>
      <c r="L455" t="str">
        <f>IFERROR(VLOOKUP(F455,MÃ!$A:$B,2,0),0)</f>
        <v>NL300116</v>
      </c>
      <c r="M455" t="str">
        <f t="shared" si="35"/>
        <v>15/01/2026NL300116</v>
      </c>
      <c r="N455" s="15">
        <f>IFERROR(VLOOKUP(M455,'WS3'!$B$2:$Q$437,11,0),0)</f>
        <v>0.3</v>
      </c>
      <c r="O455" s="17">
        <f>IFERROR(VLOOKUP(M455,'WS3'!$B$2:$Q$437,12,0),0)</f>
        <v>148000</v>
      </c>
      <c r="P455" s="17">
        <f t="shared" si="32"/>
        <v>44400</v>
      </c>
      <c r="Q455" s="15">
        <f t="shared" si="33"/>
        <v>0</v>
      </c>
      <c r="R455" s="17">
        <f t="shared" si="34"/>
        <v>0</v>
      </c>
      <c r="S455" s="13"/>
    </row>
    <row r="456" spans="1:19" x14ac:dyDescent="0.25">
      <c r="A456" s="4" t="s">
        <v>169</v>
      </c>
      <c r="B456" s="5" t="s">
        <v>124</v>
      </c>
      <c r="C456" s="4" t="s">
        <v>13</v>
      </c>
      <c r="D456" s="5" t="s">
        <v>170</v>
      </c>
      <c r="E456" s="4" t="s">
        <v>48</v>
      </c>
      <c r="F456" s="4" t="s">
        <v>49</v>
      </c>
      <c r="G456" s="4" t="s">
        <v>16</v>
      </c>
      <c r="H456" s="12">
        <v>0.5</v>
      </c>
      <c r="I456" s="7">
        <v>42000</v>
      </c>
      <c r="J456" s="7">
        <f t="shared" si="31"/>
        <v>21000</v>
      </c>
      <c r="K456" s="8" t="s">
        <v>17</v>
      </c>
      <c r="L456" t="str">
        <f>IFERROR(VLOOKUP(F456,MÃ!$A:$B,2,0),0)</f>
        <v>NL300125</v>
      </c>
      <c r="M456" t="str">
        <f t="shared" si="35"/>
        <v>15/01/2026NL300125</v>
      </c>
      <c r="N456" s="15">
        <f>IFERROR(VLOOKUP(M456,'WS3'!$B$2:$Q$437,11,0),0)</f>
        <v>0.5</v>
      </c>
      <c r="O456" s="17">
        <f>IFERROR(VLOOKUP(M456,'WS3'!$B$2:$Q$437,12,0),0)</f>
        <v>42000</v>
      </c>
      <c r="P456" s="17">
        <f t="shared" si="32"/>
        <v>21000</v>
      </c>
      <c r="Q456" s="15">
        <f t="shared" si="33"/>
        <v>0</v>
      </c>
      <c r="R456" s="17">
        <f t="shared" si="34"/>
        <v>0</v>
      </c>
      <c r="S456" s="13"/>
    </row>
    <row r="457" spans="1:19" x14ac:dyDescent="0.25">
      <c r="A457" s="4" t="s">
        <v>169</v>
      </c>
      <c r="B457" s="5" t="s">
        <v>124</v>
      </c>
      <c r="C457" s="4" t="s">
        <v>13</v>
      </c>
      <c r="D457" s="5" t="s">
        <v>170</v>
      </c>
      <c r="E457" s="4" t="s">
        <v>50</v>
      </c>
      <c r="F457" s="4" t="s">
        <v>51</v>
      </c>
      <c r="G457" s="4" t="s">
        <v>16</v>
      </c>
      <c r="H457" s="12">
        <v>0.1</v>
      </c>
      <c r="I457" s="7">
        <v>22000</v>
      </c>
      <c r="J457" s="7">
        <f t="shared" si="31"/>
        <v>2200</v>
      </c>
      <c r="K457" s="8" t="s">
        <v>17</v>
      </c>
      <c r="L457" t="str">
        <f>IFERROR(VLOOKUP(F457,MÃ!$A:$B,2,0),0)</f>
        <v>NL300121</v>
      </c>
      <c r="M457" t="str">
        <f t="shared" si="35"/>
        <v>15/01/2026NL300121</v>
      </c>
      <c r="N457" s="15">
        <f>IFERROR(VLOOKUP(M457,'WS3'!$B$2:$Q$437,11,0),0)</f>
        <v>0</v>
      </c>
      <c r="O457" s="17">
        <f>IFERROR(VLOOKUP(M457,'WS3'!$B$2:$Q$437,12,0),0)</f>
        <v>0</v>
      </c>
      <c r="P457" s="17">
        <f t="shared" si="32"/>
        <v>0</v>
      </c>
      <c r="Q457" s="15">
        <f t="shared" si="33"/>
        <v>0.1</v>
      </c>
      <c r="R457" s="17">
        <f t="shared" si="34"/>
        <v>22000</v>
      </c>
      <c r="S457" s="13" t="s">
        <v>540</v>
      </c>
    </row>
    <row r="458" spans="1:19" x14ac:dyDescent="0.25">
      <c r="A458" s="4" t="s">
        <v>169</v>
      </c>
      <c r="B458" s="5" t="s">
        <v>124</v>
      </c>
      <c r="C458" s="4" t="s">
        <v>13</v>
      </c>
      <c r="D458" s="5" t="s">
        <v>170</v>
      </c>
      <c r="E458" s="4" t="s">
        <v>52</v>
      </c>
      <c r="F458" s="4" t="s">
        <v>53</v>
      </c>
      <c r="G458" s="4" t="s">
        <v>16</v>
      </c>
      <c r="H458" s="12">
        <v>1</v>
      </c>
      <c r="I458" s="7">
        <v>21000</v>
      </c>
      <c r="J458" s="7">
        <f t="shared" si="31"/>
        <v>21000</v>
      </c>
      <c r="K458" s="8" t="s">
        <v>17</v>
      </c>
      <c r="L458" t="str">
        <f>IFERROR(VLOOKUP(F458,MÃ!$A:$B,2,0),0)</f>
        <v>NL300119</v>
      </c>
      <c r="M458" t="str">
        <f t="shared" si="35"/>
        <v>15/01/2026NL300119</v>
      </c>
      <c r="N458" s="15">
        <f>IFERROR(VLOOKUP(M458,'WS3'!$B$2:$Q$437,11,0),0)</f>
        <v>1</v>
      </c>
      <c r="O458" s="17">
        <f>IFERROR(VLOOKUP(M458,'WS3'!$B$2:$Q$437,12,0),0)</f>
        <v>21000</v>
      </c>
      <c r="P458" s="17">
        <f t="shared" si="32"/>
        <v>21000</v>
      </c>
      <c r="Q458" s="15">
        <f t="shared" si="33"/>
        <v>0</v>
      </c>
      <c r="R458" s="17">
        <f t="shared" si="34"/>
        <v>0</v>
      </c>
      <c r="S458" s="13"/>
    </row>
    <row r="459" spans="1:19" x14ac:dyDescent="0.25">
      <c r="A459" s="4" t="s">
        <v>169</v>
      </c>
      <c r="B459" s="5" t="s">
        <v>124</v>
      </c>
      <c r="C459" s="4" t="s">
        <v>13</v>
      </c>
      <c r="D459" s="5" t="s">
        <v>170</v>
      </c>
      <c r="E459" s="4" t="s">
        <v>85</v>
      </c>
      <c r="F459" s="4" t="s">
        <v>86</v>
      </c>
      <c r="G459" s="4" t="s">
        <v>16</v>
      </c>
      <c r="H459" s="12">
        <v>2</v>
      </c>
      <c r="I459" s="7">
        <v>50000</v>
      </c>
      <c r="J459" s="7">
        <f t="shared" si="31"/>
        <v>100000</v>
      </c>
      <c r="K459" s="8" t="s">
        <v>17</v>
      </c>
      <c r="L459" t="str">
        <f>IFERROR(VLOOKUP(F459,MÃ!$A:$B,2,0),0)</f>
        <v>NL300142</v>
      </c>
      <c r="M459" t="str">
        <f t="shared" si="35"/>
        <v>15/01/2026NL300142</v>
      </c>
      <c r="N459" s="15">
        <f>IFERROR(VLOOKUP(M459,'WS3'!$B$2:$Q$437,11,0),0)</f>
        <v>2</v>
      </c>
      <c r="O459" s="17">
        <f>IFERROR(VLOOKUP(M459,'WS3'!$B$2:$Q$437,12,0),0)</f>
        <v>50000</v>
      </c>
      <c r="P459" s="17">
        <f t="shared" si="32"/>
        <v>100000</v>
      </c>
      <c r="Q459" s="15">
        <f t="shared" si="33"/>
        <v>0</v>
      </c>
      <c r="R459" s="17">
        <f t="shared" si="34"/>
        <v>0</v>
      </c>
      <c r="S459" s="13"/>
    </row>
    <row r="460" spans="1:19" x14ac:dyDescent="0.25">
      <c r="A460" s="4" t="s">
        <v>169</v>
      </c>
      <c r="B460" s="5" t="s">
        <v>124</v>
      </c>
      <c r="C460" s="4" t="s">
        <v>13</v>
      </c>
      <c r="D460" s="5" t="s">
        <v>170</v>
      </c>
      <c r="E460" s="4" t="s">
        <v>106</v>
      </c>
      <c r="F460" s="4" t="s">
        <v>107</v>
      </c>
      <c r="G460" s="4" t="s">
        <v>108</v>
      </c>
      <c r="H460" s="12">
        <v>50</v>
      </c>
      <c r="I460" s="7">
        <v>5000</v>
      </c>
      <c r="J460" s="7">
        <f t="shared" si="31"/>
        <v>250000</v>
      </c>
      <c r="K460" s="8" t="s">
        <v>17</v>
      </c>
      <c r="L460" t="str">
        <f>IFERROR(VLOOKUP(F460,MÃ!$A:$B,2,0),0)</f>
        <v>NL100101</v>
      </c>
      <c r="M460" t="str">
        <f t="shared" si="35"/>
        <v>15/01/2026NL100101</v>
      </c>
      <c r="N460" s="15">
        <f>IFERROR(VLOOKUP(M460,'WS3'!$B$2:$Q$437,11,0),0)</f>
        <v>50</v>
      </c>
      <c r="O460" s="17">
        <f>IFERROR(VLOOKUP(M460,'WS3'!$B$2:$Q$437,12,0),0)</f>
        <v>5000</v>
      </c>
      <c r="P460" s="17">
        <f t="shared" si="32"/>
        <v>250000</v>
      </c>
      <c r="Q460" s="15">
        <f t="shared" si="33"/>
        <v>0</v>
      </c>
      <c r="R460" s="17">
        <f t="shared" si="34"/>
        <v>0</v>
      </c>
      <c r="S460" s="13"/>
    </row>
    <row r="461" spans="1:19" x14ac:dyDescent="0.25">
      <c r="A461" s="4" t="s">
        <v>169</v>
      </c>
      <c r="B461" s="5" t="s">
        <v>124</v>
      </c>
      <c r="C461" s="4" t="s">
        <v>13</v>
      </c>
      <c r="D461" s="5" t="s">
        <v>170</v>
      </c>
      <c r="E461" s="4" t="s">
        <v>54</v>
      </c>
      <c r="F461" s="4" t="s">
        <v>55</v>
      </c>
      <c r="G461" s="4" t="s">
        <v>16</v>
      </c>
      <c r="H461" s="12">
        <v>3</v>
      </c>
      <c r="I461" s="7">
        <v>62000</v>
      </c>
      <c r="J461" s="7">
        <f t="shared" si="31"/>
        <v>186000</v>
      </c>
      <c r="K461" s="8" t="s">
        <v>17</v>
      </c>
      <c r="L461" t="str">
        <f>IFERROR(VLOOKUP(F461,MÃ!$A:$B,2,0),0)</f>
        <v>NL300147</v>
      </c>
      <c r="M461" t="str">
        <f t="shared" si="35"/>
        <v>15/01/2026NL300147</v>
      </c>
      <c r="N461" s="15">
        <f>IFERROR(VLOOKUP(M461,'WS3'!$B$2:$Q$437,11,0),0)</f>
        <v>1.5</v>
      </c>
      <c r="O461" s="17">
        <f>IFERROR(VLOOKUP(M461,'WS3'!$B$2:$Q$437,12,0),0)</f>
        <v>62000</v>
      </c>
      <c r="P461" s="17">
        <f t="shared" si="32"/>
        <v>93000</v>
      </c>
      <c r="Q461" s="15">
        <f t="shared" si="33"/>
        <v>1.5</v>
      </c>
      <c r="R461" s="17">
        <f t="shared" si="34"/>
        <v>0</v>
      </c>
      <c r="S461" s="13" t="s">
        <v>543</v>
      </c>
    </row>
    <row r="462" spans="1:19" x14ac:dyDescent="0.25">
      <c r="A462" s="4" t="s">
        <v>169</v>
      </c>
      <c r="B462" s="5" t="s">
        <v>124</v>
      </c>
      <c r="C462" s="4" t="s">
        <v>13</v>
      </c>
      <c r="D462" s="5" t="s">
        <v>171</v>
      </c>
      <c r="E462" s="4" t="s">
        <v>89</v>
      </c>
      <c r="F462" s="4" t="s">
        <v>90</v>
      </c>
      <c r="G462" s="4" t="s">
        <v>16</v>
      </c>
      <c r="H462" s="12">
        <v>1</v>
      </c>
      <c r="I462" s="7">
        <v>44000</v>
      </c>
      <c r="J462" s="7">
        <f t="shared" si="31"/>
        <v>44000</v>
      </c>
      <c r="K462" s="8" t="s">
        <v>17</v>
      </c>
      <c r="L462" t="str">
        <f>IFERROR(VLOOKUP(F462,MÃ!$A:$B,2,0),0)</f>
        <v>NL300025</v>
      </c>
      <c r="M462" t="str">
        <f t="shared" si="35"/>
        <v>15/01/2026NL300025</v>
      </c>
      <c r="N462" s="15">
        <f>IFERROR(VLOOKUP(M462,'WS3'!$B$2:$Q$437,11,0),0)</f>
        <v>0</v>
      </c>
      <c r="O462" s="17">
        <f>IFERROR(VLOOKUP(M462,'WS3'!$B$2:$Q$437,12,0),0)</f>
        <v>0</v>
      </c>
      <c r="P462" s="17">
        <f t="shared" si="32"/>
        <v>0</v>
      </c>
      <c r="Q462" s="15">
        <f t="shared" si="33"/>
        <v>1</v>
      </c>
      <c r="R462" s="17">
        <f t="shared" si="34"/>
        <v>44000</v>
      </c>
      <c r="S462" s="13" t="s">
        <v>540</v>
      </c>
    </row>
    <row r="463" spans="1:19" x14ac:dyDescent="0.25">
      <c r="A463" s="4" t="s">
        <v>169</v>
      </c>
      <c r="B463" s="5" t="s">
        <v>124</v>
      </c>
      <c r="C463" s="4" t="s">
        <v>13</v>
      </c>
      <c r="D463" s="5" t="s">
        <v>171</v>
      </c>
      <c r="E463" s="4" t="s">
        <v>32</v>
      </c>
      <c r="F463" s="4" t="s">
        <v>33</v>
      </c>
      <c r="G463" s="4" t="s">
        <v>16</v>
      </c>
      <c r="H463" s="12">
        <v>0.2</v>
      </c>
      <c r="I463" s="7">
        <v>25000</v>
      </c>
      <c r="J463" s="7">
        <f t="shared" si="31"/>
        <v>5000</v>
      </c>
      <c r="K463" s="8" t="s">
        <v>17</v>
      </c>
      <c r="L463" t="str">
        <f>IFERROR(VLOOKUP(F463,MÃ!$A:$B,2,0),0)</f>
        <v>NL300035</v>
      </c>
      <c r="M463" t="str">
        <f t="shared" si="35"/>
        <v>15/01/2026NL300035</v>
      </c>
      <c r="N463" s="15">
        <f>IFERROR(VLOOKUP(M463,'WS3'!$B$2:$Q$437,11,0),0)</f>
        <v>0</v>
      </c>
      <c r="O463" s="17">
        <f>IFERROR(VLOOKUP(M463,'WS3'!$B$2:$Q$437,12,0),0)</f>
        <v>0</v>
      </c>
      <c r="P463" s="17">
        <f t="shared" si="32"/>
        <v>0</v>
      </c>
      <c r="Q463" s="15">
        <f t="shared" si="33"/>
        <v>0.2</v>
      </c>
      <c r="R463" s="17">
        <f t="shared" si="34"/>
        <v>25000</v>
      </c>
      <c r="S463" s="13" t="s">
        <v>540</v>
      </c>
    </row>
    <row r="464" spans="1:19" ht="28.5" x14ac:dyDescent="0.25">
      <c r="A464" s="4" t="s">
        <v>169</v>
      </c>
      <c r="B464" s="5" t="s">
        <v>124</v>
      </c>
      <c r="C464" s="4" t="s">
        <v>13</v>
      </c>
      <c r="D464" s="5" t="s">
        <v>171</v>
      </c>
      <c r="E464" s="4" t="s">
        <v>69</v>
      </c>
      <c r="F464" s="4" t="s">
        <v>70</v>
      </c>
      <c r="G464" s="4" t="s">
        <v>16</v>
      </c>
      <c r="H464" s="12">
        <v>5</v>
      </c>
      <c r="I464" s="7">
        <v>145000</v>
      </c>
      <c r="J464" s="7">
        <f t="shared" ref="J464:J465" si="36">H464*I464</f>
        <v>725000</v>
      </c>
      <c r="K464" s="8" t="s">
        <v>17</v>
      </c>
      <c r="L464" t="str">
        <f>IFERROR(VLOOKUP(F464,MÃ!$A:$B,2,0),0)</f>
        <v>NL300090</v>
      </c>
      <c r="M464" t="str">
        <f t="shared" si="35"/>
        <v>15/01/2026NL300090</v>
      </c>
      <c r="N464" s="15">
        <f>IFERROR(VLOOKUP(M464,'WS3'!$B$2:$Q$437,11,0),0)</f>
        <v>0</v>
      </c>
      <c r="O464" s="17">
        <f>IFERROR(VLOOKUP(M464,'WS3'!$B$2:$Q$437,12,0),0)</f>
        <v>0</v>
      </c>
      <c r="P464" s="17">
        <f t="shared" ref="P464:P465" si="37">N464*O464</f>
        <v>0</v>
      </c>
      <c r="Q464" s="15">
        <f t="shared" ref="Q464:Q465" si="38">H464-N464</f>
        <v>5</v>
      </c>
      <c r="R464" s="17">
        <f t="shared" ref="R464:R465" si="39">I464-O464</f>
        <v>145000</v>
      </c>
      <c r="S464" s="13" t="s">
        <v>540</v>
      </c>
    </row>
    <row r="465" spans="1:19" x14ac:dyDescent="0.25">
      <c r="A465" s="4" t="s">
        <v>169</v>
      </c>
      <c r="B465" s="5" t="s">
        <v>124</v>
      </c>
      <c r="C465" s="4" t="s">
        <v>13</v>
      </c>
      <c r="D465" s="5" t="s">
        <v>171</v>
      </c>
      <c r="E465" s="4" t="s">
        <v>50</v>
      </c>
      <c r="F465" s="4" t="s">
        <v>51</v>
      </c>
      <c r="G465" s="4" t="s">
        <v>16</v>
      </c>
      <c r="H465" s="12">
        <v>0.1</v>
      </c>
      <c r="I465" s="7">
        <v>22000</v>
      </c>
      <c r="J465" s="7">
        <f t="shared" si="36"/>
        <v>2200</v>
      </c>
      <c r="K465" s="8" t="s">
        <v>17</v>
      </c>
      <c r="L465" t="str">
        <f>IFERROR(VLOOKUP(F465,MÃ!$A:$B,2,0),0)</f>
        <v>NL300121</v>
      </c>
      <c r="M465" t="str">
        <f t="shared" si="35"/>
        <v>15/01/2026NL300121</v>
      </c>
      <c r="N465" s="15">
        <f>IFERROR(VLOOKUP(M465,'WS3'!$B$2:$Q$437,11,0),0)</f>
        <v>0</v>
      </c>
      <c r="O465" s="17">
        <f>IFERROR(VLOOKUP(M465,'WS3'!$B$2:$Q$437,12,0),0)</f>
        <v>0</v>
      </c>
      <c r="P465" s="17">
        <f t="shared" si="37"/>
        <v>0</v>
      </c>
      <c r="Q465" s="15">
        <f t="shared" si="38"/>
        <v>0.1</v>
      </c>
      <c r="R465" s="17">
        <f t="shared" si="39"/>
        <v>22000</v>
      </c>
      <c r="S465" s="13" t="s">
        <v>540</v>
      </c>
    </row>
  </sheetData>
  <autoFilter ref="A14:S465" xr:uid="{00000000-0001-0000-0000-000000000000}"/>
  <mergeCells count="7">
    <mergeCell ref="A10:K10"/>
    <mergeCell ref="A12:K12"/>
    <mergeCell ref="A2:C2"/>
    <mergeCell ref="D2:K2"/>
    <mergeCell ref="A4:K4"/>
    <mergeCell ref="A6:K6"/>
    <mergeCell ref="A8:K8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09FC-8E81-4174-8F64-D360D94759AB}">
  <sheetPr filterMode="1"/>
  <dimension ref="A1:X438"/>
  <sheetViews>
    <sheetView workbookViewId="0">
      <pane xSplit="2" ySplit="1" topLeftCell="G313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15.28515625" style="18" customWidth="1"/>
    <col min="2" max="2" width="11.42578125" style="18" customWidth="1"/>
    <col min="3" max="5" width="15.28515625" style="18" customWidth="1"/>
    <col min="6" max="6" width="19" style="18" customWidth="1"/>
    <col min="7" max="8" width="57.140625" style="18" customWidth="1"/>
    <col min="9" max="9" width="19" style="18" customWidth="1"/>
    <col min="10" max="10" width="57.140625" style="18" customWidth="1"/>
    <col min="11" max="14" width="19" style="18" customWidth="1"/>
    <col min="15" max="16" width="22.85546875" style="18" customWidth="1"/>
    <col min="17" max="24" width="19" style="18" customWidth="1"/>
    <col min="25" max="25" width="0" style="18" hidden="1" customWidth="1"/>
    <col min="26" max="16384" width="9.140625" style="18"/>
  </cols>
  <sheetData>
    <row r="1" spans="1:24" ht="21" customHeight="1" x14ac:dyDescent="0.25">
      <c r="A1" s="19" t="s">
        <v>408</v>
      </c>
      <c r="B1" s="19" t="s">
        <v>409</v>
      </c>
      <c r="C1" s="19" t="s">
        <v>410</v>
      </c>
      <c r="D1" s="19" t="s">
        <v>411</v>
      </c>
      <c r="E1" s="19" t="s">
        <v>412</v>
      </c>
      <c r="F1" s="19" t="s">
        <v>413</v>
      </c>
      <c r="G1" s="19" t="s">
        <v>414</v>
      </c>
      <c r="H1" s="19" t="s">
        <v>415</v>
      </c>
      <c r="I1" s="19" t="s">
        <v>416</v>
      </c>
      <c r="J1" s="19" t="s">
        <v>417</v>
      </c>
      <c r="K1" s="19" t="s">
        <v>418</v>
      </c>
      <c r="L1" s="19">
        <f>SUBTOTAL(9,L2:L437)</f>
        <v>99.699999999999989</v>
      </c>
      <c r="M1" s="19" t="s">
        <v>419</v>
      </c>
      <c r="N1" s="19" t="s">
        <v>420</v>
      </c>
      <c r="O1" s="19">
        <f>SUBTOTAL(9,O2:O437)</f>
        <v>1840600</v>
      </c>
      <c r="P1" s="19" t="s">
        <v>421</v>
      </c>
      <c r="Q1" s="19" t="s">
        <v>422</v>
      </c>
      <c r="R1" s="19" t="s">
        <v>423</v>
      </c>
      <c r="S1" s="19" t="s">
        <v>424</v>
      </c>
      <c r="T1" s="19" t="s">
        <v>425</v>
      </c>
      <c r="U1" s="19" t="s">
        <v>426</v>
      </c>
      <c r="V1" s="19" t="s">
        <v>427</v>
      </c>
      <c r="W1" s="19" t="s">
        <v>428</v>
      </c>
      <c r="X1" s="19" t="s">
        <v>429</v>
      </c>
    </row>
    <row r="2" spans="1:24" ht="10.5" hidden="1" customHeight="1" x14ac:dyDescent="0.25">
      <c r="A2" s="20">
        <v>46023</v>
      </c>
      <c r="B2" s="21" t="str">
        <f>"0"&amp;DAY(A2)&amp;"/01/2026"&amp;I2</f>
        <v>01/01/2026NL100101</v>
      </c>
      <c r="C2" s="22" t="s">
        <v>430</v>
      </c>
      <c r="D2" s="22" t="s">
        <v>17</v>
      </c>
      <c r="E2" s="22" t="s">
        <v>431</v>
      </c>
      <c r="F2" s="21" t="s">
        <v>432</v>
      </c>
      <c r="G2" s="21" t="s">
        <v>433</v>
      </c>
      <c r="H2" s="21" t="s">
        <v>434</v>
      </c>
      <c r="I2" s="21" t="s">
        <v>344</v>
      </c>
      <c r="J2" s="21" t="s">
        <v>107</v>
      </c>
      <c r="K2" s="21" t="s">
        <v>435</v>
      </c>
      <c r="L2" s="23">
        <v>35</v>
      </c>
      <c r="M2" s="24">
        <v>5000</v>
      </c>
      <c r="N2" s="24">
        <v>0</v>
      </c>
      <c r="O2" s="25">
        <v>175000</v>
      </c>
      <c r="P2" s="25">
        <v>0</v>
      </c>
      <c r="Q2" s="24">
        <v>5000</v>
      </c>
      <c r="R2" s="21" t="s">
        <v>436</v>
      </c>
      <c r="S2" s="21" t="s">
        <v>437</v>
      </c>
      <c r="T2" s="21" t="s">
        <v>17</v>
      </c>
      <c r="U2" s="21" t="s">
        <v>438</v>
      </c>
      <c r="V2" s="21" t="s">
        <v>17</v>
      </c>
      <c r="W2" s="21" t="s">
        <v>439</v>
      </c>
      <c r="X2" s="21" t="s">
        <v>439</v>
      </c>
    </row>
    <row r="3" spans="1:24" ht="10.5" hidden="1" customHeight="1" x14ac:dyDescent="0.25">
      <c r="A3" s="20">
        <v>46023</v>
      </c>
      <c r="B3" s="21" t="str">
        <f t="shared" ref="B3:B66" si="0">"0"&amp;DAY(A3)&amp;"/01/2026"&amp;I3</f>
        <v>01/01/2026NL100279</v>
      </c>
      <c r="C3" s="22" t="s">
        <v>430</v>
      </c>
      <c r="D3" s="22" t="s">
        <v>17</v>
      </c>
      <c r="E3" s="22" t="s">
        <v>431</v>
      </c>
      <c r="F3" s="21" t="s">
        <v>432</v>
      </c>
      <c r="G3" s="21" t="s">
        <v>433</v>
      </c>
      <c r="H3" s="21" t="s">
        <v>434</v>
      </c>
      <c r="I3" s="21" t="s">
        <v>403</v>
      </c>
      <c r="J3" s="21" t="s">
        <v>440</v>
      </c>
      <c r="K3" s="21" t="s">
        <v>108</v>
      </c>
      <c r="L3" s="23">
        <v>50</v>
      </c>
      <c r="M3" s="24">
        <v>9000</v>
      </c>
      <c r="N3" s="24">
        <v>0</v>
      </c>
      <c r="O3" s="25">
        <v>450000</v>
      </c>
      <c r="P3" s="25">
        <v>0</v>
      </c>
      <c r="Q3" s="24">
        <v>9000</v>
      </c>
      <c r="R3" s="21" t="s">
        <v>436</v>
      </c>
      <c r="S3" s="21" t="s">
        <v>437</v>
      </c>
      <c r="T3" s="21" t="s">
        <v>17</v>
      </c>
      <c r="U3" s="21" t="s">
        <v>438</v>
      </c>
      <c r="V3" s="21" t="s">
        <v>17</v>
      </c>
      <c r="W3" s="21" t="s">
        <v>439</v>
      </c>
      <c r="X3" s="21" t="s">
        <v>439</v>
      </c>
    </row>
    <row r="4" spans="1:24" ht="10.5" hidden="1" customHeight="1" x14ac:dyDescent="0.25">
      <c r="A4" s="20">
        <v>46023</v>
      </c>
      <c r="B4" s="21" t="str">
        <f t="shared" si="0"/>
        <v>01/01/2026NL300142</v>
      </c>
      <c r="C4" s="22" t="s">
        <v>430</v>
      </c>
      <c r="D4" s="22" t="s">
        <v>17</v>
      </c>
      <c r="E4" s="22" t="s">
        <v>431</v>
      </c>
      <c r="F4" s="21" t="s">
        <v>432</v>
      </c>
      <c r="G4" s="21" t="s">
        <v>433</v>
      </c>
      <c r="H4" s="21" t="s">
        <v>434</v>
      </c>
      <c r="I4" s="21" t="s">
        <v>317</v>
      </c>
      <c r="J4" s="21" t="s">
        <v>441</v>
      </c>
      <c r="K4" s="21" t="s">
        <v>442</v>
      </c>
      <c r="L4" s="23">
        <v>2</v>
      </c>
      <c r="M4" s="24">
        <v>50000</v>
      </c>
      <c r="N4" s="24">
        <v>0</v>
      </c>
      <c r="O4" s="25">
        <v>100000</v>
      </c>
      <c r="P4" s="25">
        <v>0</v>
      </c>
      <c r="Q4" s="24">
        <v>50000</v>
      </c>
      <c r="R4" s="21" t="s">
        <v>436</v>
      </c>
      <c r="S4" s="21" t="s">
        <v>437</v>
      </c>
      <c r="T4" s="21" t="s">
        <v>17</v>
      </c>
      <c r="U4" s="21" t="s">
        <v>438</v>
      </c>
      <c r="V4" s="21" t="s">
        <v>17</v>
      </c>
      <c r="W4" s="21" t="s">
        <v>439</v>
      </c>
      <c r="X4" s="21" t="s">
        <v>439</v>
      </c>
    </row>
    <row r="5" spans="1:24" ht="10.5" hidden="1" customHeight="1" x14ac:dyDescent="0.25">
      <c r="A5" s="20">
        <v>46023</v>
      </c>
      <c r="B5" s="21" t="str">
        <f t="shared" si="0"/>
        <v>01/01/2026NL300097</v>
      </c>
      <c r="C5" s="22" t="s">
        <v>430</v>
      </c>
      <c r="D5" s="22" t="s">
        <v>17</v>
      </c>
      <c r="E5" s="22" t="s">
        <v>431</v>
      </c>
      <c r="F5" s="21" t="s">
        <v>432</v>
      </c>
      <c r="G5" s="21" t="s">
        <v>433</v>
      </c>
      <c r="H5" s="21" t="s">
        <v>434</v>
      </c>
      <c r="I5" s="21" t="s">
        <v>331</v>
      </c>
      <c r="J5" s="21" t="s">
        <v>443</v>
      </c>
      <c r="K5" s="21" t="s">
        <v>442</v>
      </c>
      <c r="L5" s="23">
        <v>1</v>
      </c>
      <c r="M5" s="24">
        <v>90000</v>
      </c>
      <c r="N5" s="24">
        <v>0</v>
      </c>
      <c r="O5" s="25">
        <v>90000</v>
      </c>
      <c r="P5" s="25">
        <v>0</v>
      </c>
      <c r="Q5" s="24">
        <v>90000</v>
      </c>
      <c r="R5" s="21" t="s">
        <v>436</v>
      </c>
      <c r="S5" s="21" t="s">
        <v>437</v>
      </c>
      <c r="T5" s="21" t="s">
        <v>17</v>
      </c>
      <c r="U5" s="21" t="s">
        <v>438</v>
      </c>
      <c r="V5" s="21" t="s">
        <v>17</v>
      </c>
      <c r="W5" s="21" t="s">
        <v>439</v>
      </c>
      <c r="X5" s="21" t="s">
        <v>439</v>
      </c>
    </row>
    <row r="6" spans="1:24" ht="10.5" hidden="1" customHeight="1" x14ac:dyDescent="0.25">
      <c r="A6" s="20">
        <v>46023</v>
      </c>
      <c r="B6" s="21" t="str">
        <f t="shared" si="0"/>
        <v>01/01/2026NL300007</v>
      </c>
      <c r="C6" s="22" t="s">
        <v>430</v>
      </c>
      <c r="D6" s="22" t="s">
        <v>17</v>
      </c>
      <c r="E6" s="22" t="s">
        <v>431</v>
      </c>
      <c r="F6" s="21" t="s">
        <v>432</v>
      </c>
      <c r="G6" s="21" t="s">
        <v>433</v>
      </c>
      <c r="H6" s="21" t="s">
        <v>434</v>
      </c>
      <c r="I6" s="21" t="s">
        <v>309</v>
      </c>
      <c r="J6" s="21" t="s">
        <v>444</v>
      </c>
      <c r="K6" s="21" t="s">
        <v>442</v>
      </c>
      <c r="L6" s="23">
        <v>4.8</v>
      </c>
      <c r="M6" s="24">
        <v>30000</v>
      </c>
      <c r="N6" s="24">
        <v>0</v>
      </c>
      <c r="O6" s="25">
        <v>144000</v>
      </c>
      <c r="P6" s="25">
        <v>0</v>
      </c>
      <c r="Q6" s="24">
        <v>30000</v>
      </c>
      <c r="R6" s="21" t="s">
        <v>436</v>
      </c>
      <c r="S6" s="21" t="s">
        <v>437</v>
      </c>
      <c r="T6" s="21" t="s">
        <v>17</v>
      </c>
      <c r="U6" s="21" t="s">
        <v>438</v>
      </c>
      <c r="V6" s="21" t="s">
        <v>17</v>
      </c>
      <c r="W6" s="21" t="s">
        <v>439</v>
      </c>
      <c r="X6" s="21" t="s">
        <v>439</v>
      </c>
    </row>
    <row r="7" spans="1:24" ht="10.5" hidden="1" customHeight="1" x14ac:dyDescent="0.25">
      <c r="A7" s="20">
        <v>46023</v>
      </c>
      <c r="B7" s="21" t="str">
        <f t="shared" si="0"/>
        <v>01/01/2026NL300008</v>
      </c>
      <c r="C7" s="22" t="s">
        <v>430</v>
      </c>
      <c r="D7" s="22" t="s">
        <v>17</v>
      </c>
      <c r="E7" s="22" t="s">
        <v>431</v>
      </c>
      <c r="F7" s="21" t="s">
        <v>432</v>
      </c>
      <c r="G7" s="21" t="s">
        <v>433</v>
      </c>
      <c r="H7" s="21" t="s">
        <v>434</v>
      </c>
      <c r="I7" s="21" t="s">
        <v>320</v>
      </c>
      <c r="J7" s="21" t="s">
        <v>445</v>
      </c>
      <c r="K7" s="21" t="s">
        <v>442</v>
      </c>
      <c r="L7" s="23">
        <v>10</v>
      </c>
      <c r="M7" s="24">
        <v>40000</v>
      </c>
      <c r="N7" s="24">
        <v>0</v>
      </c>
      <c r="O7" s="25">
        <v>400000</v>
      </c>
      <c r="P7" s="25">
        <v>0</v>
      </c>
      <c r="Q7" s="24">
        <v>40000</v>
      </c>
      <c r="R7" s="21" t="s">
        <v>436</v>
      </c>
      <c r="S7" s="21" t="s">
        <v>437</v>
      </c>
      <c r="T7" s="21" t="s">
        <v>17</v>
      </c>
      <c r="U7" s="21" t="s">
        <v>438</v>
      </c>
      <c r="V7" s="21" t="s">
        <v>17</v>
      </c>
      <c r="W7" s="21" t="s">
        <v>439</v>
      </c>
      <c r="X7" s="21" t="s">
        <v>439</v>
      </c>
    </row>
    <row r="8" spans="1:24" ht="10.5" hidden="1" customHeight="1" x14ac:dyDescent="0.25">
      <c r="A8" s="20">
        <v>46023</v>
      </c>
      <c r="B8" s="21" t="str">
        <f t="shared" si="0"/>
        <v>01/01/2026NL300020</v>
      </c>
      <c r="C8" s="22" t="s">
        <v>430</v>
      </c>
      <c r="D8" s="22" t="s">
        <v>17</v>
      </c>
      <c r="E8" s="22" t="s">
        <v>431</v>
      </c>
      <c r="F8" s="21" t="s">
        <v>432</v>
      </c>
      <c r="G8" s="21" t="s">
        <v>433</v>
      </c>
      <c r="H8" s="21" t="s">
        <v>434</v>
      </c>
      <c r="I8" s="21" t="s">
        <v>326</v>
      </c>
      <c r="J8" s="21" t="s">
        <v>446</v>
      </c>
      <c r="K8" s="21" t="s">
        <v>442</v>
      </c>
      <c r="L8" s="23">
        <v>3</v>
      </c>
      <c r="M8" s="24">
        <v>30000</v>
      </c>
      <c r="N8" s="24">
        <v>0</v>
      </c>
      <c r="O8" s="25">
        <v>90000</v>
      </c>
      <c r="P8" s="25">
        <v>0</v>
      </c>
      <c r="Q8" s="24">
        <v>30000</v>
      </c>
      <c r="R8" s="21" t="s">
        <v>436</v>
      </c>
      <c r="S8" s="21" t="s">
        <v>437</v>
      </c>
      <c r="T8" s="21" t="s">
        <v>17</v>
      </c>
      <c r="U8" s="21" t="s">
        <v>438</v>
      </c>
      <c r="V8" s="21" t="s">
        <v>17</v>
      </c>
      <c r="W8" s="21" t="s">
        <v>439</v>
      </c>
      <c r="X8" s="21" t="s">
        <v>439</v>
      </c>
    </row>
    <row r="9" spans="1:24" ht="10.5" hidden="1" customHeight="1" x14ac:dyDescent="0.25">
      <c r="A9" s="20">
        <v>46023</v>
      </c>
      <c r="B9" s="21" t="str">
        <f t="shared" si="0"/>
        <v>01/01/2026NL300025</v>
      </c>
      <c r="C9" s="22" t="s">
        <v>430</v>
      </c>
      <c r="D9" s="22" t="s">
        <v>17</v>
      </c>
      <c r="E9" s="22" t="s">
        <v>431</v>
      </c>
      <c r="F9" s="21" t="s">
        <v>432</v>
      </c>
      <c r="G9" s="21" t="s">
        <v>433</v>
      </c>
      <c r="H9" s="21" t="s">
        <v>434</v>
      </c>
      <c r="I9" s="21" t="s">
        <v>211</v>
      </c>
      <c r="J9" s="21" t="s">
        <v>447</v>
      </c>
      <c r="K9" s="21" t="s">
        <v>442</v>
      </c>
      <c r="L9" s="23">
        <v>2.2000000000000002</v>
      </c>
      <c r="M9" s="24">
        <v>44000</v>
      </c>
      <c r="N9" s="24">
        <v>0</v>
      </c>
      <c r="O9" s="25">
        <v>96800</v>
      </c>
      <c r="P9" s="25">
        <v>0</v>
      </c>
      <c r="Q9" s="24">
        <v>44000</v>
      </c>
      <c r="R9" s="21" t="s">
        <v>436</v>
      </c>
      <c r="S9" s="21" t="s">
        <v>437</v>
      </c>
      <c r="T9" s="21" t="s">
        <v>17</v>
      </c>
      <c r="U9" s="21" t="s">
        <v>438</v>
      </c>
      <c r="V9" s="21" t="s">
        <v>17</v>
      </c>
      <c r="W9" s="21" t="s">
        <v>439</v>
      </c>
      <c r="X9" s="21" t="s">
        <v>439</v>
      </c>
    </row>
    <row r="10" spans="1:24" ht="10.5" hidden="1" customHeight="1" x14ac:dyDescent="0.25">
      <c r="A10" s="20">
        <v>46023</v>
      </c>
      <c r="B10" s="21" t="str">
        <f t="shared" si="0"/>
        <v>01/01/2026NL300028</v>
      </c>
      <c r="C10" s="22" t="s">
        <v>430</v>
      </c>
      <c r="D10" s="22" t="s">
        <v>17</v>
      </c>
      <c r="E10" s="22" t="s">
        <v>431</v>
      </c>
      <c r="F10" s="21" t="s">
        <v>432</v>
      </c>
      <c r="G10" s="21" t="s">
        <v>433</v>
      </c>
      <c r="H10" s="21" t="s">
        <v>434</v>
      </c>
      <c r="I10" s="21" t="s">
        <v>325</v>
      </c>
      <c r="J10" s="21" t="s">
        <v>27</v>
      </c>
      <c r="K10" s="21" t="s">
        <v>442</v>
      </c>
      <c r="L10" s="23">
        <v>0.5</v>
      </c>
      <c r="M10" s="24">
        <v>75000</v>
      </c>
      <c r="N10" s="24">
        <v>0</v>
      </c>
      <c r="O10" s="25">
        <v>37500</v>
      </c>
      <c r="P10" s="25">
        <v>0</v>
      </c>
      <c r="Q10" s="24">
        <v>75000</v>
      </c>
      <c r="R10" s="21" t="s">
        <v>436</v>
      </c>
      <c r="S10" s="21" t="s">
        <v>437</v>
      </c>
      <c r="T10" s="21" t="s">
        <v>17</v>
      </c>
      <c r="U10" s="21" t="s">
        <v>438</v>
      </c>
      <c r="V10" s="21" t="s">
        <v>17</v>
      </c>
      <c r="W10" s="21" t="s">
        <v>439</v>
      </c>
      <c r="X10" s="21" t="s">
        <v>439</v>
      </c>
    </row>
    <row r="11" spans="1:24" ht="10.5" hidden="1" customHeight="1" x14ac:dyDescent="0.25">
      <c r="A11" s="20">
        <v>46023</v>
      </c>
      <c r="B11" s="21" t="str">
        <f t="shared" si="0"/>
        <v>01/01/2026NL300035</v>
      </c>
      <c r="C11" s="22" t="s">
        <v>430</v>
      </c>
      <c r="D11" s="22" t="s">
        <v>17</v>
      </c>
      <c r="E11" s="22" t="s">
        <v>431</v>
      </c>
      <c r="F11" s="21" t="s">
        <v>432</v>
      </c>
      <c r="G11" s="21" t="s">
        <v>433</v>
      </c>
      <c r="H11" s="21" t="s">
        <v>434</v>
      </c>
      <c r="I11" s="21" t="s">
        <v>383</v>
      </c>
      <c r="J11" s="21" t="s">
        <v>448</v>
      </c>
      <c r="K11" s="21" t="s">
        <v>442</v>
      </c>
      <c r="L11" s="23">
        <v>0.15</v>
      </c>
      <c r="M11" s="24">
        <v>25000</v>
      </c>
      <c r="N11" s="24">
        <v>0</v>
      </c>
      <c r="O11" s="25">
        <v>3750</v>
      </c>
      <c r="P11" s="25">
        <v>0</v>
      </c>
      <c r="Q11" s="24">
        <v>25000</v>
      </c>
      <c r="R11" s="21" t="s">
        <v>436</v>
      </c>
      <c r="S11" s="21" t="s">
        <v>437</v>
      </c>
      <c r="T11" s="21" t="s">
        <v>17</v>
      </c>
      <c r="U11" s="21" t="s">
        <v>438</v>
      </c>
      <c r="V11" s="21" t="s">
        <v>17</v>
      </c>
      <c r="W11" s="21" t="s">
        <v>439</v>
      </c>
      <c r="X11" s="21" t="s">
        <v>439</v>
      </c>
    </row>
    <row r="12" spans="1:24" ht="10.5" hidden="1" customHeight="1" x14ac:dyDescent="0.25">
      <c r="A12" s="20">
        <v>46023</v>
      </c>
      <c r="B12" s="21" t="str">
        <f t="shared" si="0"/>
        <v>01/01/2026NL300036</v>
      </c>
      <c r="C12" s="22" t="s">
        <v>430</v>
      </c>
      <c r="D12" s="22" t="s">
        <v>17</v>
      </c>
      <c r="E12" s="22" t="s">
        <v>431</v>
      </c>
      <c r="F12" s="21" t="s">
        <v>432</v>
      </c>
      <c r="G12" s="21" t="s">
        <v>433</v>
      </c>
      <c r="H12" s="21" t="s">
        <v>434</v>
      </c>
      <c r="I12" s="21" t="s">
        <v>380</v>
      </c>
      <c r="J12" s="21" t="s">
        <v>96</v>
      </c>
      <c r="K12" s="21" t="s">
        <v>442</v>
      </c>
      <c r="L12" s="23">
        <v>1</v>
      </c>
      <c r="M12" s="24">
        <v>47000</v>
      </c>
      <c r="N12" s="24">
        <v>0</v>
      </c>
      <c r="O12" s="25">
        <v>47000</v>
      </c>
      <c r="P12" s="25">
        <v>0</v>
      </c>
      <c r="Q12" s="24">
        <v>47000</v>
      </c>
      <c r="R12" s="21" t="s">
        <v>436</v>
      </c>
      <c r="S12" s="21" t="s">
        <v>437</v>
      </c>
      <c r="T12" s="21" t="s">
        <v>17</v>
      </c>
      <c r="U12" s="21" t="s">
        <v>438</v>
      </c>
      <c r="V12" s="21" t="s">
        <v>17</v>
      </c>
      <c r="W12" s="21" t="s">
        <v>439</v>
      </c>
      <c r="X12" s="21" t="s">
        <v>439</v>
      </c>
    </row>
    <row r="13" spans="1:24" ht="10.5" hidden="1" customHeight="1" x14ac:dyDescent="0.25">
      <c r="A13" s="20">
        <v>46023</v>
      </c>
      <c r="B13" s="21" t="str">
        <f t="shared" si="0"/>
        <v>01/01/2026NL300038</v>
      </c>
      <c r="C13" s="22" t="s">
        <v>430</v>
      </c>
      <c r="D13" s="22" t="s">
        <v>17</v>
      </c>
      <c r="E13" s="22" t="s">
        <v>431</v>
      </c>
      <c r="F13" s="21" t="s">
        <v>432</v>
      </c>
      <c r="G13" s="21" t="s">
        <v>433</v>
      </c>
      <c r="H13" s="21" t="s">
        <v>434</v>
      </c>
      <c r="I13" s="21" t="s">
        <v>217</v>
      </c>
      <c r="J13" s="21" t="s">
        <v>35</v>
      </c>
      <c r="K13" s="21" t="s">
        <v>442</v>
      </c>
      <c r="L13" s="23">
        <v>5</v>
      </c>
      <c r="M13" s="24">
        <v>32000</v>
      </c>
      <c r="N13" s="24">
        <v>0</v>
      </c>
      <c r="O13" s="25">
        <v>160000</v>
      </c>
      <c r="P13" s="25">
        <v>0</v>
      </c>
      <c r="Q13" s="24">
        <v>32000</v>
      </c>
      <c r="R13" s="21" t="s">
        <v>436</v>
      </c>
      <c r="S13" s="21" t="s">
        <v>437</v>
      </c>
      <c r="T13" s="21" t="s">
        <v>17</v>
      </c>
      <c r="U13" s="21" t="s">
        <v>438</v>
      </c>
      <c r="V13" s="21" t="s">
        <v>17</v>
      </c>
      <c r="W13" s="21" t="s">
        <v>439</v>
      </c>
      <c r="X13" s="21" t="s">
        <v>439</v>
      </c>
    </row>
    <row r="14" spans="1:24" ht="10.5" hidden="1" customHeight="1" x14ac:dyDescent="0.25">
      <c r="A14" s="20">
        <v>46023</v>
      </c>
      <c r="B14" s="21" t="str">
        <f t="shared" si="0"/>
        <v>01/01/2026NL300041</v>
      </c>
      <c r="C14" s="22" t="s">
        <v>430</v>
      </c>
      <c r="D14" s="22" t="s">
        <v>17</v>
      </c>
      <c r="E14" s="22" t="s">
        <v>431</v>
      </c>
      <c r="F14" s="21" t="s">
        <v>432</v>
      </c>
      <c r="G14" s="21" t="s">
        <v>433</v>
      </c>
      <c r="H14" s="21" t="s">
        <v>434</v>
      </c>
      <c r="I14" s="21" t="s">
        <v>222</v>
      </c>
      <c r="J14" s="21" t="s">
        <v>449</v>
      </c>
      <c r="K14" s="21" t="s">
        <v>450</v>
      </c>
      <c r="L14" s="23">
        <v>9</v>
      </c>
      <c r="M14" s="24">
        <v>15000</v>
      </c>
      <c r="N14" s="24">
        <v>0</v>
      </c>
      <c r="O14" s="25">
        <v>135000</v>
      </c>
      <c r="P14" s="25">
        <v>0</v>
      </c>
      <c r="Q14" s="24">
        <v>15000</v>
      </c>
      <c r="R14" s="21" t="s">
        <v>436</v>
      </c>
      <c r="S14" s="21" t="s">
        <v>437</v>
      </c>
      <c r="T14" s="21" t="s">
        <v>17</v>
      </c>
      <c r="U14" s="21" t="s">
        <v>438</v>
      </c>
      <c r="V14" s="21" t="s">
        <v>17</v>
      </c>
      <c r="W14" s="21" t="s">
        <v>439</v>
      </c>
      <c r="X14" s="21" t="s">
        <v>439</v>
      </c>
    </row>
    <row r="15" spans="1:24" ht="10.5" hidden="1" customHeight="1" x14ac:dyDescent="0.25">
      <c r="A15" s="20">
        <v>46023</v>
      </c>
      <c r="B15" s="21" t="str">
        <f t="shared" si="0"/>
        <v>01/01/2026NL300054</v>
      </c>
      <c r="C15" s="22" t="s">
        <v>430</v>
      </c>
      <c r="D15" s="22" t="s">
        <v>17</v>
      </c>
      <c r="E15" s="22" t="s">
        <v>431</v>
      </c>
      <c r="F15" s="21" t="s">
        <v>432</v>
      </c>
      <c r="G15" s="21" t="s">
        <v>433</v>
      </c>
      <c r="H15" s="21" t="s">
        <v>434</v>
      </c>
      <c r="I15" s="21" t="s">
        <v>216</v>
      </c>
      <c r="J15" s="21" t="s">
        <v>451</v>
      </c>
      <c r="K15" s="21" t="s">
        <v>442</v>
      </c>
      <c r="L15" s="23">
        <v>2</v>
      </c>
      <c r="M15" s="24">
        <v>38000</v>
      </c>
      <c r="N15" s="24">
        <v>0</v>
      </c>
      <c r="O15" s="25">
        <v>76000</v>
      </c>
      <c r="P15" s="25">
        <v>0</v>
      </c>
      <c r="Q15" s="24">
        <v>38000</v>
      </c>
      <c r="R15" s="21" t="s">
        <v>436</v>
      </c>
      <c r="S15" s="21" t="s">
        <v>437</v>
      </c>
      <c r="T15" s="21" t="s">
        <v>17</v>
      </c>
      <c r="U15" s="21" t="s">
        <v>438</v>
      </c>
      <c r="V15" s="21" t="s">
        <v>17</v>
      </c>
      <c r="W15" s="21" t="s">
        <v>439</v>
      </c>
      <c r="X15" s="21" t="s">
        <v>439</v>
      </c>
    </row>
    <row r="16" spans="1:24" ht="10.5" hidden="1" customHeight="1" x14ac:dyDescent="0.25">
      <c r="A16" s="20">
        <v>46023</v>
      </c>
      <c r="B16" s="21" t="str">
        <f t="shared" si="0"/>
        <v>01/01/2026NL300055</v>
      </c>
      <c r="C16" s="22" t="s">
        <v>430</v>
      </c>
      <c r="D16" s="22" t="s">
        <v>17</v>
      </c>
      <c r="E16" s="22" t="s">
        <v>431</v>
      </c>
      <c r="F16" s="21" t="s">
        <v>432</v>
      </c>
      <c r="G16" s="21" t="s">
        <v>433</v>
      </c>
      <c r="H16" s="21" t="s">
        <v>434</v>
      </c>
      <c r="I16" s="21" t="s">
        <v>230</v>
      </c>
      <c r="J16" s="21" t="s">
        <v>452</v>
      </c>
      <c r="K16" s="21" t="s">
        <v>442</v>
      </c>
      <c r="L16" s="23">
        <v>0.5</v>
      </c>
      <c r="M16" s="24">
        <v>80000</v>
      </c>
      <c r="N16" s="24">
        <v>0</v>
      </c>
      <c r="O16" s="25">
        <v>40000</v>
      </c>
      <c r="P16" s="25">
        <v>0</v>
      </c>
      <c r="Q16" s="24">
        <v>80000</v>
      </c>
      <c r="R16" s="21" t="s">
        <v>436</v>
      </c>
      <c r="S16" s="21" t="s">
        <v>437</v>
      </c>
      <c r="T16" s="21" t="s">
        <v>17</v>
      </c>
      <c r="U16" s="21" t="s">
        <v>438</v>
      </c>
      <c r="V16" s="21" t="s">
        <v>17</v>
      </c>
      <c r="W16" s="21" t="s">
        <v>439</v>
      </c>
      <c r="X16" s="21" t="s">
        <v>439</v>
      </c>
    </row>
    <row r="17" spans="1:24" ht="10.5" hidden="1" customHeight="1" x14ac:dyDescent="0.25">
      <c r="A17" s="20">
        <v>46023</v>
      </c>
      <c r="B17" s="21" t="str">
        <f t="shared" si="0"/>
        <v>01/01/2026NL300058</v>
      </c>
      <c r="C17" s="22" t="s">
        <v>430</v>
      </c>
      <c r="D17" s="22" t="s">
        <v>17</v>
      </c>
      <c r="E17" s="22" t="s">
        <v>431</v>
      </c>
      <c r="F17" s="21" t="s">
        <v>432</v>
      </c>
      <c r="G17" s="21" t="s">
        <v>433</v>
      </c>
      <c r="H17" s="21" t="s">
        <v>434</v>
      </c>
      <c r="I17" s="21" t="s">
        <v>228</v>
      </c>
      <c r="J17" s="21" t="s">
        <v>39</v>
      </c>
      <c r="K17" s="21" t="s">
        <v>442</v>
      </c>
      <c r="L17" s="23">
        <v>4.5</v>
      </c>
      <c r="M17" s="24">
        <v>55000</v>
      </c>
      <c r="N17" s="24">
        <v>0</v>
      </c>
      <c r="O17" s="25">
        <v>247500</v>
      </c>
      <c r="P17" s="25">
        <v>0</v>
      </c>
      <c r="Q17" s="24">
        <v>55000</v>
      </c>
      <c r="R17" s="21" t="s">
        <v>436</v>
      </c>
      <c r="S17" s="21" t="s">
        <v>437</v>
      </c>
      <c r="T17" s="21" t="s">
        <v>17</v>
      </c>
      <c r="U17" s="21" t="s">
        <v>438</v>
      </c>
      <c r="V17" s="21" t="s">
        <v>17</v>
      </c>
      <c r="W17" s="21" t="s">
        <v>439</v>
      </c>
      <c r="X17" s="21" t="s">
        <v>439</v>
      </c>
    </row>
    <row r="18" spans="1:24" ht="10.5" hidden="1" customHeight="1" x14ac:dyDescent="0.25">
      <c r="A18" s="20">
        <v>46023</v>
      </c>
      <c r="B18" s="21" t="str">
        <f t="shared" si="0"/>
        <v>01/01/2026NL300059</v>
      </c>
      <c r="C18" s="22" t="s">
        <v>430</v>
      </c>
      <c r="D18" s="22" t="s">
        <v>17</v>
      </c>
      <c r="E18" s="22" t="s">
        <v>431</v>
      </c>
      <c r="F18" s="21" t="s">
        <v>432</v>
      </c>
      <c r="G18" s="21" t="s">
        <v>433</v>
      </c>
      <c r="H18" s="21" t="s">
        <v>434</v>
      </c>
      <c r="I18" s="21" t="s">
        <v>229</v>
      </c>
      <c r="J18" s="21" t="s">
        <v>114</v>
      </c>
      <c r="K18" s="21" t="s">
        <v>442</v>
      </c>
      <c r="L18" s="23">
        <v>0.6</v>
      </c>
      <c r="M18" s="24">
        <v>13000</v>
      </c>
      <c r="N18" s="24">
        <v>0</v>
      </c>
      <c r="O18" s="25">
        <v>7800</v>
      </c>
      <c r="P18" s="25">
        <v>0</v>
      </c>
      <c r="Q18" s="24">
        <v>13000</v>
      </c>
      <c r="R18" s="21" t="s">
        <v>436</v>
      </c>
      <c r="S18" s="21" t="s">
        <v>437</v>
      </c>
      <c r="T18" s="21" t="s">
        <v>17</v>
      </c>
      <c r="U18" s="21" t="s">
        <v>438</v>
      </c>
      <c r="V18" s="21" t="s">
        <v>17</v>
      </c>
      <c r="W18" s="21" t="s">
        <v>439</v>
      </c>
      <c r="X18" s="21" t="s">
        <v>439</v>
      </c>
    </row>
    <row r="19" spans="1:24" ht="10.5" hidden="1" customHeight="1" x14ac:dyDescent="0.25">
      <c r="A19" s="20">
        <v>46023</v>
      </c>
      <c r="B19" s="21" t="str">
        <f t="shared" si="0"/>
        <v>01/01/2026NL300085</v>
      </c>
      <c r="C19" s="22" t="s">
        <v>430</v>
      </c>
      <c r="D19" s="22" t="s">
        <v>17</v>
      </c>
      <c r="E19" s="22" t="s">
        <v>431</v>
      </c>
      <c r="F19" s="21" t="s">
        <v>432</v>
      </c>
      <c r="G19" s="21" t="s">
        <v>433</v>
      </c>
      <c r="H19" s="21" t="s">
        <v>434</v>
      </c>
      <c r="I19" s="21" t="s">
        <v>263</v>
      </c>
      <c r="J19" s="21" t="s">
        <v>453</v>
      </c>
      <c r="K19" s="21" t="s">
        <v>442</v>
      </c>
      <c r="L19" s="23">
        <v>2.5</v>
      </c>
      <c r="M19" s="24">
        <v>45000</v>
      </c>
      <c r="N19" s="24">
        <v>0</v>
      </c>
      <c r="O19" s="25">
        <v>112500</v>
      </c>
      <c r="P19" s="25">
        <v>0</v>
      </c>
      <c r="Q19" s="24">
        <v>45000</v>
      </c>
      <c r="R19" s="21" t="s">
        <v>436</v>
      </c>
      <c r="S19" s="21" t="s">
        <v>437</v>
      </c>
      <c r="T19" s="21" t="s">
        <v>17</v>
      </c>
      <c r="U19" s="21" t="s">
        <v>438</v>
      </c>
      <c r="V19" s="21" t="s">
        <v>17</v>
      </c>
      <c r="W19" s="21" t="s">
        <v>439</v>
      </c>
      <c r="X19" s="21" t="s">
        <v>439</v>
      </c>
    </row>
    <row r="20" spans="1:24" ht="10.5" hidden="1" customHeight="1" x14ac:dyDescent="0.25">
      <c r="A20" s="20">
        <v>46023</v>
      </c>
      <c r="B20" s="21" t="str">
        <f t="shared" si="0"/>
        <v>01/01/2026NL300088</v>
      </c>
      <c r="C20" s="22" t="s">
        <v>430</v>
      </c>
      <c r="D20" s="22" t="s">
        <v>17</v>
      </c>
      <c r="E20" s="22" t="s">
        <v>431</v>
      </c>
      <c r="F20" s="21" t="s">
        <v>432</v>
      </c>
      <c r="G20" s="21" t="s">
        <v>433</v>
      </c>
      <c r="H20" s="21" t="s">
        <v>434</v>
      </c>
      <c r="I20" s="21" t="s">
        <v>254</v>
      </c>
      <c r="J20" s="21" t="s">
        <v>15</v>
      </c>
      <c r="K20" s="21" t="s">
        <v>442</v>
      </c>
      <c r="L20" s="23">
        <v>7</v>
      </c>
      <c r="M20" s="24">
        <v>27000</v>
      </c>
      <c r="N20" s="24">
        <v>0</v>
      </c>
      <c r="O20" s="25">
        <v>189000</v>
      </c>
      <c r="P20" s="25">
        <v>0</v>
      </c>
      <c r="Q20" s="24">
        <v>27000</v>
      </c>
      <c r="R20" s="21" t="s">
        <v>436</v>
      </c>
      <c r="S20" s="21" t="s">
        <v>437</v>
      </c>
      <c r="T20" s="21" t="s">
        <v>17</v>
      </c>
      <c r="U20" s="21" t="s">
        <v>438</v>
      </c>
      <c r="V20" s="21" t="s">
        <v>17</v>
      </c>
      <c r="W20" s="21" t="s">
        <v>439</v>
      </c>
      <c r="X20" s="21" t="s">
        <v>439</v>
      </c>
    </row>
    <row r="21" spans="1:24" ht="10.5" hidden="1" customHeight="1" x14ac:dyDescent="0.25">
      <c r="A21" s="20">
        <v>46023</v>
      </c>
      <c r="B21" s="21" t="str">
        <f t="shared" si="0"/>
        <v>01/01/2026NL300090</v>
      </c>
      <c r="C21" s="22" t="s">
        <v>430</v>
      </c>
      <c r="D21" s="22" t="s">
        <v>17</v>
      </c>
      <c r="E21" s="22" t="s">
        <v>431</v>
      </c>
      <c r="F21" s="21" t="s">
        <v>432</v>
      </c>
      <c r="G21" s="21" t="s">
        <v>433</v>
      </c>
      <c r="H21" s="21" t="s">
        <v>434</v>
      </c>
      <c r="I21" s="21" t="s">
        <v>255</v>
      </c>
      <c r="J21" s="21" t="s">
        <v>70</v>
      </c>
      <c r="K21" s="21" t="s">
        <v>442</v>
      </c>
      <c r="L21" s="23">
        <v>6.7</v>
      </c>
      <c r="M21" s="24">
        <v>145000</v>
      </c>
      <c r="N21" s="24">
        <v>0</v>
      </c>
      <c r="O21" s="25">
        <v>971500</v>
      </c>
      <c r="P21" s="25">
        <v>0</v>
      </c>
      <c r="Q21" s="24">
        <v>145000</v>
      </c>
      <c r="R21" s="21" t="s">
        <v>436</v>
      </c>
      <c r="S21" s="21" t="s">
        <v>437</v>
      </c>
      <c r="T21" s="21" t="s">
        <v>17</v>
      </c>
      <c r="U21" s="21" t="s">
        <v>438</v>
      </c>
      <c r="V21" s="21" t="s">
        <v>17</v>
      </c>
      <c r="W21" s="21" t="s">
        <v>439</v>
      </c>
      <c r="X21" s="21" t="s">
        <v>439</v>
      </c>
    </row>
    <row r="22" spans="1:24" ht="10.5" hidden="1" customHeight="1" x14ac:dyDescent="0.25">
      <c r="A22" s="20">
        <v>46023</v>
      </c>
      <c r="B22" s="21" t="str">
        <f t="shared" si="0"/>
        <v>01/01/2026NL300091</v>
      </c>
      <c r="C22" s="22" t="s">
        <v>430</v>
      </c>
      <c r="D22" s="22" t="s">
        <v>17</v>
      </c>
      <c r="E22" s="22" t="s">
        <v>431</v>
      </c>
      <c r="F22" s="21" t="s">
        <v>432</v>
      </c>
      <c r="G22" s="21" t="s">
        <v>433</v>
      </c>
      <c r="H22" s="21" t="s">
        <v>434</v>
      </c>
      <c r="I22" s="21" t="s">
        <v>256</v>
      </c>
      <c r="J22" s="21" t="s">
        <v>72</v>
      </c>
      <c r="K22" s="21" t="s">
        <v>442</v>
      </c>
      <c r="L22" s="23">
        <v>5</v>
      </c>
      <c r="M22" s="24">
        <v>47000</v>
      </c>
      <c r="N22" s="24">
        <v>0</v>
      </c>
      <c r="O22" s="25">
        <v>235000</v>
      </c>
      <c r="P22" s="25">
        <v>0</v>
      </c>
      <c r="Q22" s="24">
        <v>47000</v>
      </c>
      <c r="R22" s="21" t="s">
        <v>436</v>
      </c>
      <c r="S22" s="21" t="s">
        <v>437</v>
      </c>
      <c r="T22" s="21" t="s">
        <v>17</v>
      </c>
      <c r="U22" s="21" t="s">
        <v>438</v>
      </c>
      <c r="V22" s="21" t="s">
        <v>17</v>
      </c>
      <c r="W22" s="21" t="s">
        <v>439</v>
      </c>
      <c r="X22" s="21" t="s">
        <v>439</v>
      </c>
    </row>
    <row r="23" spans="1:24" ht="10.5" hidden="1" customHeight="1" x14ac:dyDescent="0.25">
      <c r="A23" s="20">
        <v>46023</v>
      </c>
      <c r="B23" s="21" t="str">
        <f t="shared" si="0"/>
        <v>01/01/2026NL300092</v>
      </c>
      <c r="C23" s="22" t="s">
        <v>430</v>
      </c>
      <c r="D23" s="22" t="s">
        <v>17</v>
      </c>
      <c r="E23" s="22" t="s">
        <v>431</v>
      </c>
      <c r="F23" s="21" t="s">
        <v>432</v>
      </c>
      <c r="G23" s="21" t="s">
        <v>433</v>
      </c>
      <c r="H23" s="21" t="s">
        <v>434</v>
      </c>
      <c r="I23" s="21" t="s">
        <v>329</v>
      </c>
      <c r="J23" s="21" t="s">
        <v>74</v>
      </c>
      <c r="K23" s="21" t="s">
        <v>442</v>
      </c>
      <c r="L23" s="23">
        <v>2.8</v>
      </c>
      <c r="M23" s="24">
        <v>90000</v>
      </c>
      <c r="N23" s="24">
        <v>0</v>
      </c>
      <c r="O23" s="25">
        <v>252000</v>
      </c>
      <c r="P23" s="25">
        <v>0</v>
      </c>
      <c r="Q23" s="24">
        <v>90000</v>
      </c>
      <c r="R23" s="21" t="s">
        <v>436</v>
      </c>
      <c r="S23" s="21" t="s">
        <v>437</v>
      </c>
      <c r="T23" s="21" t="s">
        <v>17</v>
      </c>
      <c r="U23" s="21" t="s">
        <v>438</v>
      </c>
      <c r="V23" s="21" t="s">
        <v>17</v>
      </c>
      <c r="W23" s="21" t="s">
        <v>439</v>
      </c>
      <c r="X23" s="21" t="s">
        <v>439</v>
      </c>
    </row>
    <row r="24" spans="1:24" ht="10.5" hidden="1" customHeight="1" x14ac:dyDescent="0.25">
      <c r="A24" s="20">
        <v>46023</v>
      </c>
      <c r="B24" s="21" t="str">
        <f t="shared" si="0"/>
        <v>01/01/2026NL300094</v>
      </c>
      <c r="C24" s="22" t="s">
        <v>430</v>
      </c>
      <c r="D24" s="22" t="s">
        <v>17</v>
      </c>
      <c r="E24" s="22" t="s">
        <v>431</v>
      </c>
      <c r="F24" s="21" t="s">
        <v>432</v>
      </c>
      <c r="G24" s="21" t="s">
        <v>433</v>
      </c>
      <c r="H24" s="21" t="s">
        <v>434</v>
      </c>
      <c r="I24" s="21" t="s">
        <v>257</v>
      </c>
      <c r="J24" s="21" t="s">
        <v>454</v>
      </c>
      <c r="K24" s="21" t="s">
        <v>442</v>
      </c>
      <c r="L24" s="23">
        <v>0.8</v>
      </c>
      <c r="M24" s="24">
        <v>80000</v>
      </c>
      <c r="N24" s="24">
        <v>0</v>
      </c>
      <c r="O24" s="25">
        <v>64000</v>
      </c>
      <c r="P24" s="25">
        <v>0</v>
      </c>
      <c r="Q24" s="24">
        <v>80000</v>
      </c>
      <c r="R24" s="21" t="s">
        <v>436</v>
      </c>
      <c r="S24" s="21" t="s">
        <v>437</v>
      </c>
      <c r="T24" s="21" t="s">
        <v>17</v>
      </c>
      <c r="U24" s="21" t="s">
        <v>438</v>
      </c>
      <c r="V24" s="21" t="s">
        <v>17</v>
      </c>
      <c r="W24" s="21" t="s">
        <v>439</v>
      </c>
      <c r="X24" s="21" t="s">
        <v>439</v>
      </c>
    </row>
    <row r="25" spans="1:24" ht="10.5" hidden="1" customHeight="1" x14ac:dyDescent="0.25">
      <c r="A25" s="20">
        <v>46023</v>
      </c>
      <c r="B25" s="21" t="str">
        <f t="shared" si="0"/>
        <v>01/01/2026NL300096</v>
      </c>
      <c r="C25" s="22" t="s">
        <v>430</v>
      </c>
      <c r="D25" s="22" t="s">
        <v>17</v>
      </c>
      <c r="E25" s="22" t="s">
        <v>431</v>
      </c>
      <c r="F25" s="21" t="s">
        <v>432</v>
      </c>
      <c r="G25" s="21" t="s">
        <v>433</v>
      </c>
      <c r="H25" s="21" t="s">
        <v>434</v>
      </c>
      <c r="I25" s="21" t="s">
        <v>258</v>
      </c>
      <c r="J25" s="21" t="s">
        <v>45</v>
      </c>
      <c r="K25" s="21" t="s">
        <v>442</v>
      </c>
      <c r="L25" s="23">
        <v>7.6</v>
      </c>
      <c r="M25" s="24">
        <v>45000</v>
      </c>
      <c r="N25" s="24">
        <v>0</v>
      </c>
      <c r="O25" s="25">
        <v>342000</v>
      </c>
      <c r="P25" s="25">
        <v>0</v>
      </c>
      <c r="Q25" s="24">
        <v>45000</v>
      </c>
      <c r="R25" s="21" t="s">
        <v>436</v>
      </c>
      <c r="S25" s="21" t="s">
        <v>437</v>
      </c>
      <c r="T25" s="21" t="s">
        <v>17</v>
      </c>
      <c r="U25" s="21" t="s">
        <v>438</v>
      </c>
      <c r="V25" s="21" t="s">
        <v>17</v>
      </c>
      <c r="W25" s="21" t="s">
        <v>439</v>
      </c>
      <c r="X25" s="21" t="s">
        <v>439</v>
      </c>
    </row>
    <row r="26" spans="1:24" ht="10.5" hidden="1" customHeight="1" x14ac:dyDescent="0.25">
      <c r="A26" s="20">
        <v>46023</v>
      </c>
      <c r="B26" s="21" t="str">
        <f t="shared" si="0"/>
        <v>01/01/2026NL300107</v>
      </c>
      <c r="C26" s="22" t="s">
        <v>430</v>
      </c>
      <c r="D26" s="22" t="s">
        <v>17</v>
      </c>
      <c r="E26" s="22" t="s">
        <v>431</v>
      </c>
      <c r="F26" s="21" t="s">
        <v>432</v>
      </c>
      <c r="G26" s="21" t="s">
        <v>433</v>
      </c>
      <c r="H26" s="21" t="s">
        <v>434</v>
      </c>
      <c r="I26" s="21" t="s">
        <v>193</v>
      </c>
      <c r="J26" s="21" t="s">
        <v>455</v>
      </c>
      <c r="K26" s="21" t="s">
        <v>450</v>
      </c>
      <c r="L26" s="23">
        <v>24</v>
      </c>
      <c r="M26" s="24">
        <v>8500</v>
      </c>
      <c r="N26" s="24">
        <v>0</v>
      </c>
      <c r="O26" s="25">
        <v>204000</v>
      </c>
      <c r="P26" s="25">
        <v>0</v>
      </c>
      <c r="Q26" s="24">
        <v>8500</v>
      </c>
      <c r="R26" s="21" t="s">
        <v>436</v>
      </c>
      <c r="S26" s="21" t="s">
        <v>437</v>
      </c>
      <c r="T26" s="21" t="s">
        <v>17</v>
      </c>
      <c r="U26" s="21" t="s">
        <v>438</v>
      </c>
      <c r="V26" s="21" t="s">
        <v>17</v>
      </c>
      <c r="W26" s="21" t="s">
        <v>439</v>
      </c>
      <c r="X26" s="21" t="s">
        <v>439</v>
      </c>
    </row>
    <row r="27" spans="1:24" ht="10.5" hidden="1" customHeight="1" x14ac:dyDescent="0.25">
      <c r="A27" s="20">
        <v>46023</v>
      </c>
      <c r="B27" s="21" t="str">
        <f t="shared" si="0"/>
        <v>01/01/2026NL300113</v>
      </c>
      <c r="C27" s="22" t="s">
        <v>430</v>
      </c>
      <c r="D27" s="22" t="s">
        <v>17</v>
      </c>
      <c r="E27" s="22" t="s">
        <v>431</v>
      </c>
      <c r="F27" s="21" t="s">
        <v>432</v>
      </c>
      <c r="G27" s="21" t="s">
        <v>433</v>
      </c>
      <c r="H27" s="21" t="s">
        <v>434</v>
      </c>
      <c r="I27" s="21" t="s">
        <v>271</v>
      </c>
      <c r="J27" s="21" t="s">
        <v>103</v>
      </c>
      <c r="K27" s="21" t="s">
        <v>442</v>
      </c>
      <c r="L27" s="23">
        <v>2</v>
      </c>
      <c r="M27" s="24">
        <v>145000</v>
      </c>
      <c r="N27" s="24">
        <v>0</v>
      </c>
      <c r="O27" s="25">
        <v>290000</v>
      </c>
      <c r="P27" s="25">
        <v>0</v>
      </c>
      <c r="Q27" s="24">
        <v>145000</v>
      </c>
      <c r="R27" s="21" t="s">
        <v>436</v>
      </c>
      <c r="S27" s="21" t="s">
        <v>437</v>
      </c>
      <c r="T27" s="21" t="s">
        <v>17</v>
      </c>
      <c r="U27" s="21" t="s">
        <v>438</v>
      </c>
      <c r="V27" s="21" t="s">
        <v>17</v>
      </c>
      <c r="W27" s="21" t="s">
        <v>439</v>
      </c>
      <c r="X27" s="21" t="s">
        <v>439</v>
      </c>
    </row>
    <row r="28" spans="1:24" ht="10.5" hidden="1" customHeight="1" x14ac:dyDescent="0.25">
      <c r="A28" s="20">
        <v>46023</v>
      </c>
      <c r="B28" s="21" t="str">
        <f t="shared" si="0"/>
        <v>01/01/2026NL300116</v>
      </c>
      <c r="C28" s="22" t="s">
        <v>430</v>
      </c>
      <c r="D28" s="22" t="s">
        <v>17</v>
      </c>
      <c r="E28" s="22" t="s">
        <v>431</v>
      </c>
      <c r="F28" s="21" t="s">
        <v>432</v>
      </c>
      <c r="G28" s="21" t="s">
        <v>433</v>
      </c>
      <c r="H28" s="21" t="s">
        <v>434</v>
      </c>
      <c r="I28" s="21" t="s">
        <v>315</v>
      </c>
      <c r="J28" s="21" t="s">
        <v>456</v>
      </c>
      <c r="K28" s="21" t="s">
        <v>442</v>
      </c>
      <c r="L28" s="23">
        <v>0.3</v>
      </c>
      <c r="M28" s="24">
        <v>148000</v>
      </c>
      <c r="N28" s="24">
        <v>0</v>
      </c>
      <c r="O28" s="25">
        <v>44400</v>
      </c>
      <c r="P28" s="25">
        <v>0</v>
      </c>
      <c r="Q28" s="24">
        <v>148000</v>
      </c>
      <c r="R28" s="21" t="s">
        <v>436</v>
      </c>
      <c r="S28" s="21" t="s">
        <v>437</v>
      </c>
      <c r="T28" s="21" t="s">
        <v>17</v>
      </c>
      <c r="U28" s="21" t="s">
        <v>438</v>
      </c>
      <c r="V28" s="21" t="s">
        <v>17</v>
      </c>
      <c r="W28" s="21" t="s">
        <v>439</v>
      </c>
      <c r="X28" s="21" t="s">
        <v>439</v>
      </c>
    </row>
    <row r="29" spans="1:24" ht="10.5" hidden="1" customHeight="1" x14ac:dyDescent="0.25">
      <c r="A29" s="20">
        <v>46023</v>
      </c>
      <c r="B29" s="21" t="str">
        <f t="shared" si="0"/>
        <v>01/01/2026NL300121</v>
      </c>
      <c r="C29" s="22" t="s">
        <v>430</v>
      </c>
      <c r="D29" s="22" t="s">
        <v>17</v>
      </c>
      <c r="E29" s="22" t="s">
        <v>431</v>
      </c>
      <c r="F29" s="21" t="s">
        <v>432</v>
      </c>
      <c r="G29" s="21" t="s">
        <v>433</v>
      </c>
      <c r="H29" s="21" t="s">
        <v>434</v>
      </c>
      <c r="I29" s="21" t="s">
        <v>281</v>
      </c>
      <c r="J29" s="21" t="s">
        <v>51</v>
      </c>
      <c r="K29" s="21" t="s">
        <v>442</v>
      </c>
      <c r="L29" s="23">
        <v>0.1</v>
      </c>
      <c r="M29" s="24">
        <v>22000</v>
      </c>
      <c r="N29" s="24">
        <v>0</v>
      </c>
      <c r="O29" s="25">
        <v>2200</v>
      </c>
      <c r="P29" s="25">
        <v>0</v>
      </c>
      <c r="Q29" s="24">
        <v>22000</v>
      </c>
      <c r="R29" s="21" t="s">
        <v>436</v>
      </c>
      <c r="S29" s="21" t="s">
        <v>437</v>
      </c>
      <c r="T29" s="21" t="s">
        <v>17</v>
      </c>
      <c r="U29" s="21" t="s">
        <v>438</v>
      </c>
      <c r="V29" s="21" t="s">
        <v>17</v>
      </c>
      <c r="W29" s="21" t="s">
        <v>439</v>
      </c>
      <c r="X29" s="21" t="s">
        <v>439</v>
      </c>
    </row>
    <row r="30" spans="1:24" ht="10.5" hidden="1" customHeight="1" x14ac:dyDescent="0.25">
      <c r="A30" s="20">
        <v>46023</v>
      </c>
      <c r="B30" s="21" t="str">
        <f t="shared" si="0"/>
        <v>01/01/2026NL300126</v>
      </c>
      <c r="C30" s="22" t="s">
        <v>430</v>
      </c>
      <c r="D30" s="22" t="s">
        <v>17</v>
      </c>
      <c r="E30" s="22" t="s">
        <v>431</v>
      </c>
      <c r="F30" s="21" t="s">
        <v>432</v>
      </c>
      <c r="G30" s="21" t="s">
        <v>433</v>
      </c>
      <c r="H30" s="21" t="s">
        <v>434</v>
      </c>
      <c r="I30" s="21" t="s">
        <v>264</v>
      </c>
      <c r="J30" s="21" t="s">
        <v>457</v>
      </c>
      <c r="K30" s="21" t="s">
        <v>442</v>
      </c>
      <c r="L30" s="23">
        <v>0.1</v>
      </c>
      <c r="M30" s="24">
        <v>70000</v>
      </c>
      <c r="N30" s="24">
        <v>0</v>
      </c>
      <c r="O30" s="25">
        <v>7000</v>
      </c>
      <c r="P30" s="25">
        <v>0</v>
      </c>
      <c r="Q30" s="24">
        <v>70000</v>
      </c>
      <c r="R30" s="21" t="s">
        <v>436</v>
      </c>
      <c r="S30" s="21" t="s">
        <v>437</v>
      </c>
      <c r="T30" s="21" t="s">
        <v>17</v>
      </c>
      <c r="U30" s="21" t="s">
        <v>438</v>
      </c>
      <c r="V30" s="21" t="s">
        <v>17</v>
      </c>
      <c r="W30" s="21" t="s">
        <v>439</v>
      </c>
      <c r="X30" s="21" t="s">
        <v>439</v>
      </c>
    </row>
    <row r="31" spans="1:24" ht="10.5" hidden="1" customHeight="1" x14ac:dyDescent="0.25">
      <c r="A31" s="20">
        <v>46023</v>
      </c>
      <c r="B31" s="21" t="str">
        <f t="shared" si="0"/>
        <v>01/01/2026NL300132</v>
      </c>
      <c r="C31" s="22" t="s">
        <v>430</v>
      </c>
      <c r="D31" s="22" t="s">
        <v>17</v>
      </c>
      <c r="E31" s="22" t="s">
        <v>431</v>
      </c>
      <c r="F31" s="21" t="s">
        <v>432</v>
      </c>
      <c r="G31" s="21" t="s">
        <v>433</v>
      </c>
      <c r="H31" s="21" t="s">
        <v>434</v>
      </c>
      <c r="I31" s="21" t="s">
        <v>285</v>
      </c>
      <c r="J31" s="21" t="s">
        <v>82</v>
      </c>
      <c r="K31" s="21" t="s">
        <v>442</v>
      </c>
      <c r="L31" s="23">
        <v>1</v>
      </c>
      <c r="M31" s="24">
        <v>12000</v>
      </c>
      <c r="N31" s="24">
        <v>0</v>
      </c>
      <c r="O31" s="25">
        <v>12000</v>
      </c>
      <c r="P31" s="25">
        <v>0</v>
      </c>
      <c r="Q31" s="24">
        <v>12000</v>
      </c>
      <c r="R31" s="21" t="s">
        <v>436</v>
      </c>
      <c r="S31" s="21" t="s">
        <v>437</v>
      </c>
      <c r="T31" s="21" t="s">
        <v>17</v>
      </c>
      <c r="U31" s="21" t="s">
        <v>438</v>
      </c>
      <c r="V31" s="21" t="s">
        <v>17</v>
      </c>
      <c r="W31" s="21" t="s">
        <v>439</v>
      </c>
      <c r="X31" s="21" t="s">
        <v>439</v>
      </c>
    </row>
    <row r="32" spans="1:24" ht="10.5" hidden="1" customHeight="1" x14ac:dyDescent="0.25">
      <c r="A32" s="20">
        <v>46023</v>
      </c>
      <c r="B32" s="21" t="str">
        <f t="shared" si="0"/>
        <v>01/01/2026NL300137</v>
      </c>
      <c r="C32" s="22" t="s">
        <v>430</v>
      </c>
      <c r="D32" s="22" t="s">
        <v>17</v>
      </c>
      <c r="E32" s="22" t="s">
        <v>431</v>
      </c>
      <c r="F32" s="21" t="s">
        <v>432</v>
      </c>
      <c r="G32" s="21" t="s">
        <v>433</v>
      </c>
      <c r="H32" s="21" t="s">
        <v>434</v>
      </c>
      <c r="I32" s="21" t="s">
        <v>196</v>
      </c>
      <c r="J32" s="21" t="s">
        <v>458</v>
      </c>
      <c r="K32" s="21" t="s">
        <v>442</v>
      </c>
      <c r="L32" s="23">
        <v>5</v>
      </c>
      <c r="M32" s="24">
        <v>52000</v>
      </c>
      <c r="N32" s="24">
        <v>0</v>
      </c>
      <c r="O32" s="25">
        <v>260000</v>
      </c>
      <c r="P32" s="25">
        <v>0</v>
      </c>
      <c r="Q32" s="24">
        <v>52000</v>
      </c>
      <c r="R32" s="21" t="s">
        <v>436</v>
      </c>
      <c r="S32" s="21" t="s">
        <v>437</v>
      </c>
      <c r="T32" s="21" t="s">
        <v>17</v>
      </c>
      <c r="U32" s="21" t="s">
        <v>438</v>
      </c>
      <c r="V32" s="21" t="s">
        <v>17</v>
      </c>
      <c r="W32" s="21" t="s">
        <v>439</v>
      </c>
      <c r="X32" s="21" t="s">
        <v>439</v>
      </c>
    </row>
    <row r="33" spans="1:24" ht="10.5" hidden="1" customHeight="1" x14ac:dyDescent="0.25">
      <c r="A33" s="20">
        <v>46023</v>
      </c>
      <c r="B33" s="21" t="str">
        <f t="shared" si="0"/>
        <v>01/01/2026NL300147</v>
      </c>
      <c r="C33" s="22" t="s">
        <v>430</v>
      </c>
      <c r="D33" s="22" t="s">
        <v>17</v>
      </c>
      <c r="E33" s="22" t="s">
        <v>431</v>
      </c>
      <c r="F33" s="21" t="s">
        <v>432</v>
      </c>
      <c r="G33" s="21" t="s">
        <v>433</v>
      </c>
      <c r="H33" s="21" t="s">
        <v>434</v>
      </c>
      <c r="I33" s="21" t="s">
        <v>300</v>
      </c>
      <c r="J33" s="21" t="s">
        <v>459</v>
      </c>
      <c r="K33" s="21" t="s">
        <v>442</v>
      </c>
      <c r="L33" s="23">
        <v>5</v>
      </c>
      <c r="M33" s="24">
        <v>62000</v>
      </c>
      <c r="N33" s="24">
        <v>0</v>
      </c>
      <c r="O33" s="25">
        <v>310000</v>
      </c>
      <c r="P33" s="25">
        <v>0</v>
      </c>
      <c r="Q33" s="24">
        <v>62000</v>
      </c>
      <c r="R33" s="21" t="s">
        <v>436</v>
      </c>
      <c r="S33" s="21" t="s">
        <v>437</v>
      </c>
      <c r="T33" s="21" t="s">
        <v>17</v>
      </c>
      <c r="U33" s="21" t="s">
        <v>438</v>
      </c>
      <c r="V33" s="21" t="s">
        <v>17</v>
      </c>
      <c r="W33" s="21" t="s">
        <v>439</v>
      </c>
      <c r="X33" s="21" t="s">
        <v>439</v>
      </c>
    </row>
    <row r="34" spans="1:24" ht="10.5" hidden="1" customHeight="1" x14ac:dyDescent="0.25">
      <c r="A34" s="20">
        <v>46023</v>
      </c>
      <c r="B34" s="21" t="str">
        <f t="shared" si="0"/>
        <v>01/01/2026NL300119</v>
      </c>
      <c r="C34" s="22" t="s">
        <v>430</v>
      </c>
      <c r="D34" s="22" t="s">
        <v>17</v>
      </c>
      <c r="E34" s="22" t="s">
        <v>431</v>
      </c>
      <c r="F34" s="21" t="s">
        <v>432</v>
      </c>
      <c r="G34" s="21" t="s">
        <v>433</v>
      </c>
      <c r="H34" s="21" t="s">
        <v>434</v>
      </c>
      <c r="I34" s="21" t="s">
        <v>310</v>
      </c>
      <c r="J34" s="21" t="s">
        <v>460</v>
      </c>
      <c r="K34" s="21" t="s">
        <v>442</v>
      </c>
      <c r="L34" s="23">
        <v>3</v>
      </c>
      <c r="M34" s="24">
        <v>21000</v>
      </c>
      <c r="N34" s="24">
        <v>0</v>
      </c>
      <c r="O34" s="25">
        <v>63000</v>
      </c>
      <c r="P34" s="25">
        <v>0</v>
      </c>
      <c r="Q34" s="24">
        <v>21000</v>
      </c>
      <c r="R34" s="21" t="s">
        <v>436</v>
      </c>
      <c r="S34" s="21" t="s">
        <v>437</v>
      </c>
      <c r="T34" s="21" t="s">
        <v>17</v>
      </c>
      <c r="U34" s="21" t="s">
        <v>438</v>
      </c>
      <c r="V34" s="21" t="s">
        <v>17</v>
      </c>
      <c r="W34" s="21" t="s">
        <v>439</v>
      </c>
      <c r="X34" s="21" t="s">
        <v>439</v>
      </c>
    </row>
    <row r="35" spans="1:24" ht="10.5" hidden="1" customHeight="1" x14ac:dyDescent="0.25">
      <c r="A35" s="20">
        <v>46023</v>
      </c>
      <c r="B35" s="21" t="str">
        <f t="shared" si="0"/>
        <v>01/01/2026NL300140</v>
      </c>
      <c r="C35" s="22" t="s">
        <v>430</v>
      </c>
      <c r="D35" s="22" t="s">
        <v>17</v>
      </c>
      <c r="E35" s="22" t="s">
        <v>431</v>
      </c>
      <c r="F35" s="21" t="s">
        <v>432</v>
      </c>
      <c r="G35" s="21" t="s">
        <v>433</v>
      </c>
      <c r="H35" s="21" t="s">
        <v>434</v>
      </c>
      <c r="I35" s="21" t="s">
        <v>282</v>
      </c>
      <c r="J35" s="21" t="s">
        <v>461</v>
      </c>
      <c r="K35" s="21" t="s">
        <v>442</v>
      </c>
      <c r="L35" s="23">
        <v>1</v>
      </c>
      <c r="M35" s="24">
        <v>36000</v>
      </c>
      <c r="N35" s="24">
        <v>0</v>
      </c>
      <c r="O35" s="25">
        <v>36000</v>
      </c>
      <c r="P35" s="25">
        <v>0</v>
      </c>
      <c r="Q35" s="24">
        <v>36000</v>
      </c>
      <c r="R35" s="21" t="s">
        <v>436</v>
      </c>
      <c r="S35" s="21" t="s">
        <v>437</v>
      </c>
      <c r="T35" s="21" t="s">
        <v>17</v>
      </c>
      <c r="U35" s="21" t="s">
        <v>438</v>
      </c>
      <c r="V35" s="21" t="s">
        <v>17</v>
      </c>
      <c r="W35" s="21" t="s">
        <v>439</v>
      </c>
      <c r="X35" s="21" t="s">
        <v>439</v>
      </c>
    </row>
    <row r="36" spans="1:24" ht="10.5" hidden="1" customHeight="1" x14ac:dyDescent="0.25">
      <c r="A36" s="20">
        <v>46023</v>
      </c>
      <c r="B36" s="21" t="str">
        <f t="shared" si="0"/>
        <v>01/01/2026NL600004</v>
      </c>
      <c r="C36" s="22" t="s">
        <v>430</v>
      </c>
      <c r="D36" s="22" t="s">
        <v>17</v>
      </c>
      <c r="E36" s="22" t="s">
        <v>431</v>
      </c>
      <c r="F36" s="21" t="s">
        <v>432</v>
      </c>
      <c r="G36" s="21" t="s">
        <v>433</v>
      </c>
      <c r="H36" s="21" t="s">
        <v>434</v>
      </c>
      <c r="I36" s="21" t="s">
        <v>225</v>
      </c>
      <c r="J36" s="21" t="s">
        <v>37</v>
      </c>
      <c r="K36" s="21" t="s">
        <v>442</v>
      </c>
      <c r="L36" s="23">
        <v>47</v>
      </c>
      <c r="M36" s="24">
        <v>18000</v>
      </c>
      <c r="N36" s="24">
        <v>0</v>
      </c>
      <c r="O36" s="25">
        <v>846000</v>
      </c>
      <c r="P36" s="25">
        <v>0</v>
      </c>
      <c r="Q36" s="24">
        <v>18000</v>
      </c>
      <c r="R36" s="21" t="s">
        <v>436</v>
      </c>
      <c r="S36" s="21" t="s">
        <v>437</v>
      </c>
      <c r="T36" s="21" t="s">
        <v>17</v>
      </c>
      <c r="U36" s="21" t="s">
        <v>438</v>
      </c>
      <c r="V36" s="21" t="s">
        <v>17</v>
      </c>
      <c r="W36" s="21" t="s">
        <v>439</v>
      </c>
      <c r="X36" s="21" t="s">
        <v>439</v>
      </c>
    </row>
    <row r="37" spans="1:24" ht="10.5" hidden="1" customHeight="1" x14ac:dyDescent="0.25">
      <c r="A37" s="20">
        <v>46023</v>
      </c>
      <c r="B37" s="21" t="str">
        <f t="shared" si="0"/>
        <v>01/01/2026NL300131</v>
      </c>
      <c r="C37" s="22" t="s">
        <v>430</v>
      </c>
      <c r="D37" s="22" t="s">
        <v>17</v>
      </c>
      <c r="E37" s="22" t="s">
        <v>431</v>
      </c>
      <c r="F37" s="21" t="s">
        <v>432</v>
      </c>
      <c r="G37" s="21" t="s">
        <v>433</v>
      </c>
      <c r="H37" s="21" t="s">
        <v>434</v>
      </c>
      <c r="I37" s="21" t="s">
        <v>340</v>
      </c>
      <c r="J37" s="21" t="s">
        <v>88</v>
      </c>
      <c r="K37" s="21" t="s">
        <v>442</v>
      </c>
      <c r="L37" s="23">
        <v>0.3</v>
      </c>
      <c r="M37" s="24">
        <v>220000</v>
      </c>
      <c r="N37" s="24">
        <v>0</v>
      </c>
      <c r="O37" s="25">
        <v>66000</v>
      </c>
      <c r="P37" s="25">
        <v>0</v>
      </c>
      <c r="Q37" s="24">
        <v>220000</v>
      </c>
      <c r="R37" s="21" t="s">
        <v>436</v>
      </c>
      <c r="S37" s="21" t="s">
        <v>437</v>
      </c>
      <c r="T37" s="21" t="s">
        <v>17</v>
      </c>
      <c r="U37" s="21" t="s">
        <v>438</v>
      </c>
      <c r="V37" s="21" t="s">
        <v>17</v>
      </c>
      <c r="W37" s="21" t="s">
        <v>439</v>
      </c>
      <c r="X37" s="21" t="s">
        <v>439</v>
      </c>
    </row>
    <row r="38" spans="1:24" ht="10.5" hidden="1" customHeight="1" x14ac:dyDescent="0.25">
      <c r="A38" s="20">
        <v>46023</v>
      </c>
      <c r="B38" s="21" t="str">
        <f t="shared" si="0"/>
        <v>01/01/2026NL300125</v>
      </c>
      <c r="C38" s="22" t="s">
        <v>430</v>
      </c>
      <c r="D38" s="22" t="s">
        <v>17</v>
      </c>
      <c r="E38" s="22" t="s">
        <v>431</v>
      </c>
      <c r="F38" s="21" t="s">
        <v>432</v>
      </c>
      <c r="G38" s="21" t="s">
        <v>433</v>
      </c>
      <c r="H38" s="21" t="s">
        <v>434</v>
      </c>
      <c r="I38" s="21" t="s">
        <v>337</v>
      </c>
      <c r="J38" s="21" t="s">
        <v>146</v>
      </c>
      <c r="K38" s="21" t="s">
        <v>442</v>
      </c>
      <c r="L38" s="23">
        <v>1</v>
      </c>
      <c r="M38" s="24">
        <v>42000</v>
      </c>
      <c r="N38" s="24">
        <v>0</v>
      </c>
      <c r="O38" s="25">
        <v>42000</v>
      </c>
      <c r="P38" s="25">
        <v>0</v>
      </c>
      <c r="Q38" s="24">
        <v>42000</v>
      </c>
      <c r="R38" s="21" t="s">
        <v>436</v>
      </c>
      <c r="S38" s="21" t="s">
        <v>437</v>
      </c>
      <c r="T38" s="21" t="s">
        <v>17</v>
      </c>
      <c r="U38" s="21" t="s">
        <v>438</v>
      </c>
      <c r="V38" s="21" t="s">
        <v>17</v>
      </c>
      <c r="W38" s="21" t="s">
        <v>439</v>
      </c>
      <c r="X38" s="21" t="s">
        <v>439</v>
      </c>
    </row>
    <row r="39" spans="1:24" ht="10.5" hidden="1" customHeight="1" x14ac:dyDescent="0.25">
      <c r="A39" s="20">
        <v>46023</v>
      </c>
      <c r="B39" s="21" t="str">
        <f t="shared" si="0"/>
        <v>01/01/2026NL300184</v>
      </c>
      <c r="C39" s="22" t="s">
        <v>430</v>
      </c>
      <c r="D39" s="22" t="s">
        <v>17</v>
      </c>
      <c r="E39" s="22" t="s">
        <v>431</v>
      </c>
      <c r="F39" s="21" t="s">
        <v>432</v>
      </c>
      <c r="G39" s="21" t="s">
        <v>433</v>
      </c>
      <c r="H39" s="21" t="s">
        <v>434</v>
      </c>
      <c r="I39" s="21" t="s">
        <v>368</v>
      </c>
      <c r="J39" s="21" t="s">
        <v>462</v>
      </c>
      <c r="K39" s="21" t="s">
        <v>442</v>
      </c>
      <c r="L39" s="23">
        <v>0.5</v>
      </c>
      <c r="M39" s="24">
        <v>18000</v>
      </c>
      <c r="N39" s="24">
        <v>0</v>
      </c>
      <c r="O39" s="25">
        <v>9000</v>
      </c>
      <c r="P39" s="25">
        <v>0</v>
      </c>
      <c r="Q39" s="24">
        <v>18000</v>
      </c>
      <c r="R39" s="21" t="s">
        <v>436</v>
      </c>
      <c r="S39" s="21" t="s">
        <v>437</v>
      </c>
      <c r="T39" s="21" t="s">
        <v>17</v>
      </c>
      <c r="U39" s="21" t="s">
        <v>438</v>
      </c>
      <c r="V39" s="21" t="s">
        <v>17</v>
      </c>
      <c r="W39" s="21" t="s">
        <v>439</v>
      </c>
      <c r="X39" s="21" t="s">
        <v>439</v>
      </c>
    </row>
    <row r="40" spans="1:24" ht="10.5" hidden="1" customHeight="1" x14ac:dyDescent="0.25">
      <c r="A40" s="20">
        <v>46024</v>
      </c>
      <c r="B40" s="21" t="str">
        <f t="shared" si="0"/>
        <v>02/01/2026NL300020</v>
      </c>
      <c r="C40" s="22" t="s">
        <v>463</v>
      </c>
      <c r="D40" s="22" t="s">
        <v>17</v>
      </c>
      <c r="E40" s="22" t="s">
        <v>431</v>
      </c>
      <c r="F40" s="21" t="s">
        <v>432</v>
      </c>
      <c r="G40" s="21" t="s">
        <v>433</v>
      </c>
      <c r="H40" s="21" t="s">
        <v>464</v>
      </c>
      <c r="I40" s="21" t="s">
        <v>326</v>
      </c>
      <c r="J40" s="21" t="s">
        <v>446</v>
      </c>
      <c r="K40" s="21" t="s">
        <v>442</v>
      </c>
      <c r="L40" s="23">
        <v>2.5</v>
      </c>
      <c r="M40" s="24">
        <v>30000</v>
      </c>
      <c r="N40" s="24">
        <v>0</v>
      </c>
      <c r="O40" s="25">
        <v>75000</v>
      </c>
      <c r="P40" s="25">
        <v>0</v>
      </c>
      <c r="Q40" s="24">
        <v>30000</v>
      </c>
      <c r="R40" s="21" t="s">
        <v>436</v>
      </c>
      <c r="S40" s="21" t="s">
        <v>437</v>
      </c>
      <c r="T40" s="21" t="s">
        <v>17</v>
      </c>
      <c r="U40" s="21" t="s">
        <v>438</v>
      </c>
      <c r="V40" s="21" t="s">
        <v>17</v>
      </c>
      <c r="W40" s="21" t="s">
        <v>439</v>
      </c>
      <c r="X40" s="21" t="s">
        <v>439</v>
      </c>
    </row>
    <row r="41" spans="1:24" ht="10.5" hidden="1" customHeight="1" x14ac:dyDescent="0.25">
      <c r="A41" s="20">
        <v>46024</v>
      </c>
      <c r="B41" s="21" t="str">
        <f t="shared" si="0"/>
        <v>02/01/2026NL300025</v>
      </c>
      <c r="C41" s="22" t="s">
        <v>463</v>
      </c>
      <c r="D41" s="22" t="s">
        <v>17</v>
      </c>
      <c r="E41" s="22" t="s">
        <v>431</v>
      </c>
      <c r="F41" s="21" t="s">
        <v>432</v>
      </c>
      <c r="G41" s="21" t="s">
        <v>433</v>
      </c>
      <c r="H41" s="21" t="s">
        <v>464</v>
      </c>
      <c r="I41" s="21" t="s">
        <v>211</v>
      </c>
      <c r="J41" s="21" t="s">
        <v>447</v>
      </c>
      <c r="K41" s="21" t="s">
        <v>442</v>
      </c>
      <c r="L41" s="23">
        <v>1.9</v>
      </c>
      <c r="M41" s="24">
        <v>44000</v>
      </c>
      <c r="N41" s="24">
        <v>0</v>
      </c>
      <c r="O41" s="25">
        <v>83600</v>
      </c>
      <c r="P41" s="25">
        <v>0</v>
      </c>
      <c r="Q41" s="24">
        <v>44000</v>
      </c>
      <c r="R41" s="21" t="s">
        <v>436</v>
      </c>
      <c r="S41" s="21" t="s">
        <v>437</v>
      </c>
      <c r="T41" s="21" t="s">
        <v>17</v>
      </c>
      <c r="U41" s="21" t="s">
        <v>438</v>
      </c>
      <c r="V41" s="21" t="s">
        <v>17</v>
      </c>
      <c r="W41" s="21" t="s">
        <v>439</v>
      </c>
      <c r="X41" s="21" t="s">
        <v>439</v>
      </c>
    </row>
    <row r="42" spans="1:24" ht="10.5" hidden="1" customHeight="1" x14ac:dyDescent="0.25">
      <c r="A42" s="20">
        <v>46024</v>
      </c>
      <c r="B42" s="21" t="str">
        <f t="shared" si="0"/>
        <v>02/01/2026NL300028</v>
      </c>
      <c r="C42" s="22" t="s">
        <v>463</v>
      </c>
      <c r="D42" s="22" t="s">
        <v>17</v>
      </c>
      <c r="E42" s="22" t="s">
        <v>431</v>
      </c>
      <c r="F42" s="21" t="s">
        <v>432</v>
      </c>
      <c r="G42" s="21" t="s">
        <v>433</v>
      </c>
      <c r="H42" s="21" t="s">
        <v>464</v>
      </c>
      <c r="I42" s="21" t="s">
        <v>325</v>
      </c>
      <c r="J42" s="21" t="s">
        <v>27</v>
      </c>
      <c r="K42" s="21" t="s">
        <v>442</v>
      </c>
      <c r="L42" s="23">
        <v>0.2</v>
      </c>
      <c r="M42" s="24">
        <v>75000</v>
      </c>
      <c r="N42" s="24">
        <v>0</v>
      </c>
      <c r="O42" s="25">
        <v>15000</v>
      </c>
      <c r="P42" s="25">
        <v>0</v>
      </c>
      <c r="Q42" s="24">
        <v>75000</v>
      </c>
      <c r="R42" s="21" t="s">
        <v>436</v>
      </c>
      <c r="S42" s="21" t="s">
        <v>437</v>
      </c>
      <c r="T42" s="21" t="s">
        <v>17</v>
      </c>
      <c r="U42" s="21" t="s">
        <v>438</v>
      </c>
      <c r="V42" s="21" t="s">
        <v>17</v>
      </c>
      <c r="W42" s="21" t="s">
        <v>439</v>
      </c>
      <c r="X42" s="21" t="s">
        <v>439</v>
      </c>
    </row>
    <row r="43" spans="1:24" ht="10.5" hidden="1" customHeight="1" x14ac:dyDescent="0.25">
      <c r="A43" s="20">
        <v>46024</v>
      </c>
      <c r="B43" s="21" t="str">
        <f t="shared" si="0"/>
        <v>02/01/2026NL300035</v>
      </c>
      <c r="C43" s="22" t="s">
        <v>463</v>
      </c>
      <c r="D43" s="22" t="s">
        <v>17</v>
      </c>
      <c r="E43" s="22" t="s">
        <v>431</v>
      </c>
      <c r="F43" s="21" t="s">
        <v>432</v>
      </c>
      <c r="G43" s="21" t="s">
        <v>433</v>
      </c>
      <c r="H43" s="21" t="s">
        <v>464</v>
      </c>
      <c r="I43" s="21" t="s">
        <v>383</v>
      </c>
      <c r="J43" s="21" t="s">
        <v>448</v>
      </c>
      <c r="K43" s="21" t="s">
        <v>442</v>
      </c>
      <c r="L43" s="23">
        <v>0.26</v>
      </c>
      <c r="M43" s="24">
        <v>25000</v>
      </c>
      <c r="N43" s="24">
        <v>0</v>
      </c>
      <c r="O43" s="25">
        <v>6500</v>
      </c>
      <c r="P43" s="25">
        <v>0</v>
      </c>
      <c r="Q43" s="24">
        <v>25000</v>
      </c>
      <c r="R43" s="21" t="s">
        <v>436</v>
      </c>
      <c r="S43" s="21" t="s">
        <v>437</v>
      </c>
      <c r="T43" s="21" t="s">
        <v>17</v>
      </c>
      <c r="U43" s="21" t="s">
        <v>438</v>
      </c>
      <c r="V43" s="21" t="s">
        <v>17</v>
      </c>
      <c r="W43" s="21" t="s">
        <v>439</v>
      </c>
      <c r="X43" s="21" t="s">
        <v>439</v>
      </c>
    </row>
    <row r="44" spans="1:24" ht="10.5" hidden="1" customHeight="1" x14ac:dyDescent="0.25">
      <c r="A44" s="20">
        <v>46024</v>
      </c>
      <c r="B44" s="21" t="str">
        <f t="shared" si="0"/>
        <v>02/01/2026NL300036</v>
      </c>
      <c r="C44" s="22" t="s">
        <v>463</v>
      </c>
      <c r="D44" s="22" t="s">
        <v>17</v>
      </c>
      <c r="E44" s="22" t="s">
        <v>431</v>
      </c>
      <c r="F44" s="21" t="s">
        <v>432</v>
      </c>
      <c r="G44" s="21" t="s">
        <v>433</v>
      </c>
      <c r="H44" s="21" t="s">
        <v>464</v>
      </c>
      <c r="I44" s="21" t="s">
        <v>380</v>
      </c>
      <c r="J44" s="21" t="s">
        <v>96</v>
      </c>
      <c r="K44" s="21" t="s">
        <v>442</v>
      </c>
      <c r="L44" s="23">
        <v>2</v>
      </c>
      <c r="M44" s="24">
        <v>47000</v>
      </c>
      <c r="N44" s="24">
        <v>0</v>
      </c>
      <c r="O44" s="25">
        <v>94000</v>
      </c>
      <c r="P44" s="25">
        <v>0</v>
      </c>
      <c r="Q44" s="24">
        <v>47000</v>
      </c>
      <c r="R44" s="21" t="s">
        <v>436</v>
      </c>
      <c r="S44" s="21" t="s">
        <v>437</v>
      </c>
      <c r="T44" s="21" t="s">
        <v>17</v>
      </c>
      <c r="U44" s="21" t="s">
        <v>438</v>
      </c>
      <c r="V44" s="21" t="s">
        <v>17</v>
      </c>
      <c r="W44" s="21" t="s">
        <v>439</v>
      </c>
      <c r="X44" s="21" t="s">
        <v>439</v>
      </c>
    </row>
    <row r="45" spans="1:24" ht="10.5" hidden="1" customHeight="1" x14ac:dyDescent="0.25">
      <c r="A45" s="20">
        <v>46024</v>
      </c>
      <c r="B45" s="21" t="str">
        <f t="shared" si="0"/>
        <v>02/01/2026NL300038</v>
      </c>
      <c r="C45" s="22" t="s">
        <v>463</v>
      </c>
      <c r="D45" s="22" t="s">
        <v>17</v>
      </c>
      <c r="E45" s="22" t="s">
        <v>431</v>
      </c>
      <c r="F45" s="21" t="s">
        <v>432</v>
      </c>
      <c r="G45" s="21" t="s">
        <v>433</v>
      </c>
      <c r="H45" s="21" t="s">
        <v>464</v>
      </c>
      <c r="I45" s="21" t="s">
        <v>217</v>
      </c>
      <c r="J45" s="21" t="s">
        <v>35</v>
      </c>
      <c r="K45" s="21" t="s">
        <v>442</v>
      </c>
      <c r="L45" s="23">
        <v>4</v>
      </c>
      <c r="M45" s="24">
        <v>32000</v>
      </c>
      <c r="N45" s="24">
        <v>0</v>
      </c>
      <c r="O45" s="25">
        <v>128000</v>
      </c>
      <c r="P45" s="25">
        <v>0</v>
      </c>
      <c r="Q45" s="24">
        <v>32000</v>
      </c>
      <c r="R45" s="21" t="s">
        <v>436</v>
      </c>
      <c r="S45" s="21" t="s">
        <v>437</v>
      </c>
      <c r="T45" s="21" t="s">
        <v>17</v>
      </c>
      <c r="U45" s="21" t="s">
        <v>438</v>
      </c>
      <c r="V45" s="21" t="s">
        <v>17</v>
      </c>
      <c r="W45" s="21" t="s">
        <v>439</v>
      </c>
      <c r="X45" s="21" t="s">
        <v>439</v>
      </c>
    </row>
    <row r="46" spans="1:24" ht="10.5" hidden="1" customHeight="1" x14ac:dyDescent="0.25">
      <c r="A46" s="20">
        <v>46024</v>
      </c>
      <c r="B46" s="21" t="str">
        <f t="shared" si="0"/>
        <v>02/01/2026NL300054</v>
      </c>
      <c r="C46" s="22" t="s">
        <v>463</v>
      </c>
      <c r="D46" s="22" t="s">
        <v>17</v>
      </c>
      <c r="E46" s="22" t="s">
        <v>431</v>
      </c>
      <c r="F46" s="21" t="s">
        <v>432</v>
      </c>
      <c r="G46" s="21" t="s">
        <v>433</v>
      </c>
      <c r="H46" s="21" t="s">
        <v>464</v>
      </c>
      <c r="I46" s="21" t="s">
        <v>216</v>
      </c>
      <c r="J46" s="21" t="s">
        <v>451</v>
      </c>
      <c r="K46" s="21" t="s">
        <v>442</v>
      </c>
      <c r="L46" s="23">
        <v>2.1</v>
      </c>
      <c r="M46" s="24">
        <v>38000</v>
      </c>
      <c r="N46" s="24">
        <v>0</v>
      </c>
      <c r="O46" s="25">
        <v>79800</v>
      </c>
      <c r="P46" s="25">
        <v>0</v>
      </c>
      <c r="Q46" s="24">
        <v>38000</v>
      </c>
      <c r="R46" s="21" t="s">
        <v>436</v>
      </c>
      <c r="S46" s="21" t="s">
        <v>437</v>
      </c>
      <c r="T46" s="21" t="s">
        <v>17</v>
      </c>
      <c r="U46" s="21" t="s">
        <v>438</v>
      </c>
      <c r="V46" s="21" t="s">
        <v>17</v>
      </c>
      <c r="W46" s="21" t="s">
        <v>439</v>
      </c>
      <c r="X46" s="21" t="s">
        <v>439</v>
      </c>
    </row>
    <row r="47" spans="1:24" ht="10.5" hidden="1" customHeight="1" x14ac:dyDescent="0.25">
      <c r="A47" s="20">
        <v>46024</v>
      </c>
      <c r="B47" s="21" t="str">
        <f t="shared" si="0"/>
        <v>02/01/2026NL300055</v>
      </c>
      <c r="C47" s="22" t="s">
        <v>463</v>
      </c>
      <c r="D47" s="22" t="s">
        <v>17</v>
      </c>
      <c r="E47" s="22" t="s">
        <v>431</v>
      </c>
      <c r="F47" s="21" t="s">
        <v>432</v>
      </c>
      <c r="G47" s="21" t="s">
        <v>433</v>
      </c>
      <c r="H47" s="21" t="s">
        <v>464</v>
      </c>
      <c r="I47" s="21" t="s">
        <v>230</v>
      </c>
      <c r="J47" s="21" t="s">
        <v>452</v>
      </c>
      <c r="K47" s="21" t="s">
        <v>442</v>
      </c>
      <c r="L47" s="23">
        <v>0.3</v>
      </c>
      <c r="M47" s="24">
        <v>80000</v>
      </c>
      <c r="N47" s="24">
        <v>0</v>
      </c>
      <c r="O47" s="25">
        <v>24000</v>
      </c>
      <c r="P47" s="25">
        <v>0</v>
      </c>
      <c r="Q47" s="24">
        <v>80000</v>
      </c>
      <c r="R47" s="21" t="s">
        <v>436</v>
      </c>
      <c r="S47" s="21" t="s">
        <v>437</v>
      </c>
      <c r="T47" s="21" t="s">
        <v>17</v>
      </c>
      <c r="U47" s="21" t="s">
        <v>438</v>
      </c>
      <c r="V47" s="21" t="s">
        <v>17</v>
      </c>
      <c r="W47" s="21" t="s">
        <v>439</v>
      </c>
      <c r="X47" s="21" t="s">
        <v>439</v>
      </c>
    </row>
    <row r="48" spans="1:24" ht="10.5" hidden="1" customHeight="1" x14ac:dyDescent="0.25">
      <c r="A48" s="20">
        <v>46024</v>
      </c>
      <c r="B48" s="21" t="str">
        <f t="shared" si="0"/>
        <v>02/01/2026NL300058</v>
      </c>
      <c r="C48" s="22" t="s">
        <v>463</v>
      </c>
      <c r="D48" s="22" t="s">
        <v>17</v>
      </c>
      <c r="E48" s="22" t="s">
        <v>431</v>
      </c>
      <c r="F48" s="21" t="s">
        <v>432</v>
      </c>
      <c r="G48" s="21" t="s">
        <v>433</v>
      </c>
      <c r="H48" s="21" t="s">
        <v>464</v>
      </c>
      <c r="I48" s="21" t="s">
        <v>228</v>
      </c>
      <c r="J48" s="21" t="s">
        <v>39</v>
      </c>
      <c r="K48" s="21" t="s">
        <v>442</v>
      </c>
      <c r="L48" s="23">
        <v>4</v>
      </c>
      <c r="M48" s="24">
        <v>55000</v>
      </c>
      <c r="N48" s="24">
        <v>0</v>
      </c>
      <c r="O48" s="25">
        <v>220000</v>
      </c>
      <c r="P48" s="25">
        <v>0</v>
      </c>
      <c r="Q48" s="24">
        <v>55000</v>
      </c>
      <c r="R48" s="21" t="s">
        <v>436</v>
      </c>
      <c r="S48" s="21" t="s">
        <v>437</v>
      </c>
      <c r="T48" s="21" t="s">
        <v>17</v>
      </c>
      <c r="U48" s="21" t="s">
        <v>438</v>
      </c>
      <c r="V48" s="21" t="s">
        <v>17</v>
      </c>
      <c r="W48" s="21" t="s">
        <v>439</v>
      </c>
      <c r="X48" s="21" t="s">
        <v>439</v>
      </c>
    </row>
    <row r="49" spans="1:24" ht="10.5" hidden="1" customHeight="1" x14ac:dyDescent="0.25">
      <c r="A49" s="20">
        <v>46024</v>
      </c>
      <c r="B49" s="21" t="str">
        <f t="shared" si="0"/>
        <v>02/01/2026NL300070</v>
      </c>
      <c r="C49" s="22" t="s">
        <v>463</v>
      </c>
      <c r="D49" s="22" t="s">
        <v>17</v>
      </c>
      <c r="E49" s="22" t="s">
        <v>431</v>
      </c>
      <c r="F49" s="21" t="s">
        <v>432</v>
      </c>
      <c r="G49" s="21" t="s">
        <v>433</v>
      </c>
      <c r="H49" s="21" t="s">
        <v>464</v>
      </c>
      <c r="I49" s="21" t="s">
        <v>345</v>
      </c>
      <c r="J49" s="21" t="s">
        <v>465</v>
      </c>
      <c r="K49" s="21" t="s">
        <v>442</v>
      </c>
      <c r="L49" s="23">
        <v>1</v>
      </c>
      <c r="M49" s="24">
        <v>23000</v>
      </c>
      <c r="N49" s="24">
        <v>0</v>
      </c>
      <c r="O49" s="25">
        <v>23000</v>
      </c>
      <c r="P49" s="25">
        <v>0</v>
      </c>
      <c r="Q49" s="24">
        <v>23000</v>
      </c>
      <c r="R49" s="21" t="s">
        <v>436</v>
      </c>
      <c r="S49" s="21" t="s">
        <v>437</v>
      </c>
      <c r="T49" s="21" t="s">
        <v>17</v>
      </c>
      <c r="U49" s="21" t="s">
        <v>438</v>
      </c>
      <c r="V49" s="21" t="s">
        <v>17</v>
      </c>
      <c r="W49" s="21" t="s">
        <v>439</v>
      </c>
      <c r="X49" s="21" t="s">
        <v>439</v>
      </c>
    </row>
    <row r="50" spans="1:24" ht="10.5" hidden="1" customHeight="1" x14ac:dyDescent="0.25">
      <c r="A50" s="20">
        <v>46024</v>
      </c>
      <c r="B50" s="21" t="str">
        <f t="shared" si="0"/>
        <v>02/01/2026NL300073</v>
      </c>
      <c r="C50" s="22" t="s">
        <v>463</v>
      </c>
      <c r="D50" s="22" t="s">
        <v>17</v>
      </c>
      <c r="E50" s="22" t="s">
        <v>431</v>
      </c>
      <c r="F50" s="21" t="s">
        <v>432</v>
      </c>
      <c r="G50" s="21" t="s">
        <v>433</v>
      </c>
      <c r="H50" s="21" t="s">
        <v>464</v>
      </c>
      <c r="I50" s="21" t="s">
        <v>241</v>
      </c>
      <c r="J50" s="21" t="s">
        <v>43</v>
      </c>
      <c r="K50" s="21" t="s">
        <v>442</v>
      </c>
      <c r="L50" s="23">
        <v>0.1</v>
      </c>
      <c r="M50" s="24">
        <v>42000</v>
      </c>
      <c r="N50" s="24">
        <v>0</v>
      </c>
      <c r="O50" s="25">
        <v>4200</v>
      </c>
      <c r="P50" s="25">
        <v>0</v>
      </c>
      <c r="Q50" s="24">
        <v>42000</v>
      </c>
      <c r="R50" s="21" t="s">
        <v>436</v>
      </c>
      <c r="S50" s="21" t="s">
        <v>437</v>
      </c>
      <c r="T50" s="21" t="s">
        <v>17</v>
      </c>
      <c r="U50" s="21" t="s">
        <v>438</v>
      </c>
      <c r="V50" s="21" t="s">
        <v>17</v>
      </c>
      <c r="W50" s="21" t="s">
        <v>439</v>
      </c>
      <c r="X50" s="21" t="s">
        <v>439</v>
      </c>
    </row>
    <row r="51" spans="1:24" ht="10.5" hidden="1" customHeight="1" x14ac:dyDescent="0.25">
      <c r="A51" s="20">
        <v>46024</v>
      </c>
      <c r="B51" s="21" t="str">
        <f t="shared" si="0"/>
        <v>02/01/2026NL300085</v>
      </c>
      <c r="C51" s="22" t="s">
        <v>463</v>
      </c>
      <c r="D51" s="22" t="s">
        <v>17</v>
      </c>
      <c r="E51" s="22" t="s">
        <v>431</v>
      </c>
      <c r="F51" s="21" t="s">
        <v>432</v>
      </c>
      <c r="G51" s="21" t="s">
        <v>433</v>
      </c>
      <c r="H51" s="21" t="s">
        <v>464</v>
      </c>
      <c r="I51" s="21" t="s">
        <v>263</v>
      </c>
      <c r="J51" s="21" t="s">
        <v>453</v>
      </c>
      <c r="K51" s="21" t="s">
        <v>442</v>
      </c>
      <c r="L51" s="23">
        <v>2.5</v>
      </c>
      <c r="M51" s="24">
        <v>45000</v>
      </c>
      <c r="N51" s="24">
        <v>0</v>
      </c>
      <c r="O51" s="25">
        <v>112500</v>
      </c>
      <c r="P51" s="25">
        <v>0</v>
      </c>
      <c r="Q51" s="24">
        <v>45000</v>
      </c>
      <c r="R51" s="21" t="s">
        <v>436</v>
      </c>
      <c r="S51" s="21" t="s">
        <v>437</v>
      </c>
      <c r="T51" s="21" t="s">
        <v>17</v>
      </c>
      <c r="U51" s="21" t="s">
        <v>438</v>
      </c>
      <c r="V51" s="21" t="s">
        <v>17</v>
      </c>
      <c r="W51" s="21" t="s">
        <v>439</v>
      </c>
      <c r="X51" s="21" t="s">
        <v>439</v>
      </c>
    </row>
    <row r="52" spans="1:24" ht="10.5" hidden="1" customHeight="1" x14ac:dyDescent="0.25">
      <c r="A52" s="20">
        <v>46024</v>
      </c>
      <c r="B52" s="21" t="str">
        <f t="shared" si="0"/>
        <v>02/01/2026NL300088</v>
      </c>
      <c r="C52" s="22" t="s">
        <v>463</v>
      </c>
      <c r="D52" s="22" t="s">
        <v>17</v>
      </c>
      <c r="E52" s="22" t="s">
        <v>431</v>
      </c>
      <c r="F52" s="21" t="s">
        <v>432</v>
      </c>
      <c r="G52" s="21" t="s">
        <v>433</v>
      </c>
      <c r="H52" s="21" t="s">
        <v>464</v>
      </c>
      <c r="I52" s="21" t="s">
        <v>254</v>
      </c>
      <c r="J52" s="21" t="s">
        <v>15</v>
      </c>
      <c r="K52" s="21" t="s">
        <v>442</v>
      </c>
      <c r="L52" s="23">
        <v>8</v>
      </c>
      <c r="M52" s="24">
        <v>27000</v>
      </c>
      <c r="N52" s="24">
        <v>0</v>
      </c>
      <c r="O52" s="25">
        <v>216000</v>
      </c>
      <c r="P52" s="25">
        <v>0</v>
      </c>
      <c r="Q52" s="24">
        <v>27000</v>
      </c>
      <c r="R52" s="21" t="s">
        <v>436</v>
      </c>
      <c r="S52" s="21" t="s">
        <v>437</v>
      </c>
      <c r="T52" s="21" t="s">
        <v>17</v>
      </c>
      <c r="U52" s="21" t="s">
        <v>438</v>
      </c>
      <c r="V52" s="21" t="s">
        <v>17</v>
      </c>
      <c r="W52" s="21" t="s">
        <v>439</v>
      </c>
      <c r="X52" s="21" t="s">
        <v>439</v>
      </c>
    </row>
    <row r="53" spans="1:24" ht="10.5" hidden="1" customHeight="1" x14ac:dyDescent="0.25">
      <c r="A53" s="20">
        <v>46024</v>
      </c>
      <c r="B53" s="21" t="str">
        <f t="shared" si="0"/>
        <v>02/01/2026NL300090</v>
      </c>
      <c r="C53" s="22" t="s">
        <v>463</v>
      </c>
      <c r="D53" s="22" t="s">
        <v>17</v>
      </c>
      <c r="E53" s="22" t="s">
        <v>431</v>
      </c>
      <c r="F53" s="21" t="s">
        <v>432</v>
      </c>
      <c r="G53" s="21" t="s">
        <v>433</v>
      </c>
      <c r="H53" s="21" t="s">
        <v>464</v>
      </c>
      <c r="I53" s="21" t="s">
        <v>255</v>
      </c>
      <c r="J53" s="21" t="s">
        <v>70</v>
      </c>
      <c r="K53" s="21" t="s">
        <v>442</v>
      </c>
      <c r="L53" s="23">
        <v>6.5</v>
      </c>
      <c r="M53" s="24">
        <v>145000</v>
      </c>
      <c r="N53" s="24">
        <v>0</v>
      </c>
      <c r="O53" s="25">
        <v>942500</v>
      </c>
      <c r="P53" s="25">
        <v>0</v>
      </c>
      <c r="Q53" s="24">
        <v>145000</v>
      </c>
      <c r="R53" s="21" t="s">
        <v>436</v>
      </c>
      <c r="S53" s="21" t="s">
        <v>437</v>
      </c>
      <c r="T53" s="21" t="s">
        <v>17</v>
      </c>
      <c r="U53" s="21" t="s">
        <v>438</v>
      </c>
      <c r="V53" s="21" t="s">
        <v>17</v>
      </c>
      <c r="W53" s="21" t="s">
        <v>439</v>
      </c>
      <c r="X53" s="21" t="s">
        <v>439</v>
      </c>
    </row>
    <row r="54" spans="1:24" ht="10.5" hidden="1" customHeight="1" x14ac:dyDescent="0.25">
      <c r="A54" s="20">
        <v>46024</v>
      </c>
      <c r="B54" s="21" t="str">
        <f t="shared" si="0"/>
        <v>02/01/2026NL300091</v>
      </c>
      <c r="C54" s="22" t="s">
        <v>463</v>
      </c>
      <c r="D54" s="22" t="s">
        <v>17</v>
      </c>
      <c r="E54" s="22" t="s">
        <v>431</v>
      </c>
      <c r="F54" s="21" t="s">
        <v>432</v>
      </c>
      <c r="G54" s="21" t="s">
        <v>433</v>
      </c>
      <c r="H54" s="21" t="s">
        <v>464</v>
      </c>
      <c r="I54" s="21" t="s">
        <v>256</v>
      </c>
      <c r="J54" s="21" t="s">
        <v>72</v>
      </c>
      <c r="K54" s="21" t="s">
        <v>442</v>
      </c>
      <c r="L54" s="23">
        <v>4</v>
      </c>
      <c r="M54" s="24">
        <v>47000</v>
      </c>
      <c r="N54" s="24">
        <v>0</v>
      </c>
      <c r="O54" s="25">
        <v>188000</v>
      </c>
      <c r="P54" s="25">
        <v>0</v>
      </c>
      <c r="Q54" s="24">
        <v>47000</v>
      </c>
      <c r="R54" s="21" t="s">
        <v>436</v>
      </c>
      <c r="S54" s="21" t="s">
        <v>437</v>
      </c>
      <c r="T54" s="21" t="s">
        <v>17</v>
      </c>
      <c r="U54" s="21" t="s">
        <v>438</v>
      </c>
      <c r="V54" s="21" t="s">
        <v>17</v>
      </c>
      <c r="W54" s="21" t="s">
        <v>439</v>
      </c>
      <c r="X54" s="21" t="s">
        <v>439</v>
      </c>
    </row>
    <row r="55" spans="1:24" ht="10.5" hidden="1" customHeight="1" x14ac:dyDescent="0.25">
      <c r="A55" s="20">
        <v>46024</v>
      </c>
      <c r="B55" s="21" t="str">
        <f t="shared" si="0"/>
        <v>02/01/2026NL300092</v>
      </c>
      <c r="C55" s="22" t="s">
        <v>463</v>
      </c>
      <c r="D55" s="22" t="s">
        <v>17</v>
      </c>
      <c r="E55" s="22" t="s">
        <v>431</v>
      </c>
      <c r="F55" s="21" t="s">
        <v>432</v>
      </c>
      <c r="G55" s="21" t="s">
        <v>433</v>
      </c>
      <c r="H55" s="21" t="s">
        <v>464</v>
      </c>
      <c r="I55" s="21" t="s">
        <v>329</v>
      </c>
      <c r="J55" s="21" t="s">
        <v>74</v>
      </c>
      <c r="K55" s="21" t="s">
        <v>442</v>
      </c>
      <c r="L55" s="23">
        <v>1.5</v>
      </c>
      <c r="M55" s="24">
        <v>90000</v>
      </c>
      <c r="N55" s="24">
        <v>0</v>
      </c>
      <c r="O55" s="25">
        <v>135000</v>
      </c>
      <c r="P55" s="25">
        <v>0</v>
      </c>
      <c r="Q55" s="24">
        <v>90000</v>
      </c>
      <c r="R55" s="21" t="s">
        <v>436</v>
      </c>
      <c r="S55" s="21" t="s">
        <v>437</v>
      </c>
      <c r="T55" s="21" t="s">
        <v>17</v>
      </c>
      <c r="U55" s="21" t="s">
        <v>438</v>
      </c>
      <c r="V55" s="21" t="s">
        <v>17</v>
      </c>
      <c r="W55" s="21" t="s">
        <v>439</v>
      </c>
      <c r="X55" s="21" t="s">
        <v>439</v>
      </c>
    </row>
    <row r="56" spans="1:24" ht="10.5" hidden="1" customHeight="1" x14ac:dyDescent="0.25">
      <c r="A56" s="20">
        <v>46024</v>
      </c>
      <c r="B56" s="21" t="str">
        <f t="shared" si="0"/>
        <v>02/01/2026NL300094</v>
      </c>
      <c r="C56" s="22" t="s">
        <v>463</v>
      </c>
      <c r="D56" s="22" t="s">
        <v>17</v>
      </c>
      <c r="E56" s="22" t="s">
        <v>431</v>
      </c>
      <c r="F56" s="21" t="s">
        <v>432</v>
      </c>
      <c r="G56" s="21" t="s">
        <v>433</v>
      </c>
      <c r="H56" s="21" t="s">
        <v>464</v>
      </c>
      <c r="I56" s="21" t="s">
        <v>257</v>
      </c>
      <c r="J56" s="21" t="s">
        <v>454</v>
      </c>
      <c r="K56" s="21" t="s">
        <v>442</v>
      </c>
      <c r="L56" s="23">
        <v>1.8</v>
      </c>
      <c r="M56" s="24">
        <v>80000</v>
      </c>
      <c r="N56" s="24">
        <v>0</v>
      </c>
      <c r="O56" s="25">
        <v>144000</v>
      </c>
      <c r="P56" s="25">
        <v>0</v>
      </c>
      <c r="Q56" s="24">
        <v>80000</v>
      </c>
      <c r="R56" s="21" t="s">
        <v>436</v>
      </c>
      <c r="S56" s="21" t="s">
        <v>437</v>
      </c>
      <c r="T56" s="21" t="s">
        <v>17</v>
      </c>
      <c r="U56" s="21" t="s">
        <v>438</v>
      </c>
      <c r="V56" s="21" t="s">
        <v>17</v>
      </c>
      <c r="W56" s="21" t="s">
        <v>439</v>
      </c>
      <c r="X56" s="21" t="s">
        <v>439</v>
      </c>
    </row>
    <row r="57" spans="1:24" ht="10.5" hidden="1" customHeight="1" x14ac:dyDescent="0.25">
      <c r="A57" s="20">
        <v>46024</v>
      </c>
      <c r="B57" s="21" t="str">
        <f t="shared" si="0"/>
        <v>02/01/2026NL300096</v>
      </c>
      <c r="C57" s="22" t="s">
        <v>463</v>
      </c>
      <c r="D57" s="22" t="s">
        <v>17</v>
      </c>
      <c r="E57" s="22" t="s">
        <v>431</v>
      </c>
      <c r="F57" s="21" t="s">
        <v>432</v>
      </c>
      <c r="G57" s="21" t="s">
        <v>433</v>
      </c>
      <c r="H57" s="21" t="s">
        <v>464</v>
      </c>
      <c r="I57" s="21" t="s">
        <v>258</v>
      </c>
      <c r="J57" s="21" t="s">
        <v>45</v>
      </c>
      <c r="K57" s="21" t="s">
        <v>442</v>
      </c>
      <c r="L57" s="23">
        <v>7.4</v>
      </c>
      <c r="M57" s="24">
        <v>45000</v>
      </c>
      <c r="N57" s="24">
        <v>0</v>
      </c>
      <c r="O57" s="25">
        <v>333000</v>
      </c>
      <c r="P57" s="25">
        <v>0</v>
      </c>
      <c r="Q57" s="24">
        <v>45000</v>
      </c>
      <c r="R57" s="21" t="s">
        <v>436</v>
      </c>
      <c r="S57" s="21" t="s">
        <v>437</v>
      </c>
      <c r="T57" s="21" t="s">
        <v>17</v>
      </c>
      <c r="U57" s="21" t="s">
        <v>438</v>
      </c>
      <c r="V57" s="21" t="s">
        <v>17</v>
      </c>
      <c r="W57" s="21" t="s">
        <v>439</v>
      </c>
      <c r="X57" s="21" t="s">
        <v>439</v>
      </c>
    </row>
    <row r="58" spans="1:24" ht="10.5" hidden="1" customHeight="1" x14ac:dyDescent="0.25">
      <c r="A58" s="20">
        <v>46024</v>
      </c>
      <c r="B58" s="21" t="str">
        <f t="shared" si="0"/>
        <v>02/01/2026NL300107</v>
      </c>
      <c r="C58" s="22" t="s">
        <v>463</v>
      </c>
      <c r="D58" s="22" t="s">
        <v>17</v>
      </c>
      <c r="E58" s="22" t="s">
        <v>431</v>
      </c>
      <c r="F58" s="21" t="s">
        <v>432</v>
      </c>
      <c r="G58" s="21" t="s">
        <v>433</v>
      </c>
      <c r="H58" s="21" t="s">
        <v>464</v>
      </c>
      <c r="I58" s="21" t="s">
        <v>193</v>
      </c>
      <c r="J58" s="21" t="s">
        <v>455</v>
      </c>
      <c r="K58" s="21" t="s">
        <v>450</v>
      </c>
      <c r="L58" s="23">
        <v>23</v>
      </c>
      <c r="M58" s="24">
        <v>8500</v>
      </c>
      <c r="N58" s="24">
        <v>0</v>
      </c>
      <c r="O58" s="25">
        <v>195500</v>
      </c>
      <c r="P58" s="25">
        <v>0</v>
      </c>
      <c r="Q58" s="24">
        <v>8500</v>
      </c>
      <c r="R58" s="21" t="s">
        <v>436</v>
      </c>
      <c r="S58" s="21" t="s">
        <v>437</v>
      </c>
      <c r="T58" s="21" t="s">
        <v>17</v>
      </c>
      <c r="U58" s="21" t="s">
        <v>438</v>
      </c>
      <c r="V58" s="21" t="s">
        <v>17</v>
      </c>
      <c r="W58" s="21" t="s">
        <v>439</v>
      </c>
      <c r="X58" s="21" t="s">
        <v>439</v>
      </c>
    </row>
    <row r="59" spans="1:24" ht="10.5" hidden="1" customHeight="1" x14ac:dyDescent="0.25">
      <c r="A59" s="20">
        <v>46024</v>
      </c>
      <c r="B59" s="21" t="str">
        <f t="shared" si="0"/>
        <v>02/01/2026NL300113</v>
      </c>
      <c r="C59" s="22" t="s">
        <v>463</v>
      </c>
      <c r="D59" s="22" t="s">
        <v>17</v>
      </c>
      <c r="E59" s="22" t="s">
        <v>431</v>
      </c>
      <c r="F59" s="21" t="s">
        <v>432</v>
      </c>
      <c r="G59" s="21" t="s">
        <v>433</v>
      </c>
      <c r="H59" s="21" t="s">
        <v>464</v>
      </c>
      <c r="I59" s="21" t="s">
        <v>271</v>
      </c>
      <c r="J59" s="21" t="s">
        <v>103</v>
      </c>
      <c r="K59" s="21" t="s">
        <v>442</v>
      </c>
      <c r="L59" s="23">
        <v>2</v>
      </c>
      <c r="M59" s="24">
        <v>145000</v>
      </c>
      <c r="N59" s="24">
        <v>0</v>
      </c>
      <c r="O59" s="25">
        <v>290000</v>
      </c>
      <c r="P59" s="25">
        <v>0</v>
      </c>
      <c r="Q59" s="24">
        <v>145000</v>
      </c>
      <c r="R59" s="21" t="s">
        <v>436</v>
      </c>
      <c r="S59" s="21" t="s">
        <v>437</v>
      </c>
      <c r="T59" s="21" t="s">
        <v>17</v>
      </c>
      <c r="U59" s="21" t="s">
        <v>438</v>
      </c>
      <c r="V59" s="21" t="s">
        <v>17</v>
      </c>
      <c r="W59" s="21" t="s">
        <v>439</v>
      </c>
      <c r="X59" s="21" t="s">
        <v>439</v>
      </c>
    </row>
    <row r="60" spans="1:24" ht="10.5" hidden="1" customHeight="1" x14ac:dyDescent="0.25">
      <c r="A60" s="20">
        <v>46024</v>
      </c>
      <c r="B60" s="21" t="str">
        <f t="shared" si="0"/>
        <v>02/01/2026NL300116</v>
      </c>
      <c r="C60" s="22" t="s">
        <v>463</v>
      </c>
      <c r="D60" s="22" t="s">
        <v>17</v>
      </c>
      <c r="E60" s="22" t="s">
        <v>431</v>
      </c>
      <c r="F60" s="21" t="s">
        <v>432</v>
      </c>
      <c r="G60" s="21" t="s">
        <v>433</v>
      </c>
      <c r="H60" s="21" t="s">
        <v>464</v>
      </c>
      <c r="I60" s="21" t="s">
        <v>315</v>
      </c>
      <c r="J60" s="21" t="s">
        <v>456</v>
      </c>
      <c r="K60" s="21" t="s">
        <v>442</v>
      </c>
      <c r="L60" s="23">
        <v>0.5</v>
      </c>
      <c r="M60" s="24">
        <v>148000</v>
      </c>
      <c r="N60" s="24">
        <v>0</v>
      </c>
      <c r="O60" s="25">
        <v>74000</v>
      </c>
      <c r="P60" s="25">
        <v>0</v>
      </c>
      <c r="Q60" s="24">
        <v>148000</v>
      </c>
      <c r="R60" s="21" t="s">
        <v>436</v>
      </c>
      <c r="S60" s="21" t="s">
        <v>437</v>
      </c>
      <c r="T60" s="21" t="s">
        <v>17</v>
      </c>
      <c r="U60" s="21" t="s">
        <v>438</v>
      </c>
      <c r="V60" s="21" t="s">
        <v>17</v>
      </c>
      <c r="W60" s="21" t="s">
        <v>439</v>
      </c>
      <c r="X60" s="21" t="s">
        <v>439</v>
      </c>
    </row>
    <row r="61" spans="1:24" ht="10.5" hidden="1" customHeight="1" x14ac:dyDescent="0.25">
      <c r="A61" s="20">
        <v>46024</v>
      </c>
      <c r="B61" s="21" t="str">
        <f t="shared" si="0"/>
        <v>02/01/2026NL300126</v>
      </c>
      <c r="C61" s="22" t="s">
        <v>463</v>
      </c>
      <c r="D61" s="22" t="s">
        <v>17</v>
      </c>
      <c r="E61" s="22" t="s">
        <v>431</v>
      </c>
      <c r="F61" s="21" t="s">
        <v>432</v>
      </c>
      <c r="G61" s="21" t="s">
        <v>433</v>
      </c>
      <c r="H61" s="21" t="s">
        <v>464</v>
      </c>
      <c r="I61" s="21" t="s">
        <v>264</v>
      </c>
      <c r="J61" s="21" t="s">
        <v>457</v>
      </c>
      <c r="K61" s="21" t="s">
        <v>442</v>
      </c>
      <c r="L61" s="23">
        <v>0.1</v>
      </c>
      <c r="M61" s="24">
        <v>70000</v>
      </c>
      <c r="N61" s="24">
        <v>0</v>
      </c>
      <c r="O61" s="25">
        <v>7000</v>
      </c>
      <c r="P61" s="25">
        <v>0</v>
      </c>
      <c r="Q61" s="24">
        <v>70000</v>
      </c>
      <c r="R61" s="21" t="s">
        <v>436</v>
      </c>
      <c r="S61" s="21" t="s">
        <v>437</v>
      </c>
      <c r="T61" s="21" t="s">
        <v>17</v>
      </c>
      <c r="U61" s="21" t="s">
        <v>438</v>
      </c>
      <c r="V61" s="21" t="s">
        <v>17</v>
      </c>
      <c r="W61" s="21" t="s">
        <v>439</v>
      </c>
      <c r="X61" s="21" t="s">
        <v>439</v>
      </c>
    </row>
    <row r="62" spans="1:24" ht="10.5" hidden="1" customHeight="1" x14ac:dyDescent="0.25">
      <c r="A62" s="20">
        <v>46024</v>
      </c>
      <c r="B62" s="21" t="str">
        <f t="shared" si="0"/>
        <v>02/01/2026NL300132</v>
      </c>
      <c r="C62" s="22" t="s">
        <v>463</v>
      </c>
      <c r="D62" s="22" t="s">
        <v>17</v>
      </c>
      <c r="E62" s="22" t="s">
        <v>431</v>
      </c>
      <c r="F62" s="21" t="s">
        <v>432</v>
      </c>
      <c r="G62" s="21" t="s">
        <v>433</v>
      </c>
      <c r="H62" s="21" t="s">
        <v>464</v>
      </c>
      <c r="I62" s="21" t="s">
        <v>285</v>
      </c>
      <c r="J62" s="21" t="s">
        <v>82</v>
      </c>
      <c r="K62" s="21" t="s">
        <v>442</v>
      </c>
      <c r="L62" s="23">
        <v>1</v>
      </c>
      <c r="M62" s="24">
        <v>12000</v>
      </c>
      <c r="N62" s="24">
        <v>0</v>
      </c>
      <c r="O62" s="25">
        <v>12000</v>
      </c>
      <c r="P62" s="25">
        <v>0</v>
      </c>
      <c r="Q62" s="24">
        <v>12000</v>
      </c>
      <c r="R62" s="21" t="s">
        <v>436</v>
      </c>
      <c r="S62" s="21" t="s">
        <v>437</v>
      </c>
      <c r="T62" s="21" t="s">
        <v>17</v>
      </c>
      <c r="U62" s="21" t="s">
        <v>438</v>
      </c>
      <c r="V62" s="21" t="s">
        <v>17</v>
      </c>
      <c r="W62" s="21" t="s">
        <v>439</v>
      </c>
      <c r="X62" s="21" t="s">
        <v>439</v>
      </c>
    </row>
    <row r="63" spans="1:24" ht="10.5" hidden="1" customHeight="1" x14ac:dyDescent="0.25">
      <c r="A63" s="20">
        <v>46024</v>
      </c>
      <c r="B63" s="21" t="str">
        <f t="shared" si="0"/>
        <v>02/01/2026NL300137</v>
      </c>
      <c r="C63" s="22" t="s">
        <v>463</v>
      </c>
      <c r="D63" s="22" t="s">
        <v>17</v>
      </c>
      <c r="E63" s="22" t="s">
        <v>431</v>
      </c>
      <c r="F63" s="21" t="s">
        <v>432</v>
      </c>
      <c r="G63" s="21" t="s">
        <v>433</v>
      </c>
      <c r="H63" s="21" t="s">
        <v>464</v>
      </c>
      <c r="I63" s="21" t="s">
        <v>196</v>
      </c>
      <c r="J63" s="21" t="s">
        <v>458</v>
      </c>
      <c r="K63" s="21" t="s">
        <v>442</v>
      </c>
      <c r="L63" s="23">
        <v>3</v>
      </c>
      <c r="M63" s="24">
        <v>52000</v>
      </c>
      <c r="N63" s="24">
        <v>0</v>
      </c>
      <c r="O63" s="25">
        <v>156000</v>
      </c>
      <c r="P63" s="25">
        <v>0</v>
      </c>
      <c r="Q63" s="24">
        <v>52000</v>
      </c>
      <c r="R63" s="21" t="s">
        <v>436</v>
      </c>
      <c r="S63" s="21" t="s">
        <v>437</v>
      </c>
      <c r="T63" s="21" t="s">
        <v>17</v>
      </c>
      <c r="U63" s="21" t="s">
        <v>438</v>
      </c>
      <c r="V63" s="21" t="s">
        <v>17</v>
      </c>
      <c r="W63" s="21" t="s">
        <v>439</v>
      </c>
      <c r="X63" s="21" t="s">
        <v>439</v>
      </c>
    </row>
    <row r="64" spans="1:24" ht="10.5" hidden="1" customHeight="1" x14ac:dyDescent="0.25">
      <c r="A64" s="20">
        <v>46024</v>
      </c>
      <c r="B64" s="21" t="str">
        <f t="shared" si="0"/>
        <v>02/01/2026NL300147</v>
      </c>
      <c r="C64" s="22" t="s">
        <v>463</v>
      </c>
      <c r="D64" s="22" t="s">
        <v>17</v>
      </c>
      <c r="E64" s="22" t="s">
        <v>431</v>
      </c>
      <c r="F64" s="21" t="s">
        <v>432</v>
      </c>
      <c r="G64" s="21" t="s">
        <v>433</v>
      </c>
      <c r="H64" s="21" t="s">
        <v>464</v>
      </c>
      <c r="I64" s="21" t="s">
        <v>300</v>
      </c>
      <c r="J64" s="21" t="s">
        <v>459</v>
      </c>
      <c r="K64" s="21" t="s">
        <v>442</v>
      </c>
      <c r="L64" s="23">
        <v>5.5</v>
      </c>
      <c r="M64" s="24">
        <v>62000</v>
      </c>
      <c r="N64" s="24">
        <v>0</v>
      </c>
      <c r="O64" s="25">
        <v>341000</v>
      </c>
      <c r="P64" s="25">
        <v>0</v>
      </c>
      <c r="Q64" s="24">
        <v>62000</v>
      </c>
      <c r="R64" s="21" t="s">
        <v>436</v>
      </c>
      <c r="S64" s="21" t="s">
        <v>437</v>
      </c>
      <c r="T64" s="21" t="s">
        <v>17</v>
      </c>
      <c r="U64" s="21" t="s">
        <v>438</v>
      </c>
      <c r="V64" s="21" t="s">
        <v>17</v>
      </c>
      <c r="W64" s="21" t="s">
        <v>439</v>
      </c>
      <c r="X64" s="21" t="s">
        <v>439</v>
      </c>
    </row>
    <row r="65" spans="1:24" ht="10.5" hidden="1" customHeight="1" x14ac:dyDescent="0.25">
      <c r="A65" s="20">
        <v>46024</v>
      </c>
      <c r="B65" s="21" t="str">
        <f t="shared" si="0"/>
        <v>02/01/2026NL300189</v>
      </c>
      <c r="C65" s="22" t="s">
        <v>463</v>
      </c>
      <c r="D65" s="22" t="s">
        <v>17</v>
      </c>
      <c r="E65" s="22" t="s">
        <v>431</v>
      </c>
      <c r="F65" s="21" t="s">
        <v>432</v>
      </c>
      <c r="G65" s="21" t="s">
        <v>433</v>
      </c>
      <c r="H65" s="21" t="s">
        <v>464</v>
      </c>
      <c r="I65" s="21" t="s">
        <v>378</v>
      </c>
      <c r="J65" s="21" t="s">
        <v>19</v>
      </c>
      <c r="K65" s="21" t="s">
        <v>442</v>
      </c>
      <c r="L65" s="23">
        <v>3</v>
      </c>
      <c r="M65" s="24">
        <v>15000</v>
      </c>
      <c r="N65" s="24">
        <v>0</v>
      </c>
      <c r="O65" s="25">
        <v>45000</v>
      </c>
      <c r="P65" s="25">
        <v>0</v>
      </c>
      <c r="Q65" s="24">
        <v>15000</v>
      </c>
      <c r="R65" s="21" t="s">
        <v>436</v>
      </c>
      <c r="S65" s="21" t="s">
        <v>437</v>
      </c>
      <c r="T65" s="21" t="s">
        <v>17</v>
      </c>
      <c r="U65" s="21" t="s">
        <v>438</v>
      </c>
      <c r="V65" s="21" t="s">
        <v>17</v>
      </c>
      <c r="W65" s="21" t="s">
        <v>439</v>
      </c>
      <c r="X65" s="21" t="s">
        <v>439</v>
      </c>
    </row>
    <row r="66" spans="1:24" ht="10.5" hidden="1" customHeight="1" x14ac:dyDescent="0.25">
      <c r="A66" s="20">
        <v>46024</v>
      </c>
      <c r="B66" s="21" t="str">
        <f t="shared" si="0"/>
        <v>02/01/2026NL300119</v>
      </c>
      <c r="C66" s="22" t="s">
        <v>463</v>
      </c>
      <c r="D66" s="22" t="s">
        <v>17</v>
      </c>
      <c r="E66" s="22" t="s">
        <v>431</v>
      </c>
      <c r="F66" s="21" t="s">
        <v>432</v>
      </c>
      <c r="G66" s="21" t="s">
        <v>433</v>
      </c>
      <c r="H66" s="21" t="s">
        <v>464</v>
      </c>
      <c r="I66" s="21" t="s">
        <v>310</v>
      </c>
      <c r="J66" s="21" t="s">
        <v>460</v>
      </c>
      <c r="K66" s="21" t="s">
        <v>442</v>
      </c>
      <c r="L66" s="23">
        <v>3</v>
      </c>
      <c r="M66" s="24">
        <v>21000</v>
      </c>
      <c r="N66" s="24">
        <v>0</v>
      </c>
      <c r="O66" s="25">
        <v>63000</v>
      </c>
      <c r="P66" s="25">
        <v>0</v>
      </c>
      <c r="Q66" s="24">
        <v>21000</v>
      </c>
      <c r="R66" s="21" t="s">
        <v>436</v>
      </c>
      <c r="S66" s="21" t="s">
        <v>437</v>
      </c>
      <c r="T66" s="21" t="s">
        <v>17</v>
      </c>
      <c r="U66" s="21" t="s">
        <v>438</v>
      </c>
      <c r="V66" s="21" t="s">
        <v>17</v>
      </c>
      <c r="W66" s="21" t="s">
        <v>439</v>
      </c>
      <c r="X66" s="21" t="s">
        <v>439</v>
      </c>
    </row>
    <row r="67" spans="1:24" ht="10.5" hidden="1" customHeight="1" x14ac:dyDescent="0.25">
      <c r="A67" s="20">
        <v>46024</v>
      </c>
      <c r="B67" s="21" t="str">
        <f t="shared" ref="B67:B130" si="1">"0"&amp;DAY(A67)&amp;"/01/2026"&amp;I67</f>
        <v>02/01/2026NL300140</v>
      </c>
      <c r="C67" s="22" t="s">
        <v>463</v>
      </c>
      <c r="D67" s="22" t="s">
        <v>17</v>
      </c>
      <c r="E67" s="22" t="s">
        <v>431</v>
      </c>
      <c r="F67" s="21" t="s">
        <v>432</v>
      </c>
      <c r="G67" s="21" t="s">
        <v>433</v>
      </c>
      <c r="H67" s="21" t="s">
        <v>464</v>
      </c>
      <c r="I67" s="21" t="s">
        <v>282</v>
      </c>
      <c r="J67" s="21" t="s">
        <v>461</v>
      </c>
      <c r="K67" s="21" t="s">
        <v>442</v>
      </c>
      <c r="L67" s="23">
        <v>0.3</v>
      </c>
      <c r="M67" s="24">
        <v>36000</v>
      </c>
      <c r="N67" s="24">
        <v>0</v>
      </c>
      <c r="O67" s="25">
        <v>10800</v>
      </c>
      <c r="P67" s="25">
        <v>0</v>
      </c>
      <c r="Q67" s="24">
        <v>36000</v>
      </c>
      <c r="R67" s="21" t="s">
        <v>436</v>
      </c>
      <c r="S67" s="21" t="s">
        <v>437</v>
      </c>
      <c r="T67" s="21" t="s">
        <v>17</v>
      </c>
      <c r="U67" s="21" t="s">
        <v>438</v>
      </c>
      <c r="V67" s="21" t="s">
        <v>17</v>
      </c>
      <c r="W67" s="21" t="s">
        <v>439</v>
      </c>
      <c r="X67" s="21" t="s">
        <v>439</v>
      </c>
    </row>
    <row r="68" spans="1:24" ht="10.5" hidden="1" customHeight="1" x14ac:dyDescent="0.25">
      <c r="A68" s="20">
        <v>46024</v>
      </c>
      <c r="B68" s="21" t="str">
        <f t="shared" si="1"/>
        <v>02/01/2026NL100101</v>
      </c>
      <c r="C68" s="22" t="s">
        <v>463</v>
      </c>
      <c r="D68" s="22" t="s">
        <v>17</v>
      </c>
      <c r="E68" s="22" t="s">
        <v>431</v>
      </c>
      <c r="F68" s="21" t="s">
        <v>432</v>
      </c>
      <c r="G68" s="21" t="s">
        <v>433</v>
      </c>
      <c r="H68" s="21" t="s">
        <v>464</v>
      </c>
      <c r="I68" s="21" t="s">
        <v>344</v>
      </c>
      <c r="J68" s="21" t="s">
        <v>107</v>
      </c>
      <c r="K68" s="21" t="s">
        <v>435</v>
      </c>
      <c r="L68" s="23">
        <v>70</v>
      </c>
      <c r="M68" s="24">
        <v>5000</v>
      </c>
      <c r="N68" s="24">
        <v>0</v>
      </c>
      <c r="O68" s="25">
        <v>350000</v>
      </c>
      <c r="P68" s="25">
        <v>0</v>
      </c>
      <c r="Q68" s="24">
        <v>5000</v>
      </c>
      <c r="R68" s="21" t="s">
        <v>436</v>
      </c>
      <c r="S68" s="21" t="s">
        <v>437</v>
      </c>
      <c r="T68" s="21" t="s">
        <v>17</v>
      </c>
      <c r="U68" s="21" t="s">
        <v>438</v>
      </c>
      <c r="V68" s="21" t="s">
        <v>17</v>
      </c>
      <c r="W68" s="21" t="s">
        <v>439</v>
      </c>
      <c r="X68" s="21" t="s">
        <v>439</v>
      </c>
    </row>
    <row r="69" spans="1:24" ht="10.5" hidden="1" customHeight="1" x14ac:dyDescent="0.25">
      <c r="A69" s="20">
        <v>46024</v>
      </c>
      <c r="B69" s="21" t="str">
        <f t="shared" si="1"/>
        <v>02/01/2026NL100279</v>
      </c>
      <c r="C69" s="22" t="s">
        <v>463</v>
      </c>
      <c r="D69" s="22" t="s">
        <v>17</v>
      </c>
      <c r="E69" s="22" t="s">
        <v>431</v>
      </c>
      <c r="F69" s="21" t="s">
        <v>432</v>
      </c>
      <c r="G69" s="21" t="s">
        <v>433</v>
      </c>
      <c r="H69" s="21" t="s">
        <v>464</v>
      </c>
      <c r="I69" s="21" t="s">
        <v>403</v>
      </c>
      <c r="J69" s="21" t="s">
        <v>440</v>
      </c>
      <c r="K69" s="21" t="s">
        <v>108</v>
      </c>
      <c r="L69" s="23">
        <v>30</v>
      </c>
      <c r="M69" s="24">
        <v>9000</v>
      </c>
      <c r="N69" s="24">
        <v>0</v>
      </c>
      <c r="O69" s="25">
        <v>270000</v>
      </c>
      <c r="P69" s="25">
        <v>0</v>
      </c>
      <c r="Q69" s="24">
        <v>9000</v>
      </c>
      <c r="R69" s="21" t="s">
        <v>436</v>
      </c>
      <c r="S69" s="21" t="s">
        <v>437</v>
      </c>
      <c r="T69" s="21" t="s">
        <v>17</v>
      </c>
      <c r="U69" s="21" t="s">
        <v>438</v>
      </c>
      <c r="V69" s="21" t="s">
        <v>17</v>
      </c>
      <c r="W69" s="21" t="s">
        <v>439</v>
      </c>
      <c r="X69" s="21" t="s">
        <v>439</v>
      </c>
    </row>
    <row r="70" spans="1:24" ht="10.5" hidden="1" customHeight="1" x14ac:dyDescent="0.25">
      <c r="A70" s="20">
        <v>46024</v>
      </c>
      <c r="B70" s="21" t="str">
        <f t="shared" si="1"/>
        <v>02/01/2026NL300142</v>
      </c>
      <c r="C70" s="22" t="s">
        <v>463</v>
      </c>
      <c r="D70" s="22" t="s">
        <v>17</v>
      </c>
      <c r="E70" s="22" t="s">
        <v>431</v>
      </c>
      <c r="F70" s="21" t="s">
        <v>432</v>
      </c>
      <c r="G70" s="21" t="s">
        <v>433</v>
      </c>
      <c r="H70" s="21" t="s">
        <v>464</v>
      </c>
      <c r="I70" s="21" t="s">
        <v>317</v>
      </c>
      <c r="J70" s="21" t="s">
        <v>441</v>
      </c>
      <c r="K70" s="21" t="s">
        <v>442</v>
      </c>
      <c r="L70" s="23">
        <v>2</v>
      </c>
      <c r="M70" s="24">
        <v>50000</v>
      </c>
      <c r="N70" s="24">
        <v>0</v>
      </c>
      <c r="O70" s="25">
        <v>100000</v>
      </c>
      <c r="P70" s="25">
        <v>0</v>
      </c>
      <c r="Q70" s="24">
        <v>50000</v>
      </c>
      <c r="R70" s="21" t="s">
        <v>436</v>
      </c>
      <c r="S70" s="21" t="s">
        <v>437</v>
      </c>
      <c r="T70" s="21" t="s">
        <v>17</v>
      </c>
      <c r="U70" s="21" t="s">
        <v>438</v>
      </c>
      <c r="V70" s="21" t="s">
        <v>17</v>
      </c>
      <c r="W70" s="21" t="s">
        <v>439</v>
      </c>
      <c r="X70" s="21" t="s">
        <v>439</v>
      </c>
    </row>
    <row r="71" spans="1:24" ht="10.5" hidden="1" customHeight="1" x14ac:dyDescent="0.25">
      <c r="A71" s="20">
        <v>46024</v>
      </c>
      <c r="B71" s="21" t="str">
        <f t="shared" si="1"/>
        <v>02/01/2026NL300097</v>
      </c>
      <c r="C71" s="22" t="s">
        <v>463</v>
      </c>
      <c r="D71" s="22" t="s">
        <v>17</v>
      </c>
      <c r="E71" s="22" t="s">
        <v>431</v>
      </c>
      <c r="F71" s="21" t="s">
        <v>432</v>
      </c>
      <c r="G71" s="21" t="s">
        <v>433</v>
      </c>
      <c r="H71" s="21" t="s">
        <v>464</v>
      </c>
      <c r="I71" s="21" t="s">
        <v>331</v>
      </c>
      <c r="J71" s="21" t="s">
        <v>443</v>
      </c>
      <c r="K71" s="21" t="s">
        <v>442</v>
      </c>
      <c r="L71" s="23">
        <v>1.8</v>
      </c>
      <c r="M71" s="24">
        <v>90000</v>
      </c>
      <c r="N71" s="24">
        <v>0</v>
      </c>
      <c r="O71" s="25">
        <v>162000</v>
      </c>
      <c r="P71" s="25">
        <v>0</v>
      </c>
      <c r="Q71" s="24">
        <v>90000</v>
      </c>
      <c r="R71" s="21" t="s">
        <v>436</v>
      </c>
      <c r="S71" s="21" t="s">
        <v>437</v>
      </c>
      <c r="T71" s="21" t="s">
        <v>17</v>
      </c>
      <c r="U71" s="21" t="s">
        <v>438</v>
      </c>
      <c r="V71" s="21" t="s">
        <v>17</v>
      </c>
      <c r="W71" s="21" t="s">
        <v>439</v>
      </c>
      <c r="X71" s="21" t="s">
        <v>439</v>
      </c>
    </row>
    <row r="72" spans="1:24" ht="10.5" hidden="1" customHeight="1" x14ac:dyDescent="0.25">
      <c r="A72" s="20">
        <v>46024</v>
      </c>
      <c r="B72" s="21" t="str">
        <f t="shared" si="1"/>
        <v>02/01/2026NL300007</v>
      </c>
      <c r="C72" s="22" t="s">
        <v>463</v>
      </c>
      <c r="D72" s="22" t="s">
        <v>17</v>
      </c>
      <c r="E72" s="22" t="s">
        <v>431</v>
      </c>
      <c r="F72" s="21" t="s">
        <v>432</v>
      </c>
      <c r="G72" s="21" t="s">
        <v>433</v>
      </c>
      <c r="H72" s="21" t="s">
        <v>464</v>
      </c>
      <c r="I72" s="21" t="s">
        <v>309</v>
      </c>
      <c r="J72" s="21" t="s">
        <v>444</v>
      </c>
      <c r="K72" s="21" t="s">
        <v>442</v>
      </c>
      <c r="L72" s="23">
        <v>5.0999999999999996</v>
      </c>
      <c r="M72" s="24">
        <v>30000</v>
      </c>
      <c r="N72" s="24">
        <v>0</v>
      </c>
      <c r="O72" s="25">
        <v>153000</v>
      </c>
      <c r="P72" s="25">
        <v>0</v>
      </c>
      <c r="Q72" s="24">
        <v>30000</v>
      </c>
      <c r="R72" s="21" t="s">
        <v>436</v>
      </c>
      <c r="S72" s="21" t="s">
        <v>437</v>
      </c>
      <c r="T72" s="21" t="s">
        <v>17</v>
      </c>
      <c r="U72" s="21" t="s">
        <v>438</v>
      </c>
      <c r="V72" s="21" t="s">
        <v>17</v>
      </c>
      <c r="W72" s="21" t="s">
        <v>439</v>
      </c>
      <c r="X72" s="21" t="s">
        <v>439</v>
      </c>
    </row>
    <row r="73" spans="1:24" ht="10.5" hidden="1" customHeight="1" x14ac:dyDescent="0.25">
      <c r="A73" s="20">
        <v>46024</v>
      </c>
      <c r="B73" s="21" t="str">
        <f t="shared" si="1"/>
        <v>02/01/2026NL300008</v>
      </c>
      <c r="C73" s="22" t="s">
        <v>463</v>
      </c>
      <c r="D73" s="22" t="s">
        <v>17</v>
      </c>
      <c r="E73" s="22" t="s">
        <v>431</v>
      </c>
      <c r="F73" s="21" t="s">
        <v>432</v>
      </c>
      <c r="G73" s="21" t="s">
        <v>433</v>
      </c>
      <c r="H73" s="21" t="s">
        <v>464</v>
      </c>
      <c r="I73" s="21" t="s">
        <v>320</v>
      </c>
      <c r="J73" s="21" t="s">
        <v>445</v>
      </c>
      <c r="K73" s="21" t="s">
        <v>442</v>
      </c>
      <c r="L73" s="23">
        <v>10.199999999999999</v>
      </c>
      <c r="M73" s="24">
        <v>40000</v>
      </c>
      <c r="N73" s="24">
        <v>0</v>
      </c>
      <c r="O73" s="25">
        <v>408000</v>
      </c>
      <c r="P73" s="25">
        <v>0</v>
      </c>
      <c r="Q73" s="24">
        <v>40000</v>
      </c>
      <c r="R73" s="21" t="s">
        <v>436</v>
      </c>
      <c r="S73" s="21" t="s">
        <v>437</v>
      </c>
      <c r="T73" s="21" t="s">
        <v>17</v>
      </c>
      <c r="U73" s="21" t="s">
        <v>438</v>
      </c>
      <c r="V73" s="21" t="s">
        <v>17</v>
      </c>
      <c r="W73" s="21" t="s">
        <v>439</v>
      </c>
      <c r="X73" s="21" t="s">
        <v>439</v>
      </c>
    </row>
    <row r="74" spans="1:24" ht="10.5" hidden="1" customHeight="1" x14ac:dyDescent="0.25">
      <c r="A74" s="20">
        <v>46024</v>
      </c>
      <c r="B74" s="21" t="str">
        <f t="shared" si="1"/>
        <v>02/01/2026NL600004</v>
      </c>
      <c r="C74" s="22" t="s">
        <v>463</v>
      </c>
      <c r="D74" s="22" t="s">
        <v>17</v>
      </c>
      <c r="E74" s="22" t="s">
        <v>431</v>
      </c>
      <c r="F74" s="21" t="s">
        <v>432</v>
      </c>
      <c r="G74" s="21" t="s">
        <v>433</v>
      </c>
      <c r="H74" s="21" t="s">
        <v>464</v>
      </c>
      <c r="I74" s="21" t="s">
        <v>225</v>
      </c>
      <c r="J74" s="21" t="s">
        <v>37</v>
      </c>
      <c r="K74" s="21" t="s">
        <v>442</v>
      </c>
      <c r="L74" s="23">
        <v>30</v>
      </c>
      <c r="M74" s="24">
        <v>18000</v>
      </c>
      <c r="N74" s="24">
        <v>0</v>
      </c>
      <c r="O74" s="25">
        <v>540000</v>
      </c>
      <c r="P74" s="25">
        <v>0</v>
      </c>
      <c r="Q74" s="24">
        <v>18000</v>
      </c>
      <c r="R74" s="21" t="s">
        <v>436</v>
      </c>
      <c r="S74" s="21" t="s">
        <v>437</v>
      </c>
      <c r="T74" s="21" t="s">
        <v>17</v>
      </c>
      <c r="U74" s="21" t="s">
        <v>438</v>
      </c>
      <c r="V74" s="21" t="s">
        <v>17</v>
      </c>
      <c r="W74" s="21" t="s">
        <v>439</v>
      </c>
      <c r="X74" s="21" t="s">
        <v>439</v>
      </c>
    </row>
    <row r="75" spans="1:24" ht="10.5" hidden="1" customHeight="1" x14ac:dyDescent="0.25">
      <c r="A75" s="20">
        <v>46024</v>
      </c>
      <c r="B75" s="21" t="str">
        <f t="shared" si="1"/>
        <v>02/01/2026NL300131</v>
      </c>
      <c r="C75" s="22" t="s">
        <v>463</v>
      </c>
      <c r="D75" s="22" t="s">
        <v>17</v>
      </c>
      <c r="E75" s="22" t="s">
        <v>431</v>
      </c>
      <c r="F75" s="21" t="s">
        <v>432</v>
      </c>
      <c r="G75" s="21" t="s">
        <v>433</v>
      </c>
      <c r="H75" s="21" t="s">
        <v>464</v>
      </c>
      <c r="I75" s="21" t="s">
        <v>340</v>
      </c>
      <c r="J75" s="21" t="s">
        <v>88</v>
      </c>
      <c r="K75" s="21" t="s">
        <v>442</v>
      </c>
      <c r="L75" s="23">
        <v>0.2</v>
      </c>
      <c r="M75" s="24">
        <v>220000</v>
      </c>
      <c r="N75" s="24">
        <v>0</v>
      </c>
      <c r="O75" s="25">
        <v>44000</v>
      </c>
      <c r="P75" s="25">
        <v>0</v>
      </c>
      <c r="Q75" s="24">
        <v>220000</v>
      </c>
      <c r="R75" s="21" t="s">
        <v>436</v>
      </c>
      <c r="S75" s="21" t="s">
        <v>437</v>
      </c>
      <c r="T75" s="21" t="s">
        <v>17</v>
      </c>
      <c r="U75" s="21" t="s">
        <v>438</v>
      </c>
      <c r="V75" s="21" t="s">
        <v>17</v>
      </c>
      <c r="W75" s="21" t="s">
        <v>439</v>
      </c>
      <c r="X75" s="21" t="s">
        <v>439</v>
      </c>
    </row>
    <row r="76" spans="1:24" ht="10.5" hidden="1" customHeight="1" x14ac:dyDescent="0.25">
      <c r="A76" s="20">
        <v>46024</v>
      </c>
      <c r="B76" s="21" t="str">
        <f t="shared" si="1"/>
        <v>02/01/2026NL300125</v>
      </c>
      <c r="C76" s="22" t="s">
        <v>463</v>
      </c>
      <c r="D76" s="22" t="s">
        <v>17</v>
      </c>
      <c r="E76" s="22" t="s">
        <v>431</v>
      </c>
      <c r="F76" s="21" t="s">
        <v>432</v>
      </c>
      <c r="G76" s="21" t="s">
        <v>433</v>
      </c>
      <c r="H76" s="21" t="s">
        <v>464</v>
      </c>
      <c r="I76" s="21" t="s">
        <v>337</v>
      </c>
      <c r="J76" s="21" t="s">
        <v>146</v>
      </c>
      <c r="K76" s="21" t="s">
        <v>442</v>
      </c>
      <c r="L76" s="23">
        <v>0.5</v>
      </c>
      <c r="M76" s="24">
        <v>42000</v>
      </c>
      <c r="N76" s="24">
        <v>0</v>
      </c>
      <c r="O76" s="25">
        <v>21000</v>
      </c>
      <c r="P76" s="25">
        <v>0</v>
      </c>
      <c r="Q76" s="24">
        <v>42000</v>
      </c>
      <c r="R76" s="21" t="s">
        <v>436</v>
      </c>
      <c r="S76" s="21" t="s">
        <v>437</v>
      </c>
      <c r="T76" s="21" t="s">
        <v>17</v>
      </c>
      <c r="U76" s="21" t="s">
        <v>438</v>
      </c>
      <c r="V76" s="21" t="s">
        <v>17</v>
      </c>
      <c r="W76" s="21" t="s">
        <v>439</v>
      </c>
      <c r="X76" s="21" t="s">
        <v>439</v>
      </c>
    </row>
    <row r="77" spans="1:24" ht="10.5" hidden="1" customHeight="1" x14ac:dyDescent="0.25">
      <c r="A77" s="20">
        <v>46024</v>
      </c>
      <c r="B77" s="21" t="str">
        <f t="shared" si="1"/>
        <v>02/01/2026NL300184</v>
      </c>
      <c r="C77" s="22" t="s">
        <v>463</v>
      </c>
      <c r="D77" s="22" t="s">
        <v>17</v>
      </c>
      <c r="E77" s="22" t="s">
        <v>431</v>
      </c>
      <c r="F77" s="21" t="s">
        <v>432</v>
      </c>
      <c r="G77" s="21" t="s">
        <v>433</v>
      </c>
      <c r="H77" s="21" t="s">
        <v>464</v>
      </c>
      <c r="I77" s="21" t="s">
        <v>368</v>
      </c>
      <c r="J77" s="21" t="s">
        <v>462</v>
      </c>
      <c r="K77" s="21" t="s">
        <v>442</v>
      </c>
      <c r="L77" s="23">
        <v>0.4</v>
      </c>
      <c r="M77" s="24">
        <v>18000</v>
      </c>
      <c r="N77" s="24">
        <v>0</v>
      </c>
      <c r="O77" s="25">
        <v>7200</v>
      </c>
      <c r="P77" s="25">
        <v>0</v>
      </c>
      <c r="Q77" s="24">
        <v>18000</v>
      </c>
      <c r="R77" s="21" t="s">
        <v>436</v>
      </c>
      <c r="S77" s="21" t="s">
        <v>437</v>
      </c>
      <c r="T77" s="21" t="s">
        <v>17</v>
      </c>
      <c r="U77" s="21" t="s">
        <v>438</v>
      </c>
      <c r="V77" s="21" t="s">
        <v>17</v>
      </c>
      <c r="W77" s="21" t="s">
        <v>439</v>
      </c>
      <c r="X77" s="21" t="s">
        <v>439</v>
      </c>
    </row>
    <row r="78" spans="1:24" ht="10.5" hidden="1" customHeight="1" x14ac:dyDescent="0.25">
      <c r="A78" s="20">
        <v>46024</v>
      </c>
      <c r="B78" s="21" t="str">
        <f t="shared" si="1"/>
        <v>02/01/2026NL100279</v>
      </c>
      <c r="C78" s="22" t="s">
        <v>463</v>
      </c>
      <c r="D78" s="22" t="s">
        <v>17</v>
      </c>
      <c r="E78" s="22" t="s">
        <v>431</v>
      </c>
      <c r="F78" s="21" t="s">
        <v>432</v>
      </c>
      <c r="G78" s="21" t="s">
        <v>433</v>
      </c>
      <c r="H78" s="21" t="s">
        <v>464</v>
      </c>
      <c r="I78" s="21" t="s">
        <v>403</v>
      </c>
      <c r="J78" s="21" t="s">
        <v>440</v>
      </c>
      <c r="K78" s="21" t="s">
        <v>108</v>
      </c>
      <c r="L78" s="23">
        <v>30</v>
      </c>
      <c r="M78" s="24">
        <v>9000</v>
      </c>
      <c r="N78" s="24">
        <v>0</v>
      </c>
      <c r="O78" s="25">
        <v>270000</v>
      </c>
      <c r="P78" s="25">
        <v>0</v>
      </c>
      <c r="Q78" s="24">
        <v>9000</v>
      </c>
      <c r="R78" s="21" t="s">
        <v>436</v>
      </c>
      <c r="S78" s="21" t="s">
        <v>437</v>
      </c>
      <c r="T78" s="21" t="s">
        <v>17</v>
      </c>
      <c r="U78" s="21" t="s">
        <v>438</v>
      </c>
      <c r="V78" s="21" t="s">
        <v>17</v>
      </c>
      <c r="W78" s="21" t="s">
        <v>439</v>
      </c>
      <c r="X78" s="21" t="s">
        <v>439</v>
      </c>
    </row>
    <row r="79" spans="1:24" ht="10.5" hidden="1" customHeight="1" x14ac:dyDescent="0.25">
      <c r="A79" s="20">
        <v>46025</v>
      </c>
      <c r="B79" s="21" t="str">
        <f t="shared" si="1"/>
        <v>03/01/2026NL300142</v>
      </c>
      <c r="C79" s="22" t="s">
        <v>466</v>
      </c>
      <c r="D79" s="22" t="s">
        <v>17</v>
      </c>
      <c r="E79" s="22" t="s">
        <v>431</v>
      </c>
      <c r="F79" s="21" t="s">
        <v>432</v>
      </c>
      <c r="G79" s="21" t="s">
        <v>433</v>
      </c>
      <c r="H79" s="21" t="s">
        <v>467</v>
      </c>
      <c r="I79" s="21" t="s">
        <v>317</v>
      </c>
      <c r="J79" s="21" t="s">
        <v>441</v>
      </c>
      <c r="K79" s="21" t="s">
        <v>442</v>
      </c>
      <c r="L79" s="23">
        <v>4</v>
      </c>
      <c r="M79" s="24">
        <v>50000</v>
      </c>
      <c r="N79" s="24">
        <v>0</v>
      </c>
      <c r="O79" s="25">
        <v>200000</v>
      </c>
      <c r="P79" s="25">
        <v>0</v>
      </c>
      <c r="Q79" s="24">
        <v>50000</v>
      </c>
      <c r="R79" s="21" t="s">
        <v>436</v>
      </c>
      <c r="S79" s="21" t="s">
        <v>437</v>
      </c>
      <c r="T79" s="21" t="s">
        <v>17</v>
      </c>
      <c r="U79" s="21" t="s">
        <v>438</v>
      </c>
      <c r="V79" s="21" t="s">
        <v>17</v>
      </c>
      <c r="W79" s="21" t="s">
        <v>439</v>
      </c>
      <c r="X79" s="21" t="s">
        <v>439</v>
      </c>
    </row>
    <row r="80" spans="1:24" ht="10.5" hidden="1" customHeight="1" x14ac:dyDescent="0.25">
      <c r="A80" s="20">
        <v>46025</v>
      </c>
      <c r="B80" s="21" t="str">
        <f t="shared" si="1"/>
        <v>03/01/2026NL300097</v>
      </c>
      <c r="C80" s="22" t="s">
        <v>466</v>
      </c>
      <c r="D80" s="22" t="s">
        <v>17</v>
      </c>
      <c r="E80" s="22" t="s">
        <v>431</v>
      </c>
      <c r="F80" s="21" t="s">
        <v>432</v>
      </c>
      <c r="G80" s="21" t="s">
        <v>433</v>
      </c>
      <c r="H80" s="21" t="s">
        <v>467</v>
      </c>
      <c r="I80" s="21" t="s">
        <v>331</v>
      </c>
      <c r="J80" s="21" t="s">
        <v>443</v>
      </c>
      <c r="K80" s="21" t="s">
        <v>442</v>
      </c>
      <c r="L80" s="23">
        <v>0.8</v>
      </c>
      <c r="M80" s="24">
        <v>90000</v>
      </c>
      <c r="N80" s="24">
        <v>0</v>
      </c>
      <c r="O80" s="25">
        <v>72000</v>
      </c>
      <c r="P80" s="25">
        <v>0</v>
      </c>
      <c r="Q80" s="24">
        <v>90000</v>
      </c>
      <c r="R80" s="21" t="s">
        <v>436</v>
      </c>
      <c r="S80" s="21" t="s">
        <v>437</v>
      </c>
      <c r="T80" s="21" t="s">
        <v>17</v>
      </c>
      <c r="U80" s="21" t="s">
        <v>438</v>
      </c>
      <c r="V80" s="21" t="s">
        <v>17</v>
      </c>
      <c r="W80" s="21" t="s">
        <v>439</v>
      </c>
      <c r="X80" s="21" t="s">
        <v>439</v>
      </c>
    </row>
    <row r="81" spans="1:24" ht="10.5" hidden="1" customHeight="1" x14ac:dyDescent="0.25">
      <c r="A81" s="20">
        <v>46025</v>
      </c>
      <c r="B81" s="21" t="str">
        <f t="shared" si="1"/>
        <v>03/01/2026NL300007</v>
      </c>
      <c r="C81" s="22" t="s">
        <v>466</v>
      </c>
      <c r="D81" s="22" t="s">
        <v>17</v>
      </c>
      <c r="E81" s="22" t="s">
        <v>431</v>
      </c>
      <c r="F81" s="21" t="s">
        <v>432</v>
      </c>
      <c r="G81" s="21" t="s">
        <v>433</v>
      </c>
      <c r="H81" s="21" t="s">
        <v>467</v>
      </c>
      <c r="I81" s="21" t="s">
        <v>309</v>
      </c>
      <c r="J81" s="21" t="s">
        <v>444</v>
      </c>
      <c r="K81" s="21" t="s">
        <v>442</v>
      </c>
      <c r="L81" s="23">
        <v>3.9</v>
      </c>
      <c r="M81" s="24">
        <v>30000</v>
      </c>
      <c r="N81" s="24">
        <v>0</v>
      </c>
      <c r="O81" s="25">
        <v>117000</v>
      </c>
      <c r="P81" s="25">
        <v>0</v>
      </c>
      <c r="Q81" s="24">
        <v>30000</v>
      </c>
      <c r="R81" s="21" t="s">
        <v>436</v>
      </c>
      <c r="S81" s="21" t="s">
        <v>437</v>
      </c>
      <c r="T81" s="21" t="s">
        <v>17</v>
      </c>
      <c r="U81" s="21" t="s">
        <v>438</v>
      </c>
      <c r="V81" s="21" t="s">
        <v>17</v>
      </c>
      <c r="W81" s="21" t="s">
        <v>439</v>
      </c>
      <c r="X81" s="21" t="s">
        <v>439</v>
      </c>
    </row>
    <row r="82" spans="1:24" ht="10.5" hidden="1" customHeight="1" x14ac:dyDescent="0.25">
      <c r="A82" s="20">
        <v>46025</v>
      </c>
      <c r="B82" s="21" t="str">
        <f t="shared" si="1"/>
        <v>03/01/2026NL300008</v>
      </c>
      <c r="C82" s="22" t="s">
        <v>466</v>
      </c>
      <c r="D82" s="22" t="s">
        <v>17</v>
      </c>
      <c r="E82" s="22" t="s">
        <v>431</v>
      </c>
      <c r="F82" s="21" t="s">
        <v>432</v>
      </c>
      <c r="G82" s="21" t="s">
        <v>433</v>
      </c>
      <c r="H82" s="21" t="s">
        <v>467</v>
      </c>
      <c r="I82" s="21" t="s">
        <v>320</v>
      </c>
      <c r="J82" s="21" t="s">
        <v>445</v>
      </c>
      <c r="K82" s="21" t="s">
        <v>442</v>
      </c>
      <c r="L82" s="23">
        <v>8</v>
      </c>
      <c r="M82" s="24">
        <v>40000</v>
      </c>
      <c r="N82" s="24">
        <v>0</v>
      </c>
      <c r="O82" s="25">
        <v>320000</v>
      </c>
      <c r="P82" s="25">
        <v>0</v>
      </c>
      <c r="Q82" s="24">
        <v>40000</v>
      </c>
      <c r="R82" s="21" t="s">
        <v>436</v>
      </c>
      <c r="S82" s="21" t="s">
        <v>437</v>
      </c>
      <c r="T82" s="21" t="s">
        <v>17</v>
      </c>
      <c r="U82" s="21" t="s">
        <v>438</v>
      </c>
      <c r="V82" s="21" t="s">
        <v>17</v>
      </c>
      <c r="W82" s="21" t="s">
        <v>439</v>
      </c>
      <c r="X82" s="21" t="s">
        <v>439</v>
      </c>
    </row>
    <row r="83" spans="1:24" ht="10.5" hidden="1" customHeight="1" x14ac:dyDescent="0.25">
      <c r="A83" s="20">
        <v>46025</v>
      </c>
      <c r="B83" s="21" t="str">
        <f t="shared" si="1"/>
        <v>03/01/2026NL300020</v>
      </c>
      <c r="C83" s="22" t="s">
        <v>466</v>
      </c>
      <c r="D83" s="22" t="s">
        <v>17</v>
      </c>
      <c r="E83" s="22" t="s">
        <v>431</v>
      </c>
      <c r="F83" s="21" t="s">
        <v>432</v>
      </c>
      <c r="G83" s="21" t="s">
        <v>433</v>
      </c>
      <c r="H83" s="21" t="s">
        <v>467</v>
      </c>
      <c r="I83" s="21" t="s">
        <v>326</v>
      </c>
      <c r="J83" s="21" t="s">
        <v>446</v>
      </c>
      <c r="K83" s="21" t="s">
        <v>442</v>
      </c>
      <c r="L83" s="23">
        <v>2</v>
      </c>
      <c r="M83" s="24">
        <v>30000</v>
      </c>
      <c r="N83" s="24">
        <v>0</v>
      </c>
      <c r="O83" s="25">
        <v>60000</v>
      </c>
      <c r="P83" s="25">
        <v>0</v>
      </c>
      <c r="Q83" s="24">
        <v>30000</v>
      </c>
      <c r="R83" s="21" t="s">
        <v>436</v>
      </c>
      <c r="S83" s="21" t="s">
        <v>437</v>
      </c>
      <c r="T83" s="21" t="s">
        <v>17</v>
      </c>
      <c r="U83" s="21" t="s">
        <v>438</v>
      </c>
      <c r="V83" s="21" t="s">
        <v>17</v>
      </c>
      <c r="W83" s="21" t="s">
        <v>439</v>
      </c>
      <c r="X83" s="21" t="s">
        <v>439</v>
      </c>
    </row>
    <row r="84" spans="1:24" ht="10.5" hidden="1" customHeight="1" x14ac:dyDescent="0.25">
      <c r="A84" s="20">
        <v>46025</v>
      </c>
      <c r="B84" s="21" t="str">
        <f t="shared" si="1"/>
        <v>03/01/2026NL300025</v>
      </c>
      <c r="C84" s="22" t="s">
        <v>466</v>
      </c>
      <c r="D84" s="22" t="s">
        <v>17</v>
      </c>
      <c r="E84" s="22" t="s">
        <v>431</v>
      </c>
      <c r="F84" s="21" t="s">
        <v>432</v>
      </c>
      <c r="G84" s="21" t="s">
        <v>433</v>
      </c>
      <c r="H84" s="21" t="s">
        <v>467</v>
      </c>
      <c r="I84" s="21" t="s">
        <v>211</v>
      </c>
      <c r="J84" s="21" t="s">
        <v>447</v>
      </c>
      <c r="K84" s="21" t="s">
        <v>442</v>
      </c>
      <c r="L84" s="23">
        <v>1.2</v>
      </c>
      <c r="M84" s="24">
        <v>44000</v>
      </c>
      <c r="N84" s="24">
        <v>0</v>
      </c>
      <c r="O84" s="25">
        <v>52800</v>
      </c>
      <c r="P84" s="25">
        <v>0</v>
      </c>
      <c r="Q84" s="24">
        <v>44000</v>
      </c>
      <c r="R84" s="21" t="s">
        <v>436</v>
      </c>
      <c r="S84" s="21" t="s">
        <v>437</v>
      </c>
      <c r="T84" s="21" t="s">
        <v>17</v>
      </c>
      <c r="U84" s="21" t="s">
        <v>438</v>
      </c>
      <c r="V84" s="21" t="s">
        <v>17</v>
      </c>
      <c r="W84" s="21" t="s">
        <v>439</v>
      </c>
      <c r="X84" s="21" t="s">
        <v>439</v>
      </c>
    </row>
    <row r="85" spans="1:24" ht="10.5" hidden="1" customHeight="1" x14ac:dyDescent="0.25">
      <c r="A85" s="20">
        <v>46025</v>
      </c>
      <c r="B85" s="21" t="str">
        <f t="shared" si="1"/>
        <v>03/01/2026NL300035</v>
      </c>
      <c r="C85" s="22" t="s">
        <v>466</v>
      </c>
      <c r="D85" s="22" t="s">
        <v>17</v>
      </c>
      <c r="E85" s="22" t="s">
        <v>431</v>
      </c>
      <c r="F85" s="21" t="s">
        <v>432</v>
      </c>
      <c r="G85" s="21" t="s">
        <v>433</v>
      </c>
      <c r="H85" s="21" t="s">
        <v>467</v>
      </c>
      <c r="I85" s="21" t="s">
        <v>383</v>
      </c>
      <c r="J85" s="21" t="s">
        <v>448</v>
      </c>
      <c r="K85" s="21" t="s">
        <v>442</v>
      </c>
      <c r="L85" s="23">
        <v>0.2</v>
      </c>
      <c r="M85" s="24">
        <v>25000</v>
      </c>
      <c r="N85" s="24">
        <v>0</v>
      </c>
      <c r="O85" s="25">
        <v>5000</v>
      </c>
      <c r="P85" s="25">
        <v>0</v>
      </c>
      <c r="Q85" s="24">
        <v>25000</v>
      </c>
      <c r="R85" s="21" t="s">
        <v>436</v>
      </c>
      <c r="S85" s="21" t="s">
        <v>437</v>
      </c>
      <c r="T85" s="21" t="s">
        <v>17</v>
      </c>
      <c r="U85" s="21" t="s">
        <v>438</v>
      </c>
      <c r="V85" s="21" t="s">
        <v>17</v>
      </c>
      <c r="W85" s="21" t="s">
        <v>439</v>
      </c>
      <c r="X85" s="21" t="s">
        <v>439</v>
      </c>
    </row>
    <row r="86" spans="1:24" ht="10.5" hidden="1" customHeight="1" x14ac:dyDescent="0.25">
      <c r="A86" s="20">
        <v>46025</v>
      </c>
      <c r="B86" s="21" t="str">
        <f t="shared" si="1"/>
        <v>03/01/2026NL300036</v>
      </c>
      <c r="C86" s="22" t="s">
        <v>466</v>
      </c>
      <c r="D86" s="22" t="s">
        <v>17</v>
      </c>
      <c r="E86" s="22" t="s">
        <v>431</v>
      </c>
      <c r="F86" s="21" t="s">
        <v>432</v>
      </c>
      <c r="G86" s="21" t="s">
        <v>433</v>
      </c>
      <c r="H86" s="21" t="s">
        <v>467</v>
      </c>
      <c r="I86" s="21" t="s">
        <v>380</v>
      </c>
      <c r="J86" s="21" t="s">
        <v>96</v>
      </c>
      <c r="K86" s="21" t="s">
        <v>442</v>
      </c>
      <c r="L86" s="23">
        <v>1</v>
      </c>
      <c r="M86" s="24">
        <v>47000</v>
      </c>
      <c r="N86" s="24">
        <v>0</v>
      </c>
      <c r="O86" s="25">
        <v>47000</v>
      </c>
      <c r="P86" s="25">
        <v>0</v>
      </c>
      <c r="Q86" s="24">
        <v>47000</v>
      </c>
      <c r="R86" s="21" t="s">
        <v>436</v>
      </c>
      <c r="S86" s="21" t="s">
        <v>437</v>
      </c>
      <c r="T86" s="21" t="s">
        <v>17</v>
      </c>
      <c r="U86" s="21" t="s">
        <v>438</v>
      </c>
      <c r="V86" s="21" t="s">
        <v>17</v>
      </c>
      <c r="W86" s="21" t="s">
        <v>439</v>
      </c>
      <c r="X86" s="21" t="s">
        <v>439</v>
      </c>
    </row>
    <row r="87" spans="1:24" ht="10.5" hidden="1" customHeight="1" x14ac:dyDescent="0.25">
      <c r="A87" s="20">
        <v>46025</v>
      </c>
      <c r="B87" s="21" t="str">
        <f t="shared" si="1"/>
        <v>03/01/2026NL300054</v>
      </c>
      <c r="C87" s="22" t="s">
        <v>466</v>
      </c>
      <c r="D87" s="22" t="s">
        <v>17</v>
      </c>
      <c r="E87" s="22" t="s">
        <v>431</v>
      </c>
      <c r="F87" s="21" t="s">
        <v>432</v>
      </c>
      <c r="G87" s="21" t="s">
        <v>433</v>
      </c>
      <c r="H87" s="21" t="s">
        <v>467</v>
      </c>
      <c r="I87" s="21" t="s">
        <v>216</v>
      </c>
      <c r="J87" s="21" t="s">
        <v>451</v>
      </c>
      <c r="K87" s="21" t="s">
        <v>442</v>
      </c>
      <c r="L87" s="23">
        <v>2</v>
      </c>
      <c r="M87" s="24">
        <v>38000</v>
      </c>
      <c r="N87" s="24">
        <v>0</v>
      </c>
      <c r="O87" s="25">
        <v>76000</v>
      </c>
      <c r="P87" s="25">
        <v>0</v>
      </c>
      <c r="Q87" s="24">
        <v>38000</v>
      </c>
      <c r="R87" s="21" t="s">
        <v>436</v>
      </c>
      <c r="S87" s="21" t="s">
        <v>437</v>
      </c>
      <c r="T87" s="21" t="s">
        <v>17</v>
      </c>
      <c r="U87" s="21" t="s">
        <v>438</v>
      </c>
      <c r="V87" s="21" t="s">
        <v>17</v>
      </c>
      <c r="W87" s="21" t="s">
        <v>439</v>
      </c>
      <c r="X87" s="21" t="s">
        <v>439</v>
      </c>
    </row>
    <row r="88" spans="1:24" ht="10.5" hidden="1" customHeight="1" x14ac:dyDescent="0.25">
      <c r="A88" s="20">
        <v>46025</v>
      </c>
      <c r="B88" s="21" t="str">
        <f t="shared" si="1"/>
        <v>03/01/2026NL300058</v>
      </c>
      <c r="C88" s="22" t="s">
        <v>466</v>
      </c>
      <c r="D88" s="22" t="s">
        <v>17</v>
      </c>
      <c r="E88" s="22" t="s">
        <v>431</v>
      </c>
      <c r="F88" s="21" t="s">
        <v>432</v>
      </c>
      <c r="G88" s="21" t="s">
        <v>433</v>
      </c>
      <c r="H88" s="21" t="s">
        <v>467</v>
      </c>
      <c r="I88" s="21" t="s">
        <v>228</v>
      </c>
      <c r="J88" s="21" t="s">
        <v>39</v>
      </c>
      <c r="K88" s="21" t="s">
        <v>442</v>
      </c>
      <c r="L88" s="23">
        <v>2</v>
      </c>
      <c r="M88" s="24">
        <v>55000</v>
      </c>
      <c r="N88" s="24">
        <v>0</v>
      </c>
      <c r="O88" s="25">
        <v>110000</v>
      </c>
      <c r="P88" s="25">
        <v>0</v>
      </c>
      <c r="Q88" s="24">
        <v>55000</v>
      </c>
      <c r="R88" s="21" t="s">
        <v>436</v>
      </c>
      <c r="S88" s="21" t="s">
        <v>437</v>
      </c>
      <c r="T88" s="21" t="s">
        <v>17</v>
      </c>
      <c r="U88" s="21" t="s">
        <v>438</v>
      </c>
      <c r="V88" s="21" t="s">
        <v>17</v>
      </c>
      <c r="W88" s="21" t="s">
        <v>439</v>
      </c>
      <c r="X88" s="21" t="s">
        <v>439</v>
      </c>
    </row>
    <row r="89" spans="1:24" ht="10.5" hidden="1" customHeight="1" x14ac:dyDescent="0.25">
      <c r="A89" s="20">
        <v>46025</v>
      </c>
      <c r="B89" s="21" t="str">
        <f t="shared" si="1"/>
        <v>03/01/2026NL300059</v>
      </c>
      <c r="C89" s="22" t="s">
        <v>466</v>
      </c>
      <c r="D89" s="22" t="s">
        <v>17</v>
      </c>
      <c r="E89" s="22" t="s">
        <v>431</v>
      </c>
      <c r="F89" s="21" t="s">
        <v>432</v>
      </c>
      <c r="G89" s="21" t="s">
        <v>433</v>
      </c>
      <c r="H89" s="21" t="s">
        <v>467</v>
      </c>
      <c r="I89" s="21" t="s">
        <v>229</v>
      </c>
      <c r="J89" s="21" t="s">
        <v>114</v>
      </c>
      <c r="K89" s="21" t="s">
        <v>442</v>
      </c>
      <c r="L89" s="23">
        <v>0.4</v>
      </c>
      <c r="M89" s="24">
        <v>13000</v>
      </c>
      <c r="N89" s="24">
        <v>0</v>
      </c>
      <c r="O89" s="25">
        <v>5200</v>
      </c>
      <c r="P89" s="25">
        <v>0</v>
      </c>
      <c r="Q89" s="24">
        <v>13000</v>
      </c>
      <c r="R89" s="21" t="s">
        <v>436</v>
      </c>
      <c r="S89" s="21" t="s">
        <v>437</v>
      </c>
      <c r="T89" s="21" t="s">
        <v>17</v>
      </c>
      <c r="U89" s="21" t="s">
        <v>438</v>
      </c>
      <c r="V89" s="21" t="s">
        <v>17</v>
      </c>
      <c r="W89" s="21" t="s">
        <v>439</v>
      </c>
      <c r="X89" s="21" t="s">
        <v>439</v>
      </c>
    </row>
    <row r="90" spans="1:24" ht="10.5" hidden="1" customHeight="1" x14ac:dyDescent="0.25">
      <c r="A90" s="20">
        <v>46025</v>
      </c>
      <c r="B90" s="21" t="str">
        <f t="shared" si="1"/>
        <v>03/01/2026NL300085</v>
      </c>
      <c r="C90" s="22" t="s">
        <v>466</v>
      </c>
      <c r="D90" s="22" t="s">
        <v>17</v>
      </c>
      <c r="E90" s="22" t="s">
        <v>431</v>
      </c>
      <c r="F90" s="21" t="s">
        <v>432</v>
      </c>
      <c r="G90" s="21" t="s">
        <v>433</v>
      </c>
      <c r="H90" s="21" t="s">
        <v>467</v>
      </c>
      <c r="I90" s="21" t="s">
        <v>263</v>
      </c>
      <c r="J90" s="21" t="s">
        <v>453</v>
      </c>
      <c r="K90" s="21" t="s">
        <v>442</v>
      </c>
      <c r="L90" s="23">
        <v>1.2</v>
      </c>
      <c r="M90" s="24">
        <v>45000</v>
      </c>
      <c r="N90" s="24">
        <v>0</v>
      </c>
      <c r="O90" s="25">
        <v>54000</v>
      </c>
      <c r="P90" s="25">
        <v>0</v>
      </c>
      <c r="Q90" s="24">
        <v>45000</v>
      </c>
      <c r="R90" s="21" t="s">
        <v>436</v>
      </c>
      <c r="S90" s="21" t="s">
        <v>437</v>
      </c>
      <c r="T90" s="21" t="s">
        <v>17</v>
      </c>
      <c r="U90" s="21" t="s">
        <v>438</v>
      </c>
      <c r="V90" s="21" t="s">
        <v>17</v>
      </c>
      <c r="W90" s="21" t="s">
        <v>439</v>
      </c>
      <c r="X90" s="21" t="s">
        <v>439</v>
      </c>
    </row>
    <row r="91" spans="1:24" ht="10.5" hidden="1" customHeight="1" x14ac:dyDescent="0.25">
      <c r="A91" s="20">
        <v>46025</v>
      </c>
      <c r="B91" s="21" t="str">
        <f t="shared" si="1"/>
        <v>03/01/2026NL300088</v>
      </c>
      <c r="C91" s="22" t="s">
        <v>466</v>
      </c>
      <c r="D91" s="22" t="s">
        <v>17</v>
      </c>
      <c r="E91" s="22" t="s">
        <v>431</v>
      </c>
      <c r="F91" s="21" t="s">
        <v>432</v>
      </c>
      <c r="G91" s="21" t="s">
        <v>433</v>
      </c>
      <c r="H91" s="21" t="s">
        <v>467</v>
      </c>
      <c r="I91" s="21" t="s">
        <v>254</v>
      </c>
      <c r="J91" s="21" t="s">
        <v>15</v>
      </c>
      <c r="K91" s="21" t="s">
        <v>442</v>
      </c>
      <c r="L91" s="23">
        <v>3.2</v>
      </c>
      <c r="M91" s="24">
        <v>27000</v>
      </c>
      <c r="N91" s="24">
        <v>0</v>
      </c>
      <c r="O91" s="25">
        <v>86400</v>
      </c>
      <c r="P91" s="25">
        <v>0</v>
      </c>
      <c r="Q91" s="24">
        <v>27000</v>
      </c>
      <c r="R91" s="21" t="s">
        <v>436</v>
      </c>
      <c r="S91" s="21" t="s">
        <v>437</v>
      </c>
      <c r="T91" s="21" t="s">
        <v>17</v>
      </c>
      <c r="U91" s="21" t="s">
        <v>438</v>
      </c>
      <c r="V91" s="21" t="s">
        <v>17</v>
      </c>
      <c r="W91" s="21" t="s">
        <v>439</v>
      </c>
      <c r="X91" s="21" t="s">
        <v>439</v>
      </c>
    </row>
    <row r="92" spans="1:24" ht="10.5" hidden="1" customHeight="1" x14ac:dyDescent="0.25">
      <c r="A92" s="20">
        <v>46025</v>
      </c>
      <c r="B92" s="21" t="str">
        <f t="shared" si="1"/>
        <v>03/01/2026NL300094</v>
      </c>
      <c r="C92" s="22" t="s">
        <v>466</v>
      </c>
      <c r="D92" s="22" t="s">
        <v>17</v>
      </c>
      <c r="E92" s="22" t="s">
        <v>431</v>
      </c>
      <c r="F92" s="21" t="s">
        <v>432</v>
      </c>
      <c r="G92" s="21" t="s">
        <v>433</v>
      </c>
      <c r="H92" s="21" t="s">
        <v>467</v>
      </c>
      <c r="I92" s="21" t="s">
        <v>257</v>
      </c>
      <c r="J92" s="21" t="s">
        <v>454</v>
      </c>
      <c r="K92" s="21" t="s">
        <v>442</v>
      </c>
      <c r="L92" s="23">
        <v>0.8</v>
      </c>
      <c r="M92" s="24">
        <v>80000</v>
      </c>
      <c r="N92" s="24">
        <v>0</v>
      </c>
      <c r="O92" s="25">
        <v>64000</v>
      </c>
      <c r="P92" s="25">
        <v>0</v>
      </c>
      <c r="Q92" s="24">
        <v>80000</v>
      </c>
      <c r="R92" s="21" t="s">
        <v>436</v>
      </c>
      <c r="S92" s="21" t="s">
        <v>437</v>
      </c>
      <c r="T92" s="21" t="s">
        <v>17</v>
      </c>
      <c r="U92" s="21" t="s">
        <v>438</v>
      </c>
      <c r="V92" s="21" t="s">
        <v>17</v>
      </c>
      <c r="W92" s="21" t="s">
        <v>439</v>
      </c>
      <c r="X92" s="21" t="s">
        <v>439</v>
      </c>
    </row>
    <row r="93" spans="1:24" ht="10.5" hidden="1" customHeight="1" x14ac:dyDescent="0.25">
      <c r="A93" s="20">
        <v>46025</v>
      </c>
      <c r="B93" s="21" t="str">
        <f t="shared" si="1"/>
        <v>03/01/2026NL300096</v>
      </c>
      <c r="C93" s="22" t="s">
        <v>466</v>
      </c>
      <c r="D93" s="22" t="s">
        <v>17</v>
      </c>
      <c r="E93" s="22" t="s">
        <v>431</v>
      </c>
      <c r="F93" s="21" t="s">
        <v>432</v>
      </c>
      <c r="G93" s="21" t="s">
        <v>433</v>
      </c>
      <c r="H93" s="21" t="s">
        <v>467</v>
      </c>
      <c r="I93" s="21" t="s">
        <v>258</v>
      </c>
      <c r="J93" s="21" t="s">
        <v>45</v>
      </c>
      <c r="K93" s="21" t="s">
        <v>442</v>
      </c>
      <c r="L93" s="23">
        <v>3.6</v>
      </c>
      <c r="M93" s="24">
        <v>45000</v>
      </c>
      <c r="N93" s="24">
        <v>0</v>
      </c>
      <c r="O93" s="25">
        <v>162000</v>
      </c>
      <c r="P93" s="25">
        <v>0</v>
      </c>
      <c r="Q93" s="24">
        <v>45000</v>
      </c>
      <c r="R93" s="21" t="s">
        <v>436</v>
      </c>
      <c r="S93" s="21" t="s">
        <v>437</v>
      </c>
      <c r="T93" s="21" t="s">
        <v>17</v>
      </c>
      <c r="U93" s="21" t="s">
        <v>438</v>
      </c>
      <c r="V93" s="21" t="s">
        <v>17</v>
      </c>
      <c r="W93" s="21" t="s">
        <v>439</v>
      </c>
      <c r="X93" s="21" t="s">
        <v>439</v>
      </c>
    </row>
    <row r="94" spans="1:24" ht="10.5" hidden="1" customHeight="1" x14ac:dyDescent="0.25">
      <c r="A94" s="20">
        <v>46025</v>
      </c>
      <c r="B94" s="21" t="str">
        <f t="shared" si="1"/>
        <v>03/01/2026NL300098</v>
      </c>
      <c r="C94" s="22" t="s">
        <v>466</v>
      </c>
      <c r="D94" s="22" t="s">
        <v>17</v>
      </c>
      <c r="E94" s="22" t="s">
        <v>431</v>
      </c>
      <c r="F94" s="21" t="s">
        <v>432</v>
      </c>
      <c r="G94" s="21" t="s">
        <v>433</v>
      </c>
      <c r="H94" s="21" t="s">
        <v>467</v>
      </c>
      <c r="I94" s="21" t="s">
        <v>330</v>
      </c>
      <c r="J94" s="21" t="s">
        <v>468</v>
      </c>
      <c r="K94" s="21" t="s">
        <v>442</v>
      </c>
      <c r="L94" s="23">
        <v>0.4</v>
      </c>
      <c r="M94" s="24">
        <v>95000</v>
      </c>
      <c r="N94" s="24">
        <v>0</v>
      </c>
      <c r="O94" s="25">
        <v>38000</v>
      </c>
      <c r="P94" s="25">
        <v>0</v>
      </c>
      <c r="Q94" s="24">
        <v>95000</v>
      </c>
      <c r="R94" s="21" t="s">
        <v>436</v>
      </c>
      <c r="S94" s="21" t="s">
        <v>437</v>
      </c>
      <c r="T94" s="21" t="s">
        <v>17</v>
      </c>
      <c r="U94" s="21" t="s">
        <v>438</v>
      </c>
      <c r="V94" s="21" t="s">
        <v>17</v>
      </c>
      <c r="W94" s="21" t="s">
        <v>439</v>
      </c>
      <c r="X94" s="21" t="s">
        <v>439</v>
      </c>
    </row>
    <row r="95" spans="1:24" ht="10.5" hidden="1" customHeight="1" x14ac:dyDescent="0.25">
      <c r="A95" s="20">
        <v>46025</v>
      </c>
      <c r="B95" s="21" t="str">
        <f t="shared" si="1"/>
        <v>03/01/2026NL300107</v>
      </c>
      <c r="C95" s="22" t="s">
        <v>466</v>
      </c>
      <c r="D95" s="22" t="s">
        <v>17</v>
      </c>
      <c r="E95" s="22" t="s">
        <v>431</v>
      </c>
      <c r="F95" s="21" t="s">
        <v>432</v>
      </c>
      <c r="G95" s="21" t="s">
        <v>433</v>
      </c>
      <c r="H95" s="21" t="s">
        <v>467</v>
      </c>
      <c r="I95" s="21" t="s">
        <v>193</v>
      </c>
      <c r="J95" s="21" t="s">
        <v>455</v>
      </c>
      <c r="K95" s="21" t="s">
        <v>450</v>
      </c>
      <c r="L95" s="23">
        <v>12</v>
      </c>
      <c r="M95" s="24">
        <v>8500</v>
      </c>
      <c r="N95" s="24">
        <v>0</v>
      </c>
      <c r="O95" s="25">
        <v>102000</v>
      </c>
      <c r="P95" s="25">
        <v>0</v>
      </c>
      <c r="Q95" s="24">
        <v>8500</v>
      </c>
      <c r="R95" s="21" t="s">
        <v>436</v>
      </c>
      <c r="S95" s="21" t="s">
        <v>437</v>
      </c>
      <c r="T95" s="21" t="s">
        <v>17</v>
      </c>
      <c r="U95" s="21" t="s">
        <v>438</v>
      </c>
      <c r="V95" s="21" t="s">
        <v>17</v>
      </c>
      <c r="W95" s="21" t="s">
        <v>439</v>
      </c>
      <c r="X95" s="21" t="s">
        <v>439</v>
      </c>
    </row>
    <row r="96" spans="1:24" ht="10.5" hidden="1" customHeight="1" x14ac:dyDescent="0.25">
      <c r="A96" s="20">
        <v>46025</v>
      </c>
      <c r="B96" s="21" t="str">
        <f t="shared" si="1"/>
        <v>03/01/2026NL300116</v>
      </c>
      <c r="C96" s="22" t="s">
        <v>466</v>
      </c>
      <c r="D96" s="22" t="s">
        <v>17</v>
      </c>
      <c r="E96" s="22" t="s">
        <v>431</v>
      </c>
      <c r="F96" s="21" t="s">
        <v>432</v>
      </c>
      <c r="G96" s="21" t="s">
        <v>433</v>
      </c>
      <c r="H96" s="21" t="s">
        <v>467</v>
      </c>
      <c r="I96" s="21" t="s">
        <v>315</v>
      </c>
      <c r="J96" s="21" t="s">
        <v>456</v>
      </c>
      <c r="K96" s="21" t="s">
        <v>442</v>
      </c>
      <c r="L96" s="23">
        <v>0.2</v>
      </c>
      <c r="M96" s="24">
        <v>148000</v>
      </c>
      <c r="N96" s="24">
        <v>0</v>
      </c>
      <c r="O96" s="25">
        <v>29600</v>
      </c>
      <c r="P96" s="25">
        <v>0</v>
      </c>
      <c r="Q96" s="24">
        <v>148000</v>
      </c>
      <c r="R96" s="21" t="s">
        <v>436</v>
      </c>
      <c r="S96" s="21" t="s">
        <v>437</v>
      </c>
      <c r="T96" s="21" t="s">
        <v>17</v>
      </c>
      <c r="U96" s="21" t="s">
        <v>438</v>
      </c>
      <c r="V96" s="21" t="s">
        <v>17</v>
      </c>
      <c r="W96" s="21" t="s">
        <v>439</v>
      </c>
      <c r="X96" s="21" t="s">
        <v>439</v>
      </c>
    </row>
    <row r="97" spans="1:24" ht="10.5" hidden="1" customHeight="1" x14ac:dyDescent="0.25">
      <c r="A97" s="20">
        <v>46025</v>
      </c>
      <c r="B97" s="21" t="str">
        <f t="shared" si="1"/>
        <v>03/01/2026NL300137</v>
      </c>
      <c r="C97" s="22" t="s">
        <v>466</v>
      </c>
      <c r="D97" s="22" t="s">
        <v>17</v>
      </c>
      <c r="E97" s="22" t="s">
        <v>431</v>
      </c>
      <c r="F97" s="21" t="s">
        <v>432</v>
      </c>
      <c r="G97" s="21" t="s">
        <v>433</v>
      </c>
      <c r="H97" s="21" t="s">
        <v>467</v>
      </c>
      <c r="I97" s="21" t="s">
        <v>196</v>
      </c>
      <c r="J97" s="21" t="s">
        <v>458</v>
      </c>
      <c r="K97" s="21" t="s">
        <v>442</v>
      </c>
      <c r="L97" s="23">
        <v>2.5</v>
      </c>
      <c r="M97" s="24">
        <v>52000</v>
      </c>
      <c r="N97" s="24">
        <v>0</v>
      </c>
      <c r="O97" s="25">
        <v>130000</v>
      </c>
      <c r="P97" s="25">
        <v>0</v>
      </c>
      <c r="Q97" s="24">
        <v>52000</v>
      </c>
      <c r="R97" s="21" t="s">
        <v>436</v>
      </c>
      <c r="S97" s="21" t="s">
        <v>437</v>
      </c>
      <c r="T97" s="21" t="s">
        <v>17</v>
      </c>
      <c r="U97" s="21" t="s">
        <v>438</v>
      </c>
      <c r="V97" s="21" t="s">
        <v>17</v>
      </c>
      <c r="W97" s="21" t="s">
        <v>439</v>
      </c>
      <c r="X97" s="21" t="s">
        <v>439</v>
      </c>
    </row>
    <row r="98" spans="1:24" ht="10.5" hidden="1" customHeight="1" x14ac:dyDescent="0.25">
      <c r="A98" s="20">
        <v>46025</v>
      </c>
      <c r="B98" s="21" t="str">
        <f t="shared" si="1"/>
        <v>03/01/2026NL300139</v>
      </c>
      <c r="C98" s="22" t="s">
        <v>466</v>
      </c>
      <c r="D98" s="22" t="s">
        <v>17</v>
      </c>
      <c r="E98" s="22" t="s">
        <v>431</v>
      </c>
      <c r="F98" s="21" t="s">
        <v>432</v>
      </c>
      <c r="G98" s="21" t="s">
        <v>433</v>
      </c>
      <c r="H98" s="21" t="s">
        <v>467</v>
      </c>
      <c r="I98" s="21" t="s">
        <v>348</v>
      </c>
      <c r="J98" s="21" t="s">
        <v>84</v>
      </c>
      <c r="K98" s="21" t="s">
        <v>442</v>
      </c>
      <c r="L98" s="23">
        <v>0.1</v>
      </c>
      <c r="M98" s="24">
        <v>42000</v>
      </c>
      <c r="N98" s="24">
        <v>0</v>
      </c>
      <c r="O98" s="25">
        <v>4200</v>
      </c>
      <c r="P98" s="25">
        <v>0</v>
      </c>
      <c r="Q98" s="24">
        <v>42000</v>
      </c>
      <c r="R98" s="21" t="s">
        <v>436</v>
      </c>
      <c r="S98" s="21" t="s">
        <v>437</v>
      </c>
      <c r="T98" s="21" t="s">
        <v>17</v>
      </c>
      <c r="U98" s="21" t="s">
        <v>438</v>
      </c>
      <c r="V98" s="21" t="s">
        <v>17</v>
      </c>
      <c r="W98" s="21" t="s">
        <v>439</v>
      </c>
      <c r="X98" s="21" t="s">
        <v>439</v>
      </c>
    </row>
    <row r="99" spans="1:24" ht="10.5" hidden="1" customHeight="1" x14ac:dyDescent="0.25">
      <c r="A99" s="20">
        <v>46025</v>
      </c>
      <c r="B99" s="21" t="str">
        <f t="shared" si="1"/>
        <v>03/01/2026NL300147</v>
      </c>
      <c r="C99" s="22" t="s">
        <v>466</v>
      </c>
      <c r="D99" s="22" t="s">
        <v>17</v>
      </c>
      <c r="E99" s="22" t="s">
        <v>431</v>
      </c>
      <c r="F99" s="21" t="s">
        <v>432</v>
      </c>
      <c r="G99" s="21" t="s">
        <v>433</v>
      </c>
      <c r="H99" s="21" t="s">
        <v>467</v>
      </c>
      <c r="I99" s="21" t="s">
        <v>300</v>
      </c>
      <c r="J99" s="21" t="s">
        <v>459</v>
      </c>
      <c r="K99" s="21" t="s">
        <v>442</v>
      </c>
      <c r="L99" s="23">
        <v>2.5</v>
      </c>
      <c r="M99" s="24">
        <v>62000</v>
      </c>
      <c r="N99" s="24">
        <v>0</v>
      </c>
      <c r="O99" s="25">
        <v>155000</v>
      </c>
      <c r="P99" s="25">
        <v>0</v>
      </c>
      <c r="Q99" s="24">
        <v>62000</v>
      </c>
      <c r="R99" s="21" t="s">
        <v>436</v>
      </c>
      <c r="S99" s="21" t="s">
        <v>437</v>
      </c>
      <c r="T99" s="21" t="s">
        <v>17</v>
      </c>
      <c r="U99" s="21" t="s">
        <v>438</v>
      </c>
      <c r="V99" s="21" t="s">
        <v>17</v>
      </c>
      <c r="W99" s="21" t="s">
        <v>439</v>
      </c>
      <c r="X99" s="21" t="s">
        <v>439</v>
      </c>
    </row>
    <row r="100" spans="1:24" ht="10.5" hidden="1" customHeight="1" x14ac:dyDescent="0.25">
      <c r="A100" s="20">
        <v>46025</v>
      </c>
      <c r="B100" s="21" t="str">
        <f t="shared" si="1"/>
        <v>03/01/2026NL300189</v>
      </c>
      <c r="C100" s="22" t="s">
        <v>466</v>
      </c>
      <c r="D100" s="22" t="s">
        <v>17</v>
      </c>
      <c r="E100" s="22" t="s">
        <v>431</v>
      </c>
      <c r="F100" s="21" t="s">
        <v>432</v>
      </c>
      <c r="G100" s="21" t="s">
        <v>433</v>
      </c>
      <c r="H100" s="21" t="s">
        <v>467</v>
      </c>
      <c r="I100" s="21" t="s">
        <v>378</v>
      </c>
      <c r="J100" s="21" t="s">
        <v>19</v>
      </c>
      <c r="K100" s="21" t="s">
        <v>442</v>
      </c>
      <c r="L100" s="23">
        <v>4</v>
      </c>
      <c r="M100" s="24">
        <v>15000</v>
      </c>
      <c r="N100" s="24">
        <v>0</v>
      </c>
      <c r="O100" s="25">
        <v>60000</v>
      </c>
      <c r="P100" s="25">
        <v>0</v>
      </c>
      <c r="Q100" s="24">
        <v>15000</v>
      </c>
      <c r="R100" s="21" t="s">
        <v>436</v>
      </c>
      <c r="S100" s="21" t="s">
        <v>437</v>
      </c>
      <c r="T100" s="21" t="s">
        <v>17</v>
      </c>
      <c r="U100" s="21" t="s">
        <v>438</v>
      </c>
      <c r="V100" s="21" t="s">
        <v>17</v>
      </c>
      <c r="W100" s="21" t="s">
        <v>439</v>
      </c>
      <c r="X100" s="21" t="s">
        <v>439</v>
      </c>
    </row>
    <row r="101" spans="1:24" ht="10.5" hidden="1" customHeight="1" x14ac:dyDescent="0.25">
      <c r="A101" s="20">
        <v>46025</v>
      </c>
      <c r="B101" s="21" t="str">
        <f t="shared" si="1"/>
        <v>03/01/2026NL300119</v>
      </c>
      <c r="C101" s="22" t="s">
        <v>466</v>
      </c>
      <c r="D101" s="22" t="s">
        <v>17</v>
      </c>
      <c r="E101" s="22" t="s">
        <v>431</v>
      </c>
      <c r="F101" s="21" t="s">
        <v>432</v>
      </c>
      <c r="G101" s="21" t="s">
        <v>433</v>
      </c>
      <c r="H101" s="21" t="s">
        <v>467</v>
      </c>
      <c r="I101" s="21" t="s">
        <v>310</v>
      </c>
      <c r="J101" s="21" t="s">
        <v>460</v>
      </c>
      <c r="K101" s="21" t="s">
        <v>442</v>
      </c>
      <c r="L101" s="23">
        <v>1.3</v>
      </c>
      <c r="M101" s="24">
        <v>21000</v>
      </c>
      <c r="N101" s="24">
        <v>0</v>
      </c>
      <c r="O101" s="25">
        <v>27300</v>
      </c>
      <c r="P101" s="25">
        <v>0</v>
      </c>
      <c r="Q101" s="24">
        <v>21000</v>
      </c>
      <c r="R101" s="21" t="s">
        <v>436</v>
      </c>
      <c r="S101" s="21" t="s">
        <v>437</v>
      </c>
      <c r="T101" s="21" t="s">
        <v>17</v>
      </c>
      <c r="U101" s="21" t="s">
        <v>438</v>
      </c>
      <c r="V101" s="21" t="s">
        <v>17</v>
      </c>
      <c r="W101" s="21" t="s">
        <v>439</v>
      </c>
      <c r="X101" s="21" t="s">
        <v>439</v>
      </c>
    </row>
    <row r="102" spans="1:24" ht="10.5" hidden="1" customHeight="1" x14ac:dyDescent="0.25">
      <c r="A102" s="20">
        <v>46025</v>
      </c>
      <c r="B102" s="21" t="str">
        <f t="shared" si="1"/>
        <v>03/01/2026NL300140</v>
      </c>
      <c r="C102" s="22" t="s">
        <v>466</v>
      </c>
      <c r="D102" s="22" t="s">
        <v>17</v>
      </c>
      <c r="E102" s="22" t="s">
        <v>431</v>
      </c>
      <c r="F102" s="21" t="s">
        <v>432</v>
      </c>
      <c r="G102" s="21" t="s">
        <v>433</v>
      </c>
      <c r="H102" s="21" t="s">
        <v>467</v>
      </c>
      <c r="I102" s="21" t="s">
        <v>282</v>
      </c>
      <c r="J102" s="21" t="s">
        <v>461</v>
      </c>
      <c r="K102" s="21" t="s">
        <v>442</v>
      </c>
      <c r="L102" s="23">
        <v>0.4</v>
      </c>
      <c r="M102" s="24">
        <v>36000</v>
      </c>
      <c r="N102" s="24">
        <v>0</v>
      </c>
      <c r="O102" s="25">
        <v>14400</v>
      </c>
      <c r="P102" s="25">
        <v>0</v>
      </c>
      <c r="Q102" s="24">
        <v>36000</v>
      </c>
      <c r="R102" s="21" t="s">
        <v>436</v>
      </c>
      <c r="S102" s="21" t="s">
        <v>437</v>
      </c>
      <c r="T102" s="21" t="s">
        <v>17</v>
      </c>
      <c r="U102" s="21" t="s">
        <v>438</v>
      </c>
      <c r="V102" s="21" t="s">
        <v>17</v>
      </c>
      <c r="W102" s="21" t="s">
        <v>439</v>
      </c>
      <c r="X102" s="21" t="s">
        <v>439</v>
      </c>
    </row>
    <row r="103" spans="1:24" ht="10.5" hidden="1" customHeight="1" x14ac:dyDescent="0.25">
      <c r="A103" s="20">
        <v>46025</v>
      </c>
      <c r="B103" s="21" t="str">
        <f t="shared" si="1"/>
        <v>03/01/2026NL100101</v>
      </c>
      <c r="C103" s="22" t="s">
        <v>466</v>
      </c>
      <c r="D103" s="22" t="s">
        <v>17</v>
      </c>
      <c r="E103" s="22" t="s">
        <v>431</v>
      </c>
      <c r="F103" s="21" t="s">
        <v>432</v>
      </c>
      <c r="G103" s="21" t="s">
        <v>433</v>
      </c>
      <c r="H103" s="21" t="s">
        <v>467</v>
      </c>
      <c r="I103" s="21" t="s">
        <v>344</v>
      </c>
      <c r="J103" s="21" t="s">
        <v>107</v>
      </c>
      <c r="K103" s="21" t="s">
        <v>435</v>
      </c>
      <c r="L103" s="23">
        <v>50</v>
      </c>
      <c r="M103" s="24">
        <v>5000</v>
      </c>
      <c r="N103" s="24">
        <v>0</v>
      </c>
      <c r="O103" s="25">
        <v>250000</v>
      </c>
      <c r="P103" s="25">
        <v>0</v>
      </c>
      <c r="Q103" s="24">
        <v>5000</v>
      </c>
      <c r="R103" s="21" t="s">
        <v>436</v>
      </c>
      <c r="S103" s="21" t="s">
        <v>437</v>
      </c>
      <c r="T103" s="21" t="s">
        <v>17</v>
      </c>
      <c r="U103" s="21" t="s">
        <v>438</v>
      </c>
      <c r="V103" s="21" t="s">
        <v>17</v>
      </c>
      <c r="W103" s="21" t="s">
        <v>439</v>
      </c>
      <c r="X103" s="21" t="s">
        <v>439</v>
      </c>
    </row>
    <row r="104" spans="1:24" ht="10.5" hidden="1" customHeight="1" x14ac:dyDescent="0.25">
      <c r="A104" s="20">
        <v>46025</v>
      </c>
      <c r="B104" s="21" t="str">
        <f t="shared" si="1"/>
        <v>03/01/2026NL600004</v>
      </c>
      <c r="C104" s="22" t="s">
        <v>466</v>
      </c>
      <c r="D104" s="22" t="s">
        <v>17</v>
      </c>
      <c r="E104" s="22" t="s">
        <v>431</v>
      </c>
      <c r="F104" s="21" t="s">
        <v>432</v>
      </c>
      <c r="G104" s="21" t="s">
        <v>433</v>
      </c>
      <c r="H104" s="21" t="s">
        <v>467</v>
      </c>
      <c r="I104" s="21" t="s">
        <v>225</v>
      </c>
      <c r="J104" s="21" t="s">
        <v>37</v>
      </c>
      <c r="K104" s="21" t="s">
        <v>442</v>
      </c>
      <c r="L104" s="23">
        <v>26.5</v>
      </c>
      <c r="M104" s="24">
        <v>18000</v>
      </c>
      <c r="N104" s="24">
        <v>0</v>
      </c>
      <c r="O104" s="25">
        <v>477000</v>
      </c>
      <c r="P104" s="25">
        <v>0</v>
      </c>
      <c r="Q104" s="24">
        <v>18000</v>
      </c>
      <c r="R104" s="21" t="s">
        <v>436</v>
      </c>
      <c r="S104" s="21" t="s">
        <v>437</v>
      </c>
      <c r="T104" s="21" t="s">
        <v>17</v>
      </c>
      <c r="U104" s="21" t="s">
        <v>438</v>
      </c>
      <c r="V104" s="21" t="s">
        <v>17</v>
      </c>
      <c r="W104" s="21" t="s">
        <v>439</v>
      </c>
      <c r="X104" s="21" t="s">
        <v>439</v>
      </c>
    </row>
    <row r="105" spans="1:24" ht="10.5" hidden="1" customHeight="1" x14ac:dyDescent="0.25">
      <c r="A105" s="20">
        <v>46025</v>
      </c>
      <c r="B105" s="21" t="str">
        <f t="shared" si="1"/>
        <v>03/01/2026NL600068</v>
      </c>
      <c r="C105" s="22" t="s">
        <v>466</v>
      </c>
      <c r="D105" s="22" t="s">
        <v>17</v>
      </c>
      <c r="E105" s="22" t="s">
        <v>431</v>
      </c>
      <c r="F105" s="21" t="s">
        <v>432</v>
      </c>
      <c r="G105" s="21" t="s">
        <v>433</v>
      </c>
      <c r="H105" s="21" t="s">
        <v>467</v>
      </c>
      <c r="I105" s="21" t="s">
        <v>377</v>
      </c>
      <c r="J105" s="21" t="s">
        <v>94</v>
      </c>
      <c r="K105" s="21" t="s">
        <v>442</v>
      </c>
      <c r="L105" s="23">
        <v>0.6</v>
      </c>
      <c r="M105" s="24">
        <v>95000</v>
      </c>
      <c r="N105" s="24">
        <v>0</v>
      </c>
      <c r="O105" s="25">
        <v>57000</v>
      </c>
      <c r="P105" s="25">
        <v>0</v>
      </c>
      <c r="Q105" s="24">
        <v>95000</v>
      </c>
      <c r="R105" s="21" t="s">
        <v>436</v>
      </c>
      <c r="S105" s="21" t="s">
        <v>437</v>
      </c>
      <c r="T105" s="21" t="s">
        <v>17</v>
      </c>
      <c r="U105" s="21" t="s">
        <v>438</v>
      </c>
      <c r="V105" s="21" t="s">
        <v>17</v>
      </c>
      <c r="W105" s="21" t="s">
        <v>439</v>
      </c>
      <c r="X105" s="21" t="s">
        <v>439</v>
      </c>
    </row>
    <row r="106" spans="1:24" ht="10.5" hidden="1" customHeight="1" x14ac:dyDescent="0.25">
      <c r="A106" s="20">
        <v>46025</v>
      </c>
      <c r="B106" s="21" t="str">
        <f t="shared" si="1"/>
        <v>03/01/2026NL300131</v>
      </c>
      <c r="C106" s="22" t="s">
        <v>466</v>
      </c>
      <c r="D106" s="22" t="s">
        <v>17</v>
      </c>
      <c r="E106" s="22" t="s">
        <v>431</v>
      </c>
      <c r="F106" s="21" t="s">
        <v>432</v>
      </c>
      <c r="G106" s="21" t="s">
        <v>433</v>
      </c>
      <c r="H106" s="21" t="s">
        <v>467</v>
      </c>
      <c r="I106" s="21" t="s">
        <v>340</v>
      </c>
      <c r="J106" s="21" t="s">
        <v>88</v>
      </c>
      <c r="K106" s="21" t="s">
        <v>442</v>
      </c>
      <c r="L106" s="23">
        <v>0.1</v>
      </c>
      <c r="M106" s="24">
        <v>220000</v>
      </c>
      <c r="N106" s="24">
        <v>0</v>
      </c>
      <c r="O106" s="25">
        <v>22000</v>
      </c>
      <c r="P106" s="25">
        <v>0</v>
      </c>
      <c r="Q106" s="24">
        <v>220000</v>
      </c>
      <c r="R106" s="21" t="s">
        <v>436</v>
      </c>
      <c r="S106" s="21" t="s">
        <v>437</v>
      </c>
      <c r="T106" s="21" t="s">
        <v>17</v>
      </c>
      <c r="U106" s="21" t="s">
        <v>438</v>
      </c>
      <c r="V106" s="21" t="s">
        <v>17</v>
      </c>
      <c r="W106" s="21" t="s">
        <v>439</v>
      </c>
      <c r="X106" s="21" t="s">
        <v>439</v>
      </c>
    </row>
    <row r="107" spans="1:24" ht="10.5" hidden="1" customHeight="1" x14ac:dyDescent="0.25">
      <c r="A107" s="20">
        <v>46025</v>
      </c>
      <c r="B107" s="21" t="str">
        <f t="shared" si="1"/>
        <v>03/01/2026NL300029</v>
      </c>
      <c r="C107" s="22" t="s">
        <v>466</v>
      </c>
      <c r="D107" s="22" t="s">
        <v>17</v>
      </c>
      <c r="E107" s="22" t="s">
        <v>431</v>
      </c>
      <c r="F107" s="21" t="s">
        <v>432</v>
      </c>
      <c r="G107" s="21" t="s">
        <v>433</v>
      </c>
      <c r="H107" s="21" t="s">
        <v>467</v>
      </c>
      <c r="I107" s="21" t="s">
        <v>213</v>
      </c>
      <c r="J107" s="21" t="s">
        <v>469</v>
      </c>
      <c r="K107" s="21" t="s">
        <v>442</v>
      </c>
      <c r="L107" s="23">
        <v>3</v>
      </c>
      <c r="M107" s="24">
        <v>22000</v>
      </c>
      <c r="N107" s="24">
        <v>0</v>
      </c>
      <c r="O107" s="25">
        <v>66000</v>
      </c>
      <c r="P107" s="25">
        <v>0</v>
      </c>
      <c r="Q107" s="24">
        <v>22000</v>
      </c>
      <c r="R107" s="21" t="s">
        <v>436</v>
      </c>
      <c r="S107" s="21" t="s">
        <v>437</v>
      </c>
      <c r="T107" s="21" t="s">
        <v>17</v>
      </c>
      <c r="U107" s="21" t="s">
        <v>438</v>
      </c>
      <c r="V107" s="21" t="s">
        <v>17</v>
      </c>
      <c r="W107" s="21" t="s">
        <v>439</v>
      </c>
      <c r="X107" s="21" t="s">
        <v>439</v>
      </c>
    </row>
    <row r="108" spans="1:24" ht="10.5" hidden="1" customHeight="1" x14ac:dyDescent="0.25">
      <c r="A108" s="20">
        <v>46025</v>
      </c>
      <c r="B108" s="21" t="str">
        <f t="shared" si="1"/>
        <v>03/01/2026NL300030</v>
      </c>
      <c r="C108" s="22" t="s">
        <v>466</v>
      </c>
      <c r="D108" s="22" t="s">
        <v>17</v>
      </c>
      <c r="E108" s="22" t="s">
        <v>431</v>
      </c>
      <c r="F108" s="21" t="s">
        <v>432</v>
      </c>
      <c r="G108" s="21" t="s">
        <v>433</v>
      </c>
      <c r="H108" s="21" t="s">
        <v>467</v>
      </c>
      <c r="I108" s="21" t="s">
        <v>313</v>
      </c>
      <c r="J108" s="21" t="s">
        <v>470</v>
      </c>
      <c r="K108" s="21" t="s">
        <v>442</v>
      </c>
      <c r="L108" s="23">
        <v>1.5</v>
      </c>
      <c r="M108" s="24">
        <v>34000</v>
      </c>
      <c r="N108" s="24">
        <v>0</v>
      </c>
      <c r="O108" s="25">
        <v>51000</v>
      </c>
      <c r="P108" s="25">
        <v>0</v>
      </c>
      <c r="Q108" s="24">
        <v>34000</v>
      </c>
      <c r="R108" s="21" t="s">
        <v>436</v>
      </c>
      <c r="S108" s="21" t="s">
        <v>437</v>
      </c>
      <c r="T108" s="21" t="s">
        <v>17</v>
      </c>
      <c r="U108" s="21" t="s">
        <v>438</v>
      </c>
      <c r="V108" s="21" t="s">
        <v>17</v>
      </c>
      <c r="W108" s="21" t="s">
        <v>439</v>
      </c>
      <c r="X108" s="21" t="s">
        <v>439</v>
      </c>
    </row>
    <row r="109" spans="1:24" ht="10.5" hidden="1" customHeight="1" x14ac:dyDescent="0.25">
      <c r="A109" s="20">
        <v>46025</v>
      </c>
      <c r="B109" s="21" t="str">
        <f t="shared" si="1"/>
        <v>03/01/2026NL300125</v>
      </c>
      <c r="C109" s="22" t="s">
        <v>466</v>
      </c>
      <c r="D109" s="22" t="s">
        <v>17</v>
      </c>
      <c r="E109" s="22" t="s">
        <v>431</v>
      </c>
      <c r="F109" s="21" t="s">
        <v>432</v>
      </c>
      <c r="G109" s="21" t="s">
        <v>433</v>
      </c>
      <c r="H109" s="21" t="s">
        <v>467</v>
      </c>
      <c r="I109" s="21" t="s">
        <v>337</v>
      </c>
      <c r="J109" s="21" t="s">
        <v>146</v>
      </c>
      <c r="K109" s="21" t="s">
        <v>442</v>
      </c>
      <c r="L109" s="23">
        <v>0.5</v>
      </c>
      <c r="M109" s="24">
        <v>42000</v>
      </c>
      <c r="N109" s="24">
        <v>0</v>
      </c>
      <c r="O109" s="25">
        <v>21000</v>
      </c>
      <c r="P109" s="25">
        <v>0</v>
      </c>
      <c r="Q109" s="24">
        <v>42000</v>
      </c>
      <c r="R109" s="21" t="s">
        <v>436</v>
      </c>
      <c r="S109" s="21" t="s">
        <v>437</v>
      </c>
      <c r="T109" s="21" t="s">
        <v>17</v>
      </c>
      <c r="U109" s="21" t="s">
        <v>438</v>
      </c>
      <c r="V109" s="21" t="s">
        <v>17</v>
      </c>
      <c r="W109" s="21" t="s">
        <v>439</v>
      </c>
      <c r="X109" s="21" t="s">
        <v>439</v>
      </c>
    </row>
    <row r="110" spans="1:24" ht="10.5" hidden="1" customHeight="1" x14ac:dyDescent="0.25">
      <c r="A110" s="20">
        <v>46025</v>
      </c>
      <c r="B110" s="21" t="str">
        <f t="shared" si="1"/>
        <v>03/01/2026NL600067</v>
      </c>
      <c r="C110" s="22" t="s">
        <v>466</v>
      </c>
      <c r="D110" s="22" t="s">
        <v>17</v>
      </c>
      <c r="E110" s="22" t="s">
        <v>431</v>
      </c>
      <c r="F110" s="21" t="s">
        <v>432</v>
      </c>
      <c r="G110" s="21" t="s">
        <v>433</v>
      </c>
      <c r="H110" s="21" t="s">
        <v>467</v>
      </c>
      <c r="I110" s="21" t="s">
        <v>376</v>
      </c>
      <c r="J110" s="21" t="s">
        <v>60</v>
      </c>
      <c r="K110" s="21" t="s">
        <v>442</v>
      </c>
      <c r="L110" s="23">
        <v>0.7</v>
      </c>
      <c r="M110" s="24">
        <v>75000</v>
      </c>
      <c r="N110" s="24">
        <v>0</v>
      </c>
      <c r="O110" s="25">
        <v>52500</v>
      </c>
      <c r="P110" s="25">
        <v>0</v>
      </c>
      <c r="Q110" s="24">
        <v>75000</v>
      </c>
      <c r="R110" s="21" t="s">
        <v>436</v>
      </c>
      <c r="S110" s="21" t="s">
        <v>437</v>
      </c>
      <c r="T110" s="21" t="s">
        <v>17</v>
      </c>
      <c r="U110" s="21" t="s">
        <v>438</v>
      </c>
      <c r="V110" s="21" t="s">
        <v>17</v>
      </c>
      <c r="W110" s="21" t="s">
        <v>439</v>
      </c>
      <c r="X110" s="21" t="s">
        <v>439</v>
      </c>
    </row>
    <row r="111" spans="1:24" ht="10.5" hidden="1" customHeight="1" x14ac:dyDescent="0.25">
      <c r="A111" s="20">
        <v>46025</v>
      </c>
      <c r="B111" s="21" t="str">
        <f t="shared" si="1"/>
        <v>03/01/2026NL300184</v>
      </c>
      <c r="C111" s="22" t="s">
        <v>466</v>
      </c>
      <c r="D111" s="22" t="s">
        <v>17</v>
      </c>
      <c r="E111" s="22" t="s">
        <v>431</v>
      </c>
      <c r="F111" s="21" t="s">
        <v>432</v>
      </c>
      <c r="G111" s="21" t="s">
        <v>433</v>
      </c>
      <c r="H111" s="21" t="s">
        <v>467</v>
      </c>
      <c r="I111" s="21" t="s">
        <v>368</v>
      </c>
      <c r="J111" s="21" t="s">
        <v>462</v>
      </c>
      <c r="K111" s="21" t="s">
        <v>442</v>
      </c>
      <c r="L111" s="23">
        <v>0.5</v>
      </c>
      <c r="M111" s="24">
        <v>18000</v>
      </c>
      <c r="N111" s="24">
        <v>0</v>
      </c>
      <c r="O111" s="25">
        <v>9000</v>
      </c>
      <c r="P111" s="25">
        <v>0</v>
      </c>
      <c r="Q111" s="24">
        <v>18000</v>
      </c>
      <c r="R111" s="21" t="s">
        <v>436</v>
      </c>
      <c r="S111" s="21" t="s">
        <v>437</v>
      </c>
      <c r="T111" s="21" t="s">
        <v>17</v>
      </c>
      <c r="U111" s="21" t="s">
        <v>438</v>
      </c>
      <c r="V111" s="21" t="s">
        <v>17</v>
      </c>
      <c r="W111" s="21" t="s">
        <v>439</v>
      </c>
      <c r="X111" s="21" t="s">
        <v>439</v>
      </c>
    </row>
    <row r="112" spans="1:24" ht="10.5" hidden="1" customHeight="1" x14ac:dyDescent="0.25">
      <c r="A112" s="20">
        <v>46026</v>
      </c>
      <c r="B112" s="21" t="str">
        <f t="shared" si="1"/>
        <v>04/01/2026NL100101</v>
      </c>
      <c r="C112" s="22" t="s">
        <v>471</v>
      </c>
      <c r="D112" s="22" t="s">
        <v>17</v>
      </c>
      <c r="E112" s="22" t="s">
        <v>431</v>
      </c>
      <c r="F112" s="21" t="s">
        <v>432</v>
      </c>
      <c r="G112" s="21" t="s">
        <v>433</v>
      </c>
      <c r="H112" s="21" t="s">
        <v>472</v>
      </c>
      <c r="I112" s="21" t="s">
        <v>344</v>
      </c>
      <c r="J112" s="21" t="s">
        <v>107</v>
      </c>
      <c r="K112" s="21" t="s">
        <v>435</v>
      </c>
      <c r="L112" s="23">
        <v>50</v>
      </c>
      <c r="M112" s="24">
        <v>5000</v>
      </c>
      <c r="N112" s="24">
        <v>0</v>
      </c>
      <c r="O112" s="25">
        <v>250000</v>
      </c>
      <c r="P112" s="25">
        <v>0</v>
      </c>
      <c r="Q112" s="24">
        <v>5000</v>
      </c>
      <c r="R112" s="21" t="s">
        <v>436</v>
      </c>
      <c r="S112" s="21" t="s">
        <v>437</v>
      </c>
      <c r="T112" s="21" t="s">
        <v>17</v>
      </c>
      <c r="U112" s="21" t="s">
        <v>438</v>
      </c>
      <c r="V112" s="21" t="s">
        <v>17</v>
      </c>
      <c r="W112" s="21" t="s">
        <v>439</v>
      </c>
      <c r="X112" s="21" t="s">
        <v>439</v>
      </c>
    </row>
    <row r="113" spans="1:24" ht="10.5" hidden="1" customHeight="1" x14ac:dyDescent="0.25">
      <c r="A113" s="20">
        <v>46026</v>
      </c>
      <c r="B113" s="21" t="str">
        <f t="shared" si="1"/>
        <v>04/01/2026NL300007</v>
      </c>
      <c r="C113" s="22" t="s">
        <v>471</v>
      </c>
      <c r="D113" s="22" t="s">
        <v>17</v>
      </c>
      <c r="E113" s="22" t="s">
        <v>431</v>
      </c>
      <c r="F113" s="21" t="s">
        <v>432</v>
      </c>
      <c r="G113" s="21" t="s">
        <v>433</v>
      </c>
      <c r="H113" s="21" t="s">
        <v>472</v>
      </c>
      <c r="I113" s="21" t="s">
        <v>309</v>
      </c>
      <c r="J113" s="21" t="s">
        <v>444</v>
      </c>
      <c r="K113" s="21" t="s">
        <v>442</v>
      </c>
      <c r="L113" s="23">
        <v>4.7</v>
      </c>
      <c r="M113" s="24">
        <v>30000</v>
      </c>
      <c r="N113" s="24">
        <v>0</v>
      </c>
      <c r="O113" s="25">
        <v>141000</v>
      </c>
      <c r="P113" s="25">
        <v>0</v>
      </c>
      <c r="Q113" s="24">
        <v>30000</v>
      </c>
      <c r="R113" s="21" t="s">
        <v>436</v>
      </c>
      <c r="S113" s="21" t="s">
        <v>437</v>
      </c>
      <c r="T113" s="21" t="s">
        <v>17</v>
      </c>
      <c r="U113" s="21" t="s">
        <v>438</v>
      </c>
      <c r="V113" s="21" t="s">
        <v>17</v>
      </c>
      <c r="W113" s="21" t="s">
        <v>439</v>
      </c>
      <c r="X113" s="21" t="s">
        <v>439</v>
      </c>
    </row>
    <row r="114" spans="1:24" ht="10.5" hidden="1" customHeight="1" x14ac:dyDescent="0.25">
      <c r="A114" s="20">
        <v>46026</v>
      </c>
      <c r="B114" s="21" t="str">
        <f t="shared" si="1"/>
        <v>04/01/2026NL300008</v>
      </c>
      <c r="C114" s="22" t="s">
        <v>471</v>
      </c>
      <c r="D114" s="22" t="s">
        <v>17</v>
      </c>
      <c r="E114" s="22" t="s">
        <v>431</v>
      </c>
      <c r="F114" s="21" t="s">
        <v>432</v>
      </c>
      <c r="G114" s="21" t="s">
        <v>433</v>
      </c>
      <c r="H114" s="21" t="s">
        <v>472</v>
      </c>
      <c r="I114" s="21" t="s">
        <v>320</v>
      </c>
      <c r="J114" s="21" t="s">
        <v>445</v>
      </c>
      <c r="K114" s="21" t="s">
        <v>442</v>
      </c>
      <c r="L114" s="23">
        <v>11</v>
      </c>
      <c r="M114" s="24">
        <v>40000</v>
      </c>
      <c r="N114" s="24">
        <v>0</v>
      </c>
      <c r="O114" s="25">
        <v>440000</v>
      </c>
      <c r="P114" s="25">
        <v>0</v>
      </c>
      <c r="Q114" s="24">
        <v>40000</v>
      </c>
      <c r="R114" s="21" t="s">
        <v>436</v>
      </c>
      <c r="S114" s="21" t="s">
        <v>437</v>
      </c>
      <c r="T114" s="21" t="s">
        <v>17</v>
      </c>
      <c r="U114" s="21" t="s">
        <v>438</v>
      </c>
      <c r="V114" s="21" t="s">
        <v>17</v>
      </c>
      <c r="W114" s="21" t="s">
        <v>439</v>
      </c>
      <c r="X114" s="21" t="s">
        <v>439</v>
      </c>
    </row>
    <row r="115" spans="1:24" ht="10.5" hidden="1" customHeight="1" x14ac:dyDescent="0.25">
      <c r="A115" s="20">
        <v>46026</v>
      </c>
      <c r="B115" s="21" t="str">
        <f t="shared" si="1"/>
        <v>04/01/2026NL300020</v>
      </c>
      <c r="C115" s="22" t="s">
        <v>471</v>
      </c>
      <c r="D115" s="22" t="s">
        <v>17</v>
      </c>
      <c r="E115" s="22" t="s">
        <v>431</v>
      </c>
      <c r="F115" s="21" t="s">
        <v>432</v>
      </c>
      <c r="G115" s="21" t="s">
        <v>433</v>
      </c>
      <c r="H115" s="21" t="s">
        <v>472</v>
      </c>
      <c r="I115" s="21" t="s">
        <v>326</v>
      </c>
      <c r="J115" s="21" t="s">
        <v>446</v>
      </c>
      <c r="K115" s="21" t="s">
        <v>442</v>
      </c>
      <c r="L115" s="23">
        <v>1</v>
      </c>
      <c r="M115" s="24">
        <v>30000</v>
      </c>
      <c r="N115" s="24">
        <v>0</v>
      </c>
      <c r="O115" s="25">
        <v>30000</v>
      </c>
      <c r="P115" s="25">
        <v>0</v>
      </c>
      <c r="Q115" s="24">
        <v>30000</v>
      </c>
      <c r="R115" s="21" t="s">
        <v>436</v>
      </c>
      <c r="S115" s="21" t="s">
        <v>437</v>
      </c>
      <c r="T115" s="21" t="s">
        <v>17</v>
      </c>
      <c r="U115" s="21" t="s">
        <v>438</v>
      </c>
      <c r="V115" s="21" t="s">
        <v>17</v>
      </c>
      <c r="W115" s="21" t="s">
        <v>439</v>
      </c>
      <c r="X115" s="21" t="s">
        <v>439</v>
      </c>
    </row>
    <row r="116" spans="1:24" ht="10.5" hidden="1" customHeight="1" x14ac:dyDescent="0.25">
      <c r="A116" s="20">
        <v>46026</v>
      </c>
      <c r="B116" s="21" t="str">
        <f t="shared" si="1"/>
        <v>04/01/2026NL300035</v>
      </c>
      <c r="C116" s="22" t="s">
        <v>471</v>
      </c>
      <c r="D116" s="22" t="s">
        <v>17</v>
      </c>
      <c r="E116" s="22" t="s">
        <v>431</v>
      </c>
      <c r="F116" s="21" t="s">
        <v>432</v>
      </c>
      <c r="G116" s="21" t="s">
        <v>433</v>
      </c>
      <c r="H116" s="21" t="s">
        <v>472</v>
      </c>
      <c r="I116" s="21" t="s">
        <v>383</v>
      </c>
      <c r="J116" s="21" t="s">
        <v>448</v>
      </c>
      <c r="K116" s="21" t="s">
        <v>442</v>
      </c>
      <c r="L116" s="23">
        <v>0.2</v>
      </c>
      <c r="M116" s="24">
        <v>25000</v>
      </c>
      <c r="N116" s="24">
        <v>0</v>
      </c>
      <c r="O116" s="25">
        <v>5000</v>
      </c>
      <c r="P116" s="25">
        <v>0</v>
      </c>
      <c r="Q116" s="24">
        <v>25000</v>
      </c>
      <c r="R116" s="21" t="s">
        <v>436</v>
      </c>
      <c r="S116" s="21" t="s">
        <v>437</v>
      </c>
      <c r="T116" s="21" t="s">
        <v>17</v>
      </c>
      <c r="U116" s="21" t="s">
        <v>438</v>
      </c>
      <c r="V116" s="21" t="s">
        <v>17</v>
      </c>
      <c r="W116" s="21" t="s">
        <v>439</v>
      </c>
      <c r="X116" s="21" t="s">
        <v>439</v>
      </c>
    </row>
    <row r="117" spans="1:24" ht="10.5" hidden="1" customHeight="1" x14ac:dyDescent="0.25">
      <c r="A117" s="20">
        <v>46026</v>
      </c>
      <c r="B117" s="21" t="str">
        <f t="shared" si="1"/>
        <v>04/01/2026NL300036</v>
      </c>
      <c r="C117" s="22" t="s">
        <v>471</v>
      </c>
      <c r="D117" s="22" t="s">
        <v>17</v>
      </c>
      <c r="E117" s="22" t="s">
        <v>431</v>
      </c>
      <c r="F117" s="21" t="s">
        <v>432</v>
      </c>
      <c r="G117" s="21" t="s">
        <v>433</v>
      </c>
      <c r="H117" s="21" t="s">
        <v>472</v>
      </c>
      <c r="I117" s="21" t="s">
        <v>380</v>
      </c>
      <c r="J117" s="21" t="s">
        <v>96</v>
      </c>
      <c r="K117" s="21" t="s">
        <v>442</v>
      </c>
      <c r="L117" s="23">
        <v>1</v>
      </c>
      <c r="M117" s="24">
        <v>47000</v>
      </c>
      <c r="N117" s="24">
        <v>0</v>
      </c>
      <c r="O117" s="25">
        <v>47000</v>
      </c>
      <c r="P117" s="25">
        <v>0</v>
      </c>
      <c r="Q117" s="24">
        <v>47000</v>
      </c>
      <c r="R117" s="21" t="s">
        <v>436</v>
      </c>
      <c r="S117" s="21" t="s">
        <v>437</v>
      </c>
      <c r="T117" s="21" t="s">
        <v>17</v>
      </c>
      <c r="U117" s="21" t="s">
        <v>438</v>
      </c>
      <c r="V117" s="21" t="s">
        <v>17</v>
      </c>
      <c r="W117" s="21" t="s">
        <v>439</v>
      </c>
      <c r="X117" s="21" t="s">
        <v>439</v>
      </c>
    </row>
    <row r="118" spans="1:24" ht="10.5" hidden="1" customHeight="1" x14ac:dyDescent="0.25">
      <c r="A118" s="20">
        <v>46026</v>
      </c>
      <c r="B118" s="21" t="str">
        <f t="shared" si="1"/>
        <v>04/01/2026NL300041</v>
      </c>
      <c r="C118" s="22" t="s">
        <v>471</v>
      </c>
      <c r="D118" s="22" t="s">
        <v>17</v>
      </c>
      <c r="E118" s="22" t="s">
        <v>431</v>
      </c>
      <c r="F118" s="21" t="s">
        <v>432</v>
      </c>
      <c r="G118" s="21" t="s">
        <v>433</v>
      </c>
      <c r="H118" s="21" t="s">
        <v>472</v>
      </c>
      <c r="I118" s="21" t="s">
        <v>222</v>
      </c>
      <c r="J118" s="21" t="s">
        <v>449</v>
      </c>
      <c r="K118" s="21" t="s">
        <v>450</v>
      </c>
      <c r="L118" s="23">
        <v>9</v>
      </c>
      <c r="M118" s="24">
        <v>15000</v>
      </c>
      <c r="N118" s="24">
        <v>0</v>
      </c>
      <c r="O118" s="25">
        <v>135000</v>
      </c>
      <c r="P118" s="25">
        <v>0</v>
      </c>
      <c r="Q118" s="24">
        <v>15000</v>
      </c>
      <c r="R118" s="21" t="s">
        <v>436</v>
      </c>
      <c r="S118" s="21" t="s">
        <v>437</v>
      </c>
      <c r="T118" s="21" t="s">
        <v>17</v>
      </c>
      <c r="U118" s="21" t="s">
        <v>438</v>
      </c>
      <c r="V118" s="21" t="s">
        <v>17</v>
      </c>
      <c r="W118" s="21" t="s">
        <v>439</v>
      </c>
      <c r="X118" s="21" t="s">
        <v>439</v>
      </c>
    </row>
    <row r="119" spans="1:24" ht="10.5" hidden="1" customHeight="1" x14ac:dyDescent="0.25">
      <c r="A119" s="20">
        <v>46026</v>
      </c>
      <c r="B119" s="21" t="str">
        <f t="shared" si="1"/>
        <v>04/01/2026NL300054</v>
      </c>
      <c r="C119" s="22" t="s">
        <v>471</v>
      </c>
      <c r="D119" s="22" t="s">
        <v>17</v>
      </c>
      <c r="E119" s="22" t="s">
        <v>431</v>
      </c>
      <c r="F119" s="21" t="s">
        <v>432</v>
      </c>
      <c r="G119" s="21" t="s">
        <v>433</v>
      </c>
      <c r="H119" s="21" t="s">
        <v>472</v>
      </c>
      <c r="I119" s="21" t="s">
        <v>216</v>
      </c>
      <c r="J119" s="21" t="s">
        <v>451</v>
      </c>
      <c r="K119" s="21" t="s">
        <v>442</v>
      </c>
      <c r="L119" s="23">
        <v>1</v>
      </c>
      <c r="M119" s="24">
        <v>38000</v>
      </c>
      <c r="N119" s="24">
        <v>0</v>
      </c>
      <c r="O119" s="25">
        <v>38000</v>
      </c>
      <c r="P119" s="25">
        <v>0</v>
      </c>
      <c r="Q119" s="24">
        <v>38000</v>
      </c>
      <c r="R119" s="21" t="s">
        <v>436</v>
      </c>
      <c r="S119" s="21" t="s">
        <v>437</v>
      </c>
      <c r="T119" s="21" t="s">
        <v>17</v>
      </c>
      <c r="U119" s="21" t="s">
        <v>438</v>
      </c>
      <c r="V119" s="21" t="s">
        <v>17</v>
      </c>
      <c r="W119" s="21" t="s">
        <v>439</v>
      </c>
      <c r="X119" s="21" t="s">
        <v>439</v>
      </c>
    </row>
    <row r="120" spans="1:24" ht="10.5" hidden="1" customHeight="1" x14ac:dyDescent="0.25">
      <c r="A120" s="20">
        <v>46026</v>
      </c>
      <c r="B120" s="21" t="str">
        <f t="shared" si="1"/>
        <v>04/01/2026NL300058</v>
      </c>
      <c r="C120" s="22" t="s">
        <v>471</v>
      </c>
      <c r="D120" s="22" t="s">
        <v>17</v>
      </c>
      <c r="E120" s="22" t="s">
        <v>431</v>
      </c>
      <c r="F120" s="21" t="s">
        <v>432</v>
      </c>
      <c r="G120" s="21" t="s">
        <v>433</v>
      </c>
      <c r="H120" s="21" t="s">
        <v>472</v>
      </c>
      <c r="I120" s="21" t="s">
        <v>228</v>
      </c>
      <c r="J120" s="21" t="s">
        <v>39</v>
      </c>
      <c r="K120" s="21" t="s">
        <v>442</v>
      </c>
      <c r="L120" s="23">
        <v>2</v>
      </c>
      <c r="M120" s="24">
        <v>55000</v>
      </c>
      <c r="N120" s="24">
        <v>0</v>
      </c>
      <c r="O120" s="25">
        <v>110000</v>
      </c>
      <c r="P120" s="25">
        <v>0</v>
      </c>
      <c r="Q120" s="24">
        <v>55000</v>
      </c>
      <c r="R120" s="21" t="s">
        <v>436</v>
      </c>
      <c r="S120" s="21" t="s">
        <v>437</v>
      </c>
      <c r="T120" s="21" t="s">
        <v>17</v>
      </c>
      <c r="U120" s="21" t="s">
        <v>438</v>
      </c>
      <c r="V120" s="21" t="s">
        <v>17</v>
      </c>
      <c r="W120" s="21" t="s">
        <v>439</v>
      </c>
      <c r="X120" s="21" t="s">
        <v>439</v>
      </c>
    </row>
    <row r="121" spans="1:24" ht="10.5" hidden="1" customHeight="1" x14ac:dyDescent="0.25">
      <c r="A121" s="20">
        <v>46026</v>
      </c>
      <c r="B121" s="21" t="str">
        <f t="shared" si="1"/>
        <v>04/01/2026NL300059</v>
      </c>
      <c r="C121" s="22" t="s">
        <v>471</v>
      </c>
      <c r="D121" s="22" t="s">
        <v>17</v>
      </c>
      <c r="E121" s="22" t="s">
        <v>431</v>
      </c>
      <c r="F121" s="21" t="s">
        <v>432</v>
      </c>
      <c r="G121" s="21" t="s">
        <v>433</v>
      </c>
      <c r="H121" s="21" t="s">
        <v>472</v>
      </c>
      <c r="I121" s="21" t="s">
        <v>229</v>
      </c>
      <c r="J121" s="21" t="s">
        <v>114</v>
      </c>
      <c r="K121" s="21" t="s">
        <v>442</v>
      </c>
      <c r="L121" s="23">
        <v>0.5</v>
      </c>
      <c r="M121" s="24">
        <v>13000</v>
      </c>
      <c r="N121" s="24">
        <v>0</v>
      </c>
      <c r="O121" s="25">
        <v>6500</v>
      </c>
      <c r="P121" s="25">
        <v>0</v>
      </c>
      <c r="Q121" s="24">
        <v>13000</v>
      </c>
      <c r="R121" s="21" t="s">
        <v>436</v>
      </c>
      <c r="S121" s="21" t="s">
        <v>437</v>
      </c>
      <c r="T121" s="21" t="s">
        <v>17</v>
      </c>
      <c r="U121" s="21" t="s">
        <v>438</v>
      </c>
      <c r="V121" s="21" t="s">
        <v>17</v>
      </c>
      <c r="W121" s="21" t="s">
        <v>439</v>
      </c>
      <c r="X121" s="21" t="s">
        <v>439</v>
      </c>
    </row>
    <row r="122" spans="1:24" ht="10.5" hidden="1" customHeight="1" x14ac:dyDescent="0.25">
      <c r="A122" s="20">
        <v>46026</v>
      </c>
      <c r="B122" s="21" t="str">
        <f t="shared" si="1"/>
        <v>04/01/2026NL300088</v>
      </c>
      <c r="C122" s="22" t="s">
        <v>471</v>
      </c>
      <c r="D122" s="22" t="s">
        <v>17</v>
      </c>
      <c r="E122" s="22" t="s">
        <v>431</v>
      </c>
      <c r="F122" s="21" t="s">
        <v>432</v>
      </c>
      <c r="G122" s="21" t="s">
        <v>433</v>
      </c>
      <c r="H122" s="21" t="s">
        <v>472</v>
      </c>
      <c r="I122" s="21" t="s">
        <v>254</v>
      </c>
      <c r="J122" s="21" t="s">
        <v>15</v>
      </c>
      <c r="K122" s="21" t="s">
        <v>442</v>
      </c>
      <c r="L122" s="23">
        <v>2</v>
      </c>
      <c r="M122" s="24">
        <v>27000</v>
      </c>
      <c r="N122" s="24">
        <v>0</v>
      </c>
      <c r="O122" s="25">
        <v>54000</v>
      </c>
      <c r="P122" s="25">
        <v>0</v>
      </c>
      <c r="Q122" s="24">
        <v>27000</v>
      </c>
      <c r="R122" s="21" t="s">
        <v>436</v>
      </c>
      <c r="S122" s="21" t="s">
        <v>437</v>
      </c>
      <c r="T122" s="21" t="s">
        <v>17</v>
      </c>
      <c r="U122" s="21" t="s">
        <v>438</v>
      </c>
      <c r="V122" s="21" t="s">
        <v>17</v>
      </c>
      <c r="W122" s="21" t="s">
        <v>439</v>
      </c>
      <c r="X122" s="21" t="s">
        <v>439</v>
      </c>
    </row>
    <row r="123" spans="1:24" ht="10.5" hidden="1" customHeight="1" x14ac:dyDescent="0.25">
      <c r="A123" s="20">
        <v>46026</v>
      </c>
      <c r="B123" s="21" t="str">
        <f t="shared" si="1"/>
        <v>04/01/2026NL300090</v>
      </c>
      <c r="C123" s="22" t="s">
        <v>471</v>
      </c>
      <c r="D123" s="22" t="s">
        <v>17</v>
      </c>
      <c r="E123" s="22" t="s">
        <v>431</v>
      </c>
      <c r="F123" s="21" t="s">
        <v>432</v>
      </c>
      <c r="G123" s="21" t="s">
        <v>433</v>
      </c>
      <c r="H123" s="21" t="s">
        <v>472</v>
      </c>
      <c r="I123" s="21" t="s">
        <v>255</v>
      </c>
      <c r="J123" s="21" t="s">
        <v>70</v>
      </c>
      <c r="K123" s="21" t="s">
        <v>442</v>
      </c>
      <c r="L123" s="23">
        <v>4.8</v>
      </c>
      <c r="M123" s="24">
        <v>145000</v>
      </c>
      <c r="N123" s="24">
        <v>0</v>
      </c>
      <c r="O123" s="25">
        <v>696000</v>
      </c>
      <c r="P123" s="25">
        <v>0</v>
      </c>
      <c r="Q123" s="24">
        <v>145000</v>
      </c>
      <c r="R123" s="21" t="s">
        <v>436</v>
      </c>
      <c r="S123" s="21" t="s">
        <v>437</v>
      </c>
      <c r="T123" s="21" t="s">
        <v>17</v>
      </c>
      <c r="U123" s="21" t="s">
        <v>438</v>
      </c>
      <c r="V123" s="21" t="s">
        <v>17</v>
      </c>
      <c r="W123" s="21" t="s">
        <v>439</v>
      </c>
      <c r="X123" s="21" t="s">
        <v>439</v>
      </c>
    </row>
    <row r="124" spans="1:24" ht="10.5" hidden="1" customHeight="1" x14ac:dyDescent="0.25">
      <c r="A124" s="20">
        <v>46026</v>
      </c>
      <c r="B124" s="21" t="str">
        <f t="shared" si="1"/>
        <v>04/01/2026NL300091</v>
      </c>
      <c r="C124" s="22" t="s">
        <v>471</v>
      </c>
      <c r="D124" s="22" t="s">
        <v>17</v>
      </c>
      <c r="E124" s="22" t="s">
        <v>431</v>
      </c>
      <c r="F124" s="21" t="s">
        <v>432</v>
      </c>
      <c r="G124" s="21" t="s">
        <v>433</v>
      </c>
      <c r="H124" s="21" t="s">
        <v>472</v>
      </c>
      <c r="I124" s="21" t="s">
        <v>256</v>
      </c>
      <c r="J124" s="21" t="s">
        <v>72</v>
      </c>
      <c r="K124" s="21" t="s">
        <v>442</v>
      </c>
      <c r="L124" s="23">
        <v>2</v>
      </c>
      <c r="M124" s="24">
        <v>47000</v>
      </c>
      <c r="N124" s="24">
        <v>0</v>
      </c>
      <c r="O124" s="25">
        <v>94000</v>
      </c>
      <c r="P124" s="25">
        <v>0</v>
      </c>
      <c r="Q124" s="24">
        <v>47000</v>
      </c>
      <c r="R124" s="21" t="s">
        <v>436</v>
      </c>
      <c r="S124" s="21" t="s">
        <v>437</v>
      </c>
      <c r="T124" s="21" t="s">
        <v>17</v>
      </c>
      <c r="U124" s="21" t="s">
        <v>438</v>
      </c>
      <c r="V124" s="21" t="s">
        <v>17</v>
      </c>
      <c r="W124" s="21" t="s">
        <v>439</v>
      </c>
      <c r="X124" s="21" t="s">
        <v>439</v>
      </c>
    </row>
    <row r="125" spans="1:24" ht="10.5" hidden="1" customHeight="1" x14ac:dyDescent="0.25">
      <c r="A125" s="20">
        <v>46026</v>
      </c>
      <c r="B125" s="21" t="str">
        <f t="shared" si="1"/>
        <v>04/01/2026NL300092</v>
      </c>
      <c r="C125" s="22" t="s">
        <v>471</v>
      </c>
      <c r="D125" s="22" t="s">
        <v>17</v>
      </c>
      <c r="E125" s="22" t="s">
        <v>431</v>
      </c>
      <c r="F125" s="21" t="s">
        <v>432</v>
      </c>
      <c r="G125" s="21" t="s">
        <v>433</v>
      </c>
      <c r="H125" s="21" t="s">
        <v>472</v>
      </c>
      <c r="I125" s="21" t="s">
        <v>329</v>
      </c>
      <c r="J125" s="21" t="s">
        <v>74</v>
      </c>
      <c r="K125" s="21" t="s">
        <v>442</v>
      </c>
      <c r="L125" s="23">
        <v>1.3</v>
      </c>
      <c r="M125" s="24">
        <v>90000</v>
      </c>
      <c r="N125" s="24">
        <v>0</v>
      </c>
      <c r="O125" s="25">
        <v>117000</v>
      </c>
      <c r="P125" s="25">
        <v>0</v>
      </c>
      <c r="Q125" s="24">
        <v>90000</v>
      </c>
      <c r="R125" s="21" t="s">
        <v>436</v>
      </c>
      <c r="S125" s="21" t="s">
        <v>437</v>
      </c>
      <c r="T125" s="21" t="s">
        <v>17</v>
      </c>
      <c r="U125" s="21" t="s">
        <v>438</v>
      </c>
      <c r="V125" s="21" t="s">
        <v>17</v>
      </c>
      <c r="W125" s="21" t="s">
        <v>439</v>
      </c>
      <c r="X125" s="21" t="s">
        <v>439</v>
      </c>
    </row>
    <row r="126" spans="1:24" ht="10.5" hidden="1" customHeight="1" x14ac:dyDescent="0.25">
      <c r="A126" s="20">
        <v>46026</v>
      </c>
      <c r="B126" s="21" t="str">
        <f t="shared" si="1"/>
        <v>04/01/2026NL300096</v>
      </c>
      <c r="C126" s="22" t="s">
        <v>471</v>
      </c>
      <c r="D126" s="22" t="s">
        <v>17</v>
      </c>
      <c r="E126" s="22" t="s">
        <v>431</v>
      </c>
      <c r="F126" s="21" t="s">
        <v>432</v>
      </c>
      <c r="G126" s="21" t="s">
        <v>433</v>
      </c>
      <c r="H126" s="21" t="s">
        <v>472</v>
      </c>
      <c r="I126" s="21" t="s">
        <v>258</v>
      </c>
      <c r="J126" s="21" t="s">
        <v>45</v>
      </c>
      <c r="K126" s="21" t="s">
        <v>442</v>
      </c>
      <c r="L126" s="23">
        <v>4.7</v>
      </c>
      <c r="M126" s="24">
        <v>45000</v>
      </c>
      <c r="N126" s="24">
        <v>0</v>
      </c>
      <c r="O126" s="25">
        <v>211500</v>
      </c>
      <c r="P126" s="25">
        <v>0</v>
      </c>
      <c r="Q126" s="24">
        <v>45000</v>
      </c>
      <c r="R126" s="21" t="s">
        <v>436</v>
      </c>
      <c r="S126" s="21" t="s">
        <v>437</v>
      </c>
      <c r="T126" s="21" t="s">
        <v>17</v>
      </c>
      <c r="U126" s="21" t="s">
        <v>438</v>
      </c>
      <c r="V126" s="21" t="s">
        <v>17</v>
      </c>
      <c r="W126" s="21" t="s">
        <v>439</v>
      </c>
      <c r="X126" s="21" t="s">
        <v>439</v>
      </c>
    </row>
    <row r="127" spans="1:24" ht="10.5" hidden="1" customHeight="1" x14ac:dyDescent="0.25">
      <c r="A127" s="20">
        <v>46026</v>
      </c>
      <c r="B127" s="21" t="str">
        <f t="shared" si="1"/>
        <v>04/01/2026NL300107</v>
      </c>
      <c r="C127" s="22" t="s">
        <v>471</v>
      </c>
      <c r="D127" s="22" t="s">
        <v>17</v>
      </c>
      <c r="E127" s="22" t="s">
        <v>431</v>
      </c>
      <c r="F127" s="21" t="s">
        <v>432</v>
      </c>
      <c r="G127" s="21" t="s">
        <v>433</v>
      </c>
      <c r="H127" s="21" t="s">
        <v>472</v>
      </c>
      <c r="I127" s="21" t="s">
        <v>193</v>
      </c>
      <c r="J127" s="21" t="s">
        <v>455</v>
      </c>
      <c r="K127" s="21" t="s">
        <v>450</v>
      </c>
      <c r="L127" s="23">
        <v>15</v>
      </c>
      <c r="M127" s="24">
        <v>8500</v>
      </c>
      <c r="N127" s="24">
        <v>0</v>
      </c>
      <c r="O127" s="25">
        <v>127500</v>
      </c>
      <c r="P127" s="25">
        <v>0</v>
      </c>
      <c r="Q127" s="24">
        <v>8500</v>
      </c>
      <c r="R127" s="21" t="s">
        <v>436</v>
      </c>
      <c r="S127" s="21" t="s">
        <v>437</v>
      </c>
      <c r="T127" s="21" t="s">
        <v>17</v>
      </c>
      <c r="U127" s="21" t="s">
        <v>438</v>
      </c>
      <c r="V127" s="21" t="s">
        <v>17</v>
      </c>
      <c r="W127" s="21" t="s">
        <v>439</v>
      </c>
      <c r="X127" s="21" t="s">
        <v>439</v>
      </c>
    </row>
    <row r="128" spans="1:24" ht="10.5" hidden="1" customHeight="1" x14ac:dyDescent="0.25">
      <c r="A128" s="20">
        <v>46026</v>
      </c>
      <c r="B128" s="21" t="str">
        <f t="shared" si="1"/>
        <v>04/01/2026NL300116</v>
      </c>
      <c r="C128" s="22" t="s">
        <v>471</v>
      </c>
      <c r="D128" s="22" t="s">
        <v>17</v>
      </c>
      <c r="E128" s="22" t="s">
        <v>431</v>
      </c>
      <c r="F128" s="21" t="s">
        <v>432</v>
      </c>
      <c r="G128" s="21" t="s">
        <v>433</v>
      </c>
      <c r="H128" s="21" t="s">
        <v>472</v>
      </c>
      <c r="I128" s="21" t="s">
        <v>315</v>
      </c>
      <c r="J128" s="21" t="s">
        <v>456</v>
      </c>
      <c r="K128" s="21" t="s">
        <v>442</v>
      </c>
      <c r="L128" s="23">
        <v>0.2</v>
      </c>
      <c r="M128" s="24">
        <v>148000</v>
      </c>
      <c r="N128" s="24">
        <v>0</v>
      </c>
      <c r="O128" s="25">
        <v>29600</v>
      </c>
      <c r="P128" s="25">
        <v>0</v>
      </c>
      <c r="Q128" s="24">
        <v>148000</v>
      </c>
      <c r="R128" s="21" t="s">
        <v>436</v>
      </c>
      <c r="S128" s="21" t="s">
        <v>437</v>
      </c>
      <c r="T128" s="21" t="s">
        <v>17</v>
      </c>
      <c r="U128" s="21" t="s">
        <v>438</v>
      </c>
      <c r="V128" s="21" t="s">
        <v>17</v>
      </c>
      <c r="W128" s="21" t="s">
        <v>439</v>
      </c>
      <c r="X128" s="21" t="s">
        <v>439</v>
      </c>
    </row>
    <row r="129" spans="1:24" ht="10.5" hidden="1" customHeight="1" x14ac:dyDescent="0.25">
      <c r="A129" s="20">
        <v>46026</v>
      </c>
      <c r="B129" s="21" t="str">
        <f t="shared" si="1"/>
        <v>04/01/2026NL300126</v>
      </c>
      <c r="C129" s="22" t="s">
        <v>471</v>
      </c>
      <c r="D129" s="22" t="s">
        <v>17</v>
      </c>
      <c r="E129" s="22" t="s">
        <v>431</v>
      </c>
      <c r="F129" s="21" t="s">
        <v>432</v>
      </c>
      <c r="G129" s="21" t="s">
        <v>433</v>
      </c>
      <c r="H129" s="21" t="s">
        <v>472</v>
      </c>
      <c r="I129" s="21" t="s">
        <v>264</v>
      </c>
      <c r="J129" s="21" t="s">
        <v>457</v>
      </c>
      <c r="K129" s="21" t="s">
        <v>442</v>
      </c>
      <c r="L129" s="23">
        <v>0.1</v>
      </c>
      <c r="M129" s="24">
        <v>70000</v>
      </c>
      <c r="N129" s="24">
        <v>0</v>
      </c>
      <c r="O129" s="25">
        <v>7000</v>
      </c>
      <c r="P129" s="25">
        <v>0</v>
      </c>
      <c r="Q129" s="24">
        <v>70000</v>
      </c>
      <c r="R129" s="21" t="s">
        <v>436</v>
      </c>
      <c r="S129" s="21" t="s">
        <v>437</v>
      </c>
      <c r="T129" s="21" t="s">
        <v>17</v>
      </c>
      <c r="U129" s="21" t="s">
        <v>438</v>
      </c>
      <c r="V129" s="21" t="s">
        <v>17</v>
      </c>
      <c r="W129" s="21" t="s">
        <v>439</v>
      </c>
      <c r="X129" s="21" t="s">
        <v>439</v>
      </c>
    </row>
    <row r="130" spans="1:24" ht="10.5" hidden="1" customHeight="1" x14ac:dyDescent="0.25">
      <c r="A130" s="20">
        <v>46026</v>
      </c>
      <c r="B130" s="21" t="str">
        <f t="shared" si="1"/>
        <v>04/01/2026NL300132</v>
      </c>
      <c r="C130" s="22" t="s">
        <v>471</v>
      </c>
      <c r="D130" s="22" t="s">
        <v>17</v>
      </c>
      <c r="E130" s="22" t="s">
        <v>431</v>
      </c>
      <c r="F130" s="21" t="s">
        <v>432</v>
      </c>
      <c r="G130" s="21" t="s">
        <v>433</v>
      </c>
      <c r="H130" s="21" t="s">
        <v>472</v>
      </c>
      <c r="I130" s="21" t="s">
        <v>285</v>
      </c>
      <c r="J130" s="21" t="s">
        <v>82</v>
      </c>
      <c r="K130" s="21" t="s">
        <v>442</v>
      </c>
      <c r="L130" s="23">
        <v>1</v>
      </c>
      <c r="M130" s="24">
        <v>12000</v>
      </c>
      <c r="N130" s="24">
        <v>0</v>
      </c>
      <c r="O130" s="25">
        <v>12000</v>
      </c>
      <c r="P130" s="25">
        <v>0</v>
      </c>
      <c r="Q130" s="24">
        <v>12000</v>
      </c>
      <c r="R130" s="21" t="s">
        <v>436</v>
      </c>
      <c r="S130" s="21" t="s">
        <v>437</v>
      </c>
      <c r="T130" s="21" t="s">
        <v>17</v>
      </c>
      <c r="U130" s="21" t="s">
        <v>438</v>
      </c>
      <c r="V130" s="21" t="s">
        <v>17</v>
      </c>
      <c r="W130" s="21" t="s">
        <v>439</v>
      </c>
      <c r="X130" s="21" t="s">
        <v>439</v>
      </c>
    </row>
    <row r="131" spans="1:24" ht="10.5" hidden="1" customHeight="1" x14ac:dyDescent="0.25">
      <c r="A131" s="20">
        <v>46026</v>
      </c>
      <c r="B131" s="21" t="str">
        <f t="shared" ref="B131:B194" si="2">"0"&amp;DAY(A131)&amp;"/01/2026"&amp;I131</f>
        <v>04/01/2026NL300137</v>
      </c>
      <c r="C131" s="22" t="s">
        <v>471</v>
      </c>
      <c r="D131" s="22" t="s">
        <v>17</v>
      </c>
      <c r="E131" s="22" t="s">
        <v>431</v>
      </c>
      <c r="F131" s="21" t="s">
        <v>432</v>
      </c>
      <c r="G131" s="21" t="s">
        <v>433</v>
      </c>
      <c r="H131" s="21" t="s">
        <v>472</v>
      </c>
      <c r="I131" s="21" t="s">
        <v>196</v>
      </c>
      <c r="J131" s="21" t="s">
        <v>458</v>
      </c>
      <c r="K131" s="21" t="s">
        <v>442</v>
      </c>
      <c r="L131" s="23">
        <v>2</v>
      </c>
      <c r="M131" s="24">
        <v>52000</v>
      </c>
      <c r="N131" s="24">
        <v>0</v>
      </c>
      <c r="O131" s="25">
        <v>104000</v>
      </c>
      <c r="P131" s="25">
        <v>0</v>
      </c>
      <c r="Q131" s="24">
        <v>52000</v>
      </c>
      <c r="R131" s="21" t="s">
        <v>436</v>
      </c>
      <c r="S131" s="21" t="s">
        <v>437</v>
      </c>
      <c r="T131" s="21" t="s">
        <v>17</v>
      </c>
      <c r="U131" s="21" t="s">
        <v>438</v>
      </c>
      <c r="V131" s="21" t="s">
        <v>17</v>
      </c>
      <c r="W131" s="21" t="s">
        <v>439</v>
      </c>
      <c r="X131" s="21" t="s">
        <v>439</v>
      </c>
    </row>
    <row r="132" spans="1:24" ht="10.5" hidden="1" customHeight="1" x14ac:dyDescent="0.25">
      <c r="A132" s="20">
        <v>46026</v>
      </c>
      <c r="B132" s="21" t="str">
        <f t="shared" si="2"/>
        <v>04/01/2026NL300147</v>
      </c>
      <c r="C132" s="22" t="s">
        <v>471</v>
      </c>
      <c r="D132" s="22" t="s">
        <v>17</v>
      </c>
      <c r="E132" s="22" t="s">
        <v>431</v>
      </c>
      <c r="F132" s="21" t="s">
        <v>432</v>
      </c>
      <c r="G132" s="21" t="s">
        <v>433</v>
      </c>
      <c r="H132" s="21" t="s">
        <v>472</v>
      </c>
      <c r="I132" s="21" t="s">
        <v>300</v>
      </c>
      <c r="J132" s="21" t="s">
        <v>459</v>
      </c>
      <c r="K132" s="21" t="s">
        <v>442</v>
      </c>
      <c r="L132" s="23">
        <v>3.5</v>
      </c>
      <c r="M132" s="24">
        <v>62000</v>
      </c>
      <c r="N132" s="24">
        <v>0</v>
      </c>
      <c r="O132" s="25">
        <v>217000</v>
      </c>
      <c r="P132" s="25">
        <v>0</v>
      </c>
      <c r="Q132" s="24">
        <v>62000</v>
      </c>
      <c r="R132" s="21" t="s">
        <v>436</v>
      </c>
      <c r="S132" s="21" t="s">
        <v>437</v>
      </c>
      <c r="T132" s="21" t="s">
        <v>17</v>
      </c>
      <c r="U132" s="21" t="s">
        <v>438</v>
      </c>
      <c r="V132" s="21" t="s">
        <v>17</v>
      </c>
      <c r="W132" s="21" t="s">
        <v>439</v>
      </c>
      <c r="X132" s="21" t="s">
        <v>439</v>
      </c>
    </row>
    <row r="133" spans="1:24" ht="10.5" hidden="1" customHeight="1" x14ac:dyDescent="0.25">
      <c r="A133" s="20">
        <v>46026</v>
      </c>
      <c r="B133" s="21" t="str">
        <f t="shared" si="2"/>
        <v>04/01/2026NL300189</v>
      </c>
      <c r="C133" s="22" t="s">
        <v>471</v>
      </c>
      <c r="D133" s="22" t="s">
        <v>17</v>
      </c>
      <c r="E133" s="22" t="s">
        <v>431</v>
      </c>
      <c r="F133" s="21" t="s">
        <v>432</v>
      </c>
      <c r="G133" s="21" t="s">
        <v>433</v>
      </c>
      <c r="H133" s="21" t="s">
        <v>472</v>
      </c>
      <c r="I133" s="21" t="s">
        <v>378</v>
      </c>
      <c r="J133" s="21" t="s">
        <v>19</v>
      </c>
      <c r="K133" s="21" t="s">
        <v>442</v>
      </c>
      <c r="L133" s="23">
        <v>3</v>
      </c>
      <c r="M133" s="24">
        <v>15000</v>
      </c>
      <c r="N133" s="24">
        <v>0</v>
      </c>
      <c r="O133" s="25">
        <v>45000</v>
      </c>
      <c r="P133" s="25">
        <v>0</v>
      </c>
      <c r="Q133" s="24">
        <v>15000</v>
      </c>
      <c r="R133" s="21" t="s">
        <v>436</v>
      </c>
      <c r="S133" s="21" t="s">
        <v>437</v>
      </c>
      <c r="T133" s="21" t="s">
        <v>17</v>
      </c>
      <c r="U133" s="21" t="s">
        <v>438</v>
      </c>
      <c r="V133" s="21" t="s">
        <v>17</v>
      </c>
      <c r="W133" s="21" t="s">
        <v>439</v>
      </c>
      <c r="X133" s="21" t="s">
        <v>439</v>
      </c>
    </row>
    <row r="134" spans="1:24" ht="10.5" hidden="1" customHeight="1" x14ac:dyDescent="0.25">
      <c r="A134" s="20">
        <v>46026</v>
      </c>
      <c r="B134" s="21" t="str">
        <f t="shared" si="2"/>
        <v>04/01/2026NL300119</v>
      </c>
      <c r="C134" s="22" t="s">
        <v>471</v>
      </c>
      <c r="D134" s="22" t="s">
        <v>17</v>
      </c>
      <c r="E134" s="22" t="s">
        <v>431</v>
      </c>
      <c r="F134" s="21" t="s">
        <v>432</v>
      </c>
      <c r="G134" s="21" t="s">
        <v>433</v>
      </c>
      <c r="H134" s="21" t="s">
        <v>472</v>
      </c>
      <c r="I134" s="21" t="s">
        <v>310</v>
      </c>
      <c r="J134" s="21" t="s">
        <v>460</v>
      </c>
      <c r="K134" s="21" t="s">
        <v>442</v>
      </c>
      <c r="L134" s="23">
        <v>1.5</v>
      </c>
      <c r="M134" s="24">
        <v>21000</v>
      </c>
      <c r="N134" s="24">
        <v>0</v>
      </c>
      <c r="O134" s="25">
        <v>31500</v>
      </c>
      <c r="P134" s="25">
        <v>0</v>
      </c>
      <c r="Q134" s="24">
        <v>21000</v>
      </c>
      <c r="R134" s="21" t="s">
        <v>436</v>
      </c>
      <c r="S134" s="21" t="s">
        <v>437</v>
      </c>
      <c r="T134" s="21" t="s">
        <v>17</v>
      </c>
      <c r="U134" s="21" t="s">
        <v>438</v>
      </c>
      <c r="V134" s="21" t="s">
        <v>17</v>
      </c>
      <c r="W134" s="21" t="s">
        <v>439</v>
      </c>
      <c r="X134" s="21" t="s">
        <v>439</v>
      </c>
    </row>
    <row r="135" spans="1:24" ht="10.5" hidden="1" customHeight="1" x14ac:dyDescent="0.25">
      <c r="A135" s="20">
        <v>46026</v>
      </c>
      <c r="B135" s="21" t="str">
        <f t="shared" si="2"/>
        <v>04/01/2026NL300125</v>
      </c>
      <c r="C135" s="22" t="s">
        <v>473</v>
      </c>
      <c r="D135" s="22" t="s">
        <v>17</v>
      </c>
      <c r="E135" s="22" t="s">
        <v>431</v>
      </c>
      <c r="F135" s="21" t="s">
        <v>432</v>
      </c>
      <c r="G135" s="21" t="s">
        <v>433</v>
      </c>
      <c r="H135" s="21" t="s">
        <v>472</v>
      </c>
      <c r="I135" s="21" t="s">
        <v>337</v>
      </c>
      <c r="J135" s="21" t="s">
        <v>146</v>
      </c>
      <c r="K135" s="21" t="s">
        <v>442</v>
      </c>
      <c r="L135" s="23">
        <v>0.5</v>
      </c>
      <c r="M135" s="24">
        <v>42000</v>
      </c>
      <c r="N135" s="24">
        <v>0</v>
      </c>
      <c r="O135" s="25">
        <v>21000</v>
      </c>
      <c r="P135" s="25">
        <v>0</v>
      </c>
      <c r="Q135" s="24">
        <v>42000</v>
      </c>
      <c r="R135" s="21" t="s">
        <v>436</v>
      </c>
      <c r="S135" s="21" t="s">
        <v>437</v>
      </c>
      <c r="T135" s="21" t="s">
        <v>17</v>
      </c>
      <c r="U135" s="21" t="s">
        <v>438</v>
      </c>
      <c r="V135" s="21" t="s">
        <v>17</v>
      </c>
      <c r="W135" s="21" t="s">
        <v>439</v>
      </c>
      <c r="X135" s="21" t="s">
        <v>439</v>
      </c>
    </row>
    <row r="136" spans="1:24" ht="10.5" hidden="1" customHeight="1" x14ac:dyDescent="0.25">
      <c r="A136" s="20">
        <v>46027</v>
      </c>
      <c r="B136" s="21" t="str">
        <f t="shared" si="2"/>
        <v>05/01/2026NL600067</v>
      </c>
      <c r="C136" s="22" t="s">
        <v>474</v>
      </c>
      <c r="D136" s="22" t="s">
        <v>17</v>
      </c>
      <c r="E136" s="22" t="s">
        <v>431</v>
      </c>
      <c r="F136" s="21" t="s">
        <v>432</v>
      </c>
      <c r="G136" s="21" t="s">
        <v>433</v>
      </c>
      <c r="H136" s="21" t="s">
        <v>475</v>
      </c>
      <c r="I136" s="21" t="s">
        <v>376</v>
      </c>
      <c r="J136" s="21" t="s">
        <v>60</v>
      </c>
      <c r="K136" s="21" t="s">
        <v>442</v>
      </c>
      <c r="L136" s="23">
        <v>0.6</v>
      </c>
      <c r="M136" s="24">
        <v>75000</v>
      </c>
      <c r="N136" s="24">
        <v>0</v>
      </c>
      <c r="O136" s="25">
        <v>45000</v>
      </c>
      <c r="P136" s="25">
        <v>0</v>
      </c>
      <c r="Q136" s="24">
        <v>75000</v>
      </c>
      <c r="R136" s="21" t="s">
        <v>436</v>
      </c>
      <c r="S136" s="21" t="s">
        <v>437</v>
      </c>
      <c r="T136" s="21" t="s">
        <v>17</v>
      </c>
      <c r="U136" s="21" t="s">
        <v>438</v>
      </c>
      <c r="V136" s="21" t="s">
        <v>17</v>
      </c>
      <c r="W136" s="21" t="s">
        <v>439</v>
      </c>
      <c r="X136" s="21" t="s">
        <v>439</v>
      </c>
    </row>
    <row r="137" spans="1:24" ht="10.5" hidden="1" customHeight="1" x14ac:dyDescent="0.25">
      <c r="A137" s="20">
        <v>46027</v>
      </c>
      <c r="B137" s="21" t="str">
        <f t="shared" si="2"/>
        <v>05/01/2026NL300030</v>
      </c>
      <c r="C137" s="22" t="s">
        <v>474</v>
      </c>
      <c r="D137" s="22" t="s">
        <v>17</v>
      </c>
      <c r="E137" s="22" t="s">
        <v>431</v>
      </c>
      <c r="F137" s="21" t="s">
        <v>432</v>
      </c>
      <c r="G137" s="21" t="s">
        <v>433</v>
      </c>
      <c r="H137" s="21" t="s">
        <v>475</v>
      </c>
      <c r="I137" s="21" t="s">
        <v>313</v>
      </c>
      <c r="J137" s="21" t="s">
        <v>470</v>
      </c>
      <c r="K137" s="21" t="s">
        <v>442</v>
      </c>
      <c r="L137" s="23">
        <v>1</v>
      </c>
      <c r="M137" s="24">
        <v>34000</v>
      </c>
      <c r="N137" s="24">
        <v>0</v>
      </c>
      <c r="O137" s="25">
        <v>34000</v>
      </c>
      <c r="P137" s="25">
        <v>0</v>
      </c>
      <c r="Q137" s="24">
        <v>34000</v>
      </c>
      <c r="R137" s="21" t="s">
        <v>436</v>
      </c>
      <c r="S137" s="21" t="s">
        <v>437</v>
      </c>
      <c r="T137" s="21" t="s">
        <v>17</v>
      </c>
      <c r="U137" s="21" t="s">
        <v>438</v>
      </c>
      <c r="V137" s="21" t="s">
        <v>17</v>
      </c>
      <c r="W137" s="21" t="s">
        <v>439</v>
      </c>
      <c r="X137" s="21" t="s">
        <v>439</v>
      </c>
    </row>
    <row r="138" spans="1:24" ht="10.5" hidden="1" customHeight="1" x14ac:dyDescent="0.25">
      <c r="A138" s="20">
        <v>46027</v>
      </c>
      <c r="B138" s="21" t="str">
        <f t="shared" si="2"/>
        <v>05/01/2026NL600068</v>
      </c>
      <c r="C138" s="22" t="s">
        <v>474</v>
      </c>
      <c r="D138" s="22" t="s">
        <v>17</v>
      </c>
      <c r="E138" s="22" t="s">
        <v>431</v>
      </c>
      <c r="F138" s="21" t="s">
        <v>432</v>
      </c>
      <c r="G138" s="21" t="s">
        <v>433</v>
      </c>
      <c r="H138" s="21" t="s">
        <v>475</v>
      </c>
      <c r="I138" s="21" t="s">
        <v>377</v>
      </c>
      <c r="J138" s="21" t="s">
        <v>94</v>
      </c>
      <c r="K138" s="21" t="s">
        <v>442</v>
      </c>
      <c r="L138" s="23">
        <v>0.4</v>
      </c>
      <c r="M138" s="24">
        <v>95000</v>
      </c>
      <c r="N138" s="24">
        <v>0</v>
      </c>
      <c r="O138" s="25">
        <v>38000</v>
      </c>
      <c r="P138" s="25">
        <v>0</v>
      </c>
      <c r="Q138" s="24">
        <v>95000</v>
      </c>
      <c r="R138" s="21" t="s">
        <v>436</v>
      </c>
      <c r="S138" s="21" t="s">
        <v>437</v>
      </c>
      <c r="T138" s="21" t="s">
        <v>17</v>
      </c>
      <c r="U138" s="21" t="s">
        <v>438</v>
      </c>
      <c r="V138" s="21" t="s">
        <v>17</v>
      </c>
      <c r="W138" s="21" t="s">
        <v>439</v>
      </c>
      <c r="X138" s="21" t="s">
        <v>439</v>
      </c>
    </row>
    <row r="139" spans="1:24" ht="10.5" hidden="1" customHeight="1" x14ac:dyDescent="0.25">
      <c r="A139" s="20">
        <v>46027</v>
      </c>
      <c r="B139" s="21" t="str">
        <f t="shared" si="2"/>
        <v>05/01/2026NL600004</v>
      </c>
      <c r="C139" s="22" t="s">
        <v>474</v>
      </c>
      <c r="D139" s="22" t="s">
        <v>17</v>
      </c>
      <c r="E139" s="22" t="s">
        <v>431</v>
      </c>
      <c r="F139" s="21" t="s">
        <v>432</v>
      </c>
      <c r="G139" s="21" t="s">
        <v>433</v>
      </c>
      <c r="H139" s="21" t="s">
        <v>475</v>
      </c>
      <c r="I139" s="21" t="s">
        <v>225</v>
      </c>
      <c r="J139" s="21" t="s">
        <v>37</v>
      </c>
      <c r="K139" s="21" t="s">
        <v>442</v>
      </c>
      <c r="L139" s="23">
        <v>25</v>
      </c>
      <c r="M139" s="24">
        <v>18000</v>
      </c>
      <c r="N139" s="24">
        <v>0</v>
      </c>
      <c r="O139" s="25">
        <v>450000</v>
      </c>
      <c r="P139" s="25">
        <v>0</v>
      </c>
      <c r="Q139" s="24">
        <v>18000</v>
      </c>
      <c r="R139" s="21" t="s">
        <v>436</v>
      </c>
      <c r="S139" s="21" t="s">
        <v>437</v>
      </c>
      <c r="T139" s="21" t="s">
        <v>17</v>
      </c>
      <c r="U139" s="21" t="s">
        <v>438</v>
      </c>
      <c r="V139" s="21" t="s">
        <v>17</v>
      </c>
      <c r="W139" s="21" t="s">
        <v>439</v>
      </c>
      <c r="X139" s="21" t="s">
        <v>439</v>
      </c>
    </row>
    <row r="140" spans="1:24" ht="10.5" hidden="1" customHeight="1" x14ac:dyDescent="0.25">
      <c r="A140" s="20">
        <v>46027</v>
      </c>
      <c r="B140" s="21" t="str">
        <f t="shared" si="2"/>
        <v>05/01/2026NL300125</v>
      </c>
      <c r="C140" s="22" t="s">
        <v>474</v>
      </c>
      <c r="D140" s="22" t="s">
        <v>17</v>
      </c>
      <c r="E140" s="22" t="s">
        <v>431</v>
      </c>
      <c r="F140" s="21" t="s">
        <v>432</v>
      </c>
      <c r="G140" s="21" t="s">
        <v>433</v>
      </c>
      <c r="H140" s="21" t="s">
        <v>475</v>
      </c>
      <c r="I140" s="21" t="s">
        <v>337</v>
      </c>
      <c r="J140" s="21" t="s">
        <v>146</v>
      </c>
      <c r="K140" s="21" t="s">
        <v>442</v>
      </c>
      <c r="L140" s="23">
        <v>0.5</v>
      </c>
      <c r="M140" s="24">
        <v>42000</v>
      </c>
      <c r="N140" s="24">
        <v>0</v>
      </c>
      <c r="O140" s="25">
        <v>21000</v>
      </c>
      <c r="P140" s="25">
        <v>0</v>
      </c>
      <c r="Q140" s="24">
        <v>42000</v>
      </c>
      <c r="R140" s="21" t="s">
        <v>436</v>
      </c>
      <c r="S140" s="21" t="s">
        <v>437</v>
      </c>
      <c r="T140" s="21" t="s">
        <v>17</v>
      </c>
      <c r="U140" s="21" t="s">
        <v>438</v>
      </c>
      <c r="V140" s="21" t="s">
        <v>17</v>
      </c>
      <c r="W140" s="21" t="s">
        <v>439</v>
      </c>
      <c r="X140" s="21" t="s">
        <v>439</v>
      </c>
    </row>
    <row r="141" spans="1:24" ht="10.5" hidden="1" customHeight="1" x14ac:dyDescent="0.25">
      <c r="A141" s="20">
        <v>46027</v>
      </c>
      <c r="B141" s="21" t="str">
        <f t="shared" si="2"/>
        <v>05/01/2026NL300131</v>
      </c>
      <c r="C141" s="22" t="s">
        <v>474</v>
      </c>
      <c r="D141" s="22" t="s">
        <v>17</v>
      </c>
      <c r="E141" s="22" t="s">
        <v>431</v>
      </c>
      <c r="F141" s="21" t="s">
        <v>432</v>
      </c>
      <c r="G141" s="21" t="s">
        <v>433</v>
      </c>
      <c r="H141" s="21" t="s">
        <v>475</v>
      </c>
      <c r="I141" s="21" t="s">
        <v>340</v>
      </c>
      <c r="J141" s="21" t="s">
        <v>88</v>
      </c>
      <c r="K141" s="21" t="s">
        <v>442</v>
      </c>
      <c r="L141" s="23">
        <v>0.1</v>
      </c>
      <c r="M141" s="24">
        <v>220000</v>
      </c>
      <c r="N141" s="24">
        <v>0</v>
      </c>
      <c r="O141" s="25">
        <v>22000</v>
      </c>
      <c r="P141" s="25">
        <v>0</v>
      </c>
      <c r="Q141" s="24">
        <v>220000</v>
      </c>
      <c r="R141" s="21" t="s">
        <v>436</v>
      </c>
      <c r="S141" s="21" t="s">
        <v>437</v>
      </c>
      <c r="T141" s="21" t="s">
        <v>17</v>
      </c>
      <c r="U141" s="21" t="s">
        <v>438</v>
      </c>
      <c r="V141" s="21" t="s">
        <v>17</v>
      </c>
      <c r="W141" s="21" t="s">
        <v>439</v>
      </c>
      <c r="X141" s="21" t="s">
        <v>439</v>
      </c>
    </row>
    <row r="142" spans="1:24" ht="10.5" hidden="1" customHeight="1" x14ac:dyDescent="0.25">
      <c r="A142" s="20">
        <v>46027</v>
      </c>
      <c r="B142" s="21" t="str">
        <f t="shared" si="2"/>
        <v>05/01/2026NL300090</v>
      </c>
      <c r="C142" s="22" t="s">
        <v>476</v>
      </c>
      <c r="D142" s="22" t="s">
        <v>17</v>
      </c>
      <c r="E142" s="22" t="s">
        <v>431</v>
      </c>
      <c r="F142" s="21" t="s">
        <v>432</v>
      </c>
      <c r="G142" s="21" t="s">
        <v>433</v>
      </c>
      <c r="H142" s="21" t="s">
        <v>475</v>
      </c>
      <c r="I142" s="21" t="s">
        <v>255</v>
      </c>
      <c r="J142" s="21" t="s">
        <v>70</v>
      </c>
      <c r="K142" s="21" t="s">
        <v>442</v>
      </c>
      <c r="L142" s="23">
        <v>5</v>
      </c>
      <c r="M142" s="24">
        <v>145000</v>
      </c>
      <c r="N142" s="24">
        <v>0</v>
      </c>
      <c r="O142" s="25">
        <v>725000</v>
      </c>
      <c r="P142" s="25">
        <v>0</v>
      </c>
      <c r="Q142" s="24">
        <v>145000</v>
      </c>
      <c r="R142" s="21" t="s">
        <v>436</v>
      </c>
      <c r="S142" s="21" t="s">
        <v>437</v>
      </c>
      <c r="T142" s="21" t="s">
        <v>17</v>
      </c>
      <c r="U142" s="21" t="s">
        <v>438</v>
      </c>
      <c r="V142" s="21" t="s">
        <v>17</v>
      </c>
      <c r="W142" s="21" t="s">
        <v>439</v>
      </c>
      <c r="X142" s="21" t="s">
        <v>439</v>
      </c>
    </row>
    <row r="143" spans="1:24" ht="10.5" hidden="1" customHeight="1" x14ac:dyDescent="0.25">
      <c r="A143" s="20">
        <v>46027</v>
      </c>
      <c r="B143" s="21" t="str">
        <f t="shared" si="2"/>
        <v>05/01/2026NL300096</v>
      </c>
      <c r="C143" s="22" t="s">
        <v>476</v>
      </c>
      <c r="D143" s="22" t="s">
        <v>17</v>
      </c>
      <c r="E143" s="22" t="s">
        <v>431</v>
      </c>
      <c r="F143" s="21" t="s">
        <v>432</v>
      </c>
      <c r="G143" s="21" t="s">
        <v>433</v>
      </c>
      <c r="H143" s="21" t="s">
        <v>475</v>
      </c>
      <c r="I143" s="21" t="s">
        <v>258</v>
      </c>
      <c r="J143" s="21" t="s">
        <v>45</v>
      </c>
      <c r="K143" s="21" t="s">
        <v>442</v>
      </c>
      <c r="L143" s="23">
        <v>7</v>
      </c>
      <c r="M143" s="24">
        <v>45000</v>
      </c>
      <c r="N143" s="24">
        <v>0</v>
      </c>
      <c r="O143" s="25">
        <v>315000</v>
      </c>
      <c r="P143" s="25">
        <v>0</v>
      </c>
      <c r="Q143" s="24">
        <v>45000</v>
      </c>
      <c r="R143" s="21" t="s">
        <v>436</v>
      </c>
      <c r="S143" s="21" t="s">
        <v>437</v>
      </c>
      <c r="T143" s="21" t="s">
        <v>17</v>
      </c>
      <c r="U143" s="21" t="s">
        <v>438</v>
      </c>
      <c r="V143" s="21" t="s">
        <v>17</v>
      </c>
      <c r="W143" s="21" t="s">
        <v>439</v>
      </c>
      <c r="X143" s="21" t="s">
        <v>439</v>
      </c>
    </row>
    <row r="144" spans="1:24" ht="10.5" hidden="1" customHeight="1" x14ac:dyDescent="0.25">
      <c r="A144" s="20">
        <v>46027</v>
      </c>
      <c r="B144" s="21" t="str">
        <f t="shared" si="2"/>
        <v>05/01/2026NL300091</v>
      </c>
      <c r="C144" s="22" t="s">
        <v>476</v>
      </c>
      <c r="D144" s="22" t="s">
        <v>17</v>
      </c>
      <c r="E144" s="22" t="s">
        <v>431</v>
      </c>
      <c r="F144" s="21" t="s">
        <v>432</v>
      </c>
      <c r="G144" s="21" t="s">
        <v>433</v>
      </c>
      <c r="H144" s="21" t="s">
        <v>475</v>
      </c>
      <c r="I144" s="21" t="s">
        <v>256</v>
      </c>
      <c r="J144" s="21" t="s">
        <v>72</v>
      </c>
      <c r="K144" s="21" t="s">
        <v>442</v>
      </c>
      <c r="L144" s="23">
        <v>5</v>
      </c>
      <c r="M144" s="24">
        <v>47000</v>
      </c>
      <c r="N144" s="24">
        <v>0</v>
      </c>
      <c r="O144" s="25">
        <v>235000</v>
      </c>
      <c r="P144" s="25">
        <v>0</v>
      </c>
      <c r="Q144" s="24">
        <v>47000</v>
      </c>
      <c r="R144" s="21" t="s">
        <v>436</v>
      </c>
      <c r="S144" s="21" t="s">
        <v>437</v>
      </c>
      <c r="T144" s="21" t="s">
        <v>17</v>
      </c>
      <c r="U144" s="21" t="s">
        <v>438</v>
      </c>
      <c r="V144" s="21" t="s">
        <v>17</v>
      </c>
      <c r="W144" s="21" t="s">
        <v>439</v>
      </c>
      <c r="X144" s="21" t="s">
        <v>439</v>
      </c>
    </row>
    <row r="145" spans="1:24" ht="10.5" hidden="1" customHeight="1" x14ac:dyDescent="0.25">
      <c r="A145" s="20">
        <v>46027</v>
      </c>
      <c r="B145" s="21" t="str">
        <f t="shared" si="2"/>
        <v>05/01/2026NL300008</v>
      </c>
      <c r="C145" s="22" t="s">
        <v>476</v>
      </c>
      <c r="D145" s="22" t="s">
        <v>17</v>
      </c>
      <c r="E145" s="22" t="s">
        <v>431</v>
      </c>
      <c r="F145" s="21" t="s">
        <v>432</v>
      </c>
      <c r="G145" s="21" t="s">
        <v>433</v>
      </c>
      <c r="H145" s="21" t="s">
        <v>475</v>
      </c>
      <c r="I145" s="21" t="s">
        <v>320</v>
      </c>
      <c r="J145" s="21" t="s">
        <v>445</v>
      </c>
      <c r="K145" s="21" t="s">
        <v>442</v>
      </c>
      <c r="L145" s="23">
        <v>5</v>
      </c>
      <c r="M145" s="24">
        <v>40000</v>
      </c>
      <c r="N145" s="24">
        <v>0</v>
      </c>
      <c r="O145" s="25">
        <v>200000</v>
      </c>
      <c r="P145" s="25">
        <v>0</v>
      </c>
      <c r="Q145" s="24">
        <v>40000</v>
      </c>
      <c r="R145" s="21" t="s">
        <v>436</v>
      </c>
      <c r="S145" s="21" t="s">
        <v>437</v>
      </c>
      <c r="T145" s="21" t="s">
        <v>17</v>
      </c>
      <c r="U145" s="21" t="s">
        <v>438</v>
      </c>
      <c r="V145" s="21" t="s">
        <v>17</v>
      </c>
      <c r="W145" s="21" t="s">
        <v>439</v>
      </c>
      <c r="X145" s="21" t="s">
        <v>439</v>
      </c>
    </row>
    <row r="146" spans="1:24" ht="10.5" hidden="1" customHeight="1" x14ac:dyDescent="0.25">
      <c r="A146" s="20">
        <v>46027</v>
      </c>
      <c r="B146" s="21" t="str">
        <f t="shared" si="2"/>
        <v>05/01/2026NL300058</v>
      </c>
      <c r="C146" s="22" t="s">
        <v>476</v>
      </c>
      <c r="D146" s="22" t="s">
        <v>17</v>
      </c>
      <c r="E146" s="22" t="s">
        <v>431</v>
      </c>
      <c r="F146" s="21" t="s">
        <v>432</v>
      </c>
      <c r="G146" s="21" t="s">
        <v>433</v>
      </c>
      <c r="H146" s="21" t="s">
        <v>475</v>
      </c>
      <c r="I146" s="21" t="s">
        <v>228</v>
      </c>
      <c r="J146" s="21" t="s">
        <v>39</v>
      </c>
      <c r="K146" s="21" t="s">
        <v>442</v>
      </c>
      <c r="L146" s="23">
        <v>3.6</v>
      </c>
      <c r="M146" s="24">
        <v>55000</v>
      </c>
      <c r="N146" s="24">
        <v>0</v>
      </c>
      <c r="O146" s="25">
        <v>198000</v>
      </c>
      <c r="P146" s="25">
        <v>0</v>
      </c>
      <c r="Q146" s="24">
        <v>55000</v>
      </c>
      <c r="R146" s="21" t="s">
        <v>436</v>
      </c>
      <c r="S146" s="21" t="s">
        <v>437</v>
      </c>
      <c r="T146" s="21" t="s">
        <v>17</v>
      </c>
      <c r="U146" s="21" t="s">
        <v>438</v>
      </c>
      <c r="V146" s="21" t="s">
        <v>17</v>
      </c>
      <c r="W146" s="21" t="s">
        <v>439</v>
      </c>
      <c r="X146" s="21" t="s">
        <v>439</v>
      </c>
    </row>
    <row r="147" spans="1:24" ht="10.5" hidden="1" customHeight="1" x14ac:dyDescent="0.25">
      <c r="A147" s="20">
        <v>46027</v>
      </c>
      <c r="B147" s="21" t="str">
        <f t="shared" si="2"/>
        <v>05/01/2026NL300088</v>
      </c>
      <c r="C147" s="22" t="s">
        <v>476</v>
      </c>
      <c r="D147" s="22" t="s">
        <v>17</v>
      </c>
      <c r="E147" s="22" t="s">
        <v>431</v>
      </c>
      <c r="F147" s="21" t="s">
        <v>432</v>
      </c>
      <c r="G147" s="21" t="s">
        <v>433</v>
      </c>
      <c r="H147" s="21" t="s">
        <v>475</v>
      </c>
      <c r="I147" s="21" t="s">
        <v>254</v>
      </c>
      <c r="J147" s="21" t="s">
        <v>15</v>
      </c>
      <c r="K147" s="21" t="s">
        <v>442</v>
      </c>
      <c r="L147" s="23">
        <v>1</v>
      </c>
      <c r="M147" s="24">
        <v>27000</v>
      </c>
      <c r="N147" s="24">
        <v>0</v>
      </c>
      <c r="O147" s="25">
        <v>27000</v>
      </c>
      <c r="P147" s="25">
        <v>0</v>
      </c>
      <c r="Q147" s="24">
        <v>27000</v>
      </c>
      <c r="R147" s="21" t="s">
        <v>436</v>
      </c>
      <c r="S147" s="21" t="s">
        <v>437</v>
      </c>
      <c r="T147" s="21" t="s">
        <v>17</v>
      </c>
      <c r="U147" s="21" t="s">
        <v>438</v>
      </c>
      <c r="V147" s="21" t="s">
        <v>17</v>
      </c>
      <c r="W147" s="21" t="s">
        <v>439</v>
      </c>
      <c r="X147" s="21" t="s">
        <v>439</v>
      </c>
    </row>
    <row r="148" spans="1:24" ht="10.5" hidden="1" customHeight="1" x14ac:dyDescent="0.25">
      <c r="A148" s="20">
        <v>46027</v>
      </c>
      <c r="B148" s="21" t="str">
        <f t="shared" si="2"/>
        <v>05/01/2026NL300189</v>
      </c>
      <c r="C148" s="22" t="s">
        <v>476</v>
      </c>
      <c r="D148" s="22" t="s">
        <v>17</v>
      </c>
      <c r="E148" s="22" t="s">
        <v>431</v>
      </c>
      <c r="F148" s="21" t="s">
        <v>432</v>
      </c>
      <c r="G148" s="21" t="s">
        <v>433</v>
      </c>
      <c r="H148" s="21" t="s">
        <v>475</v>
      </c>
      <c r="I148" s="21" t="s">
        <v>378</v>
      </c>
      <c r="J148" s="21" t="s">
        <v>19</v>
      </c>
      <c r="K148" s="21" t="s">
        <v>442</v>
      </c>
      <c r="L148" s="23">
        <v>3</v>
      </c>
      <c r="M148" s="24">
        <v>15000</v>
      </c>
      <c r="N148" s="24">
        <v>0</v>
      </c>
      <c r="O148" s="25">
        <v>45000</v>
      </c>
      <c r="P148" s="25">
        <v>0</v>
      </c>
      <c r="Q148" s="24">
        <v>15000</v>
      </c>
      <c r="R148" s="21" t="s">
        <v>436</v>
      </c>
      <c r="S148" s="21" t="s">
        <v>437</v>
      </c>
      <c r="T148" s="21" t="s">
        <v>17</v>
      </c>
      <c r="U148" s="21" t="s">
        <v>438</v>
      </c>
      <c r="V148" s="21" t="s">
        <v>17</v>
      </c>
      <c r="W148" s="21" t="s">
        <v>439</v>
      </c>
      <c r="X148" s="21" t="s">
        <v>439</v>
      </c>
    </row>
    <row r="149" spans="1:24" ht="10.5" hidden="1" customHeight="1" x14ac:dyDescent="0.25">
      <c r="A149" s="20">
        <v>46027</v>
      </c>
      <c r="B149" s="21" t="str">
        <f t="shared" si="2"/>
        <v>05/01/2026NL300007</v>
      </c>
      <c r="C149" s="22" t="s">
        <v>476</v>
      </c>
      <c r="D149" s="22" t="s">
        <v>17</v>
      </c>
      <c r="E149" s="22" t="s">
        <v>431</v>
      </c>
      <c r="F149" s="21" t="s">
        <v>432</v>
      </c>
      <c r="G149" s="21" t="s">
        <v>433</v>
      </c>
      <c r="H149" s="21" t="s">
        <v>475</v>
      </c>
      <c r="I149" s="21" t="s">
        <v>309</v>
      </c>
      <c r="J149" s="21" t="s">
        <v>444</v>
      </c>
      <c r="K149" s="21" t="s">
        <v>442</v>
      </c>
      <c r="L149" s="23">
        <v>1.9</v>
      </c>
      <c r="M149" s="24">
        <v>30000</v>
      </c>
      <c r="N149" s="24">
        <v>0</v>
      </c>
      <c r="O149" s="25">
        <v>57000</v>
      </c>
      <c r="P149" s="25">
        <v>0</v>
      </c>
      <c r="Q149" s="24">
        <v>30000</v>
      </c>
      <c r="R149" s="21" t="s">
        <v>436</v>
      </c>
      <c r="S149" s="21" t="s">
        <v>437</v>
      </c>
      <c r="T149" s="21" t="s">
        <v>17</v>
      </c>
      <c r="U149" s="21" t="s">
        <v>438</v>
      </c>
      <c r="V149" s="21" t="s">
        <v>17</v>
      </c>
      <c r="W149" s="21" t="s">
        <v>439</v>
      </c>
      <c r="X149" s="21" t="s">
        <v>439</v>
      </c>
    </row>
    <row r="150" spans="1:24" ht="10.5" hidden="1" customHeight="1" x14ac:dyDescent="0.25">
      <c r="A150" s="20">
        <v>46027</v>
      </c>
      <c r="B150" s="21" t="str">
        <f t="shared" si="2"/>
        <v>05/01/2026NL300137</v>
      </c>
      <c r="C150" s="22" t="s">
        <v>476</v>
      </c>
      <c r="D150" s="22" t="s">
        <v>17</v>
      </c>
      <c r="E150" s="22" t="s">
        <v>431</v>
      </c>
      <c r="F150" s="21" t="s">
        <v>432</v>
      </c>
      <c r="G150" s="21" t="s">
        <v>433</v>
      </c>
      <c r="H150" s="21" t="s">
        <v>475</v>
      </c>
      <c r="I150" s="21" t="s">
        <v>196</v>
      </c>
      <c r="J150" s="21" t="s">
        <v>458</v>
      </c>
      <c r="K150" s="21" t="s">
        <v>442</v>
      </c>
      <c r="L150" s="23">
        <v>2.8</v>
      </c>
      <c r="M150" s="24">
        <v>52000</v>
      </c>
      <c r="N150" s="24">
        <v>0</v>
      </c>
      <c r="O150" s="25">
        <v>145600</v>
      </c>
      <c r="P150" s="25">
        <v>0</v>
      </c>
      <c r="Q150" s="24">
        <v>52000</v>
      </c>
      <c r="R150" s="21" t="s">
        <v>436</v>
      </c>
      <c r="S150" s="21" t="s">
        <v>437</v>
      </c>
      <c r="T150" s="21" t="s">
        <v>17</v>
      </c>
      <c r="U150" s="21" t="s">
        <v>438</v>
      </c>
      <c r="V150" s="21" t="s">
        <v>17</v>
      </c>
      <c r="W150" s="21" t="s">
        <v>439</v>
      </c>
      <c r="X150" s="21" t="s">
        <v>439</v>
      </c>
    </row>
    <row r="151" spans="1:24" ht="10.5" hidden="1" customHeight="1" x14ac:dyDescent="0.25">
      <c r="A151" s="20">
        <v>46027</v>
      </c>
      <c r="B151" s="21" t="str">
        <f t="shared" si="2"/>
        <v>05/01/2026NL300020</v>
      </c>
      <c r="C151" s="22" t="s">
        <v>476</v>
      </c>
      <c r="D151" s="22" t="s">
        <v>17</v>
      </c>
      <c r="E151" s="22" t="s">
        <v>431</v>
      </c>
      <c r="F151" s="21" t="s">
        <v>432</v>
      </c>
      <c r="G151" s="21" t="s">
        <v>433</v>
      </c>
      <c r="H151" s="21" t="s">
        <v>475</v>
      </c>
      <c r="I151" s="21" t="s">
        <v>326</v>
      </c>
      <c r="J151" s="21" t="s">
        <v>446</v>
      </c>
      <c r="K151" s="21" t="s">
        <v>442</v>
      </c>
      <c r="L151" s="23">
        <v>1</v>
      </c>
      <c r="M151" s="24">
        <v>30000</v>
      </c>
      <c r="N151" s="24">
        <v>0</v>
      </c>
      <c r="O151" s="25">
        <v>30000</v>
      </c>
      <c r="P151" s="25">
        <v>0</v>
      </c>
      <c r="Q151" s="24">
        <v>30000</v>
      </c>
      <c r="R151" s="21" t="s">
        <v>436</v>
      </c>
      <c r="S151" s="21" t="s">
        <v>437</v>
      </c>
      <c r="T151" s="21" t="s">
        <v>17</v>
      </c>
      <c r="U151" s="21" t="s">
        <v>438</v>
      </c>
      <c r="V151" s="21" t="s">
        <v>17</v>
      </c>
      <c r="W151" s="21" t="s">
        <v>439</v>
      </c>
      <c r="X151" s="21" t="s">
        <v>439</v>
      </c>
    </row>
    <row r="152" spans="1:24" ht="10.5" hidden="1" customHeight="1" x14ac:dyDescent="0.25">
      <c r="A152" s="20">
        <v>46027</v>
      </c>
      <c r="B152" s="21" t="str">
        <f t="shared" si="2"/>
        <v>05/01/2026NL300025</v>
      </c>
      <c r="C152" s="22" t="s">
        <v>476</v>
      </c>
      <c r="D152" s="22" t="s">
        <v>17</v>
      </c>
      <c r="E152" s="22" t="s">
        <v>431</v>
      </c>
      <c r="F152" s="21" t="s">
        <v>432</v>
      </c>
      <c r="G152" s="21" t="s">
        <v>433</v>
      </c>
      <c r="H152" s="21" t="s">
        <v>475</v>
      </c>
      <c r="I152" s="21" t="s">
        <v>211</v>
      </c>
      <c r="J152" s="21" t="s">
        <v>447</v>
      </c>
      <c r="K152" s="21" t="s">
        <v>442</v>
      </c>
      <c r="L152" s="23">
        <v>1</v>
      </c>
      <c r="M152" s="24">
        <v>44000</v>
      </c>
      <c r="N152" s="24">
        <v>0</v>
      </c>
      <c r="O152" s="25">
        <v>44000</v>
      </c>
      <c r="P152" s="25">
        <v>0</v>
      </c>
      <c r="Q152" s="24">
        <v>44000</v>
      </c>
      <c r="R152" s="21" t="s">
        <v>436</v>
      </c>
      <c r="S152" s="21" t="s">
        <v>437</v>
      </c>
      <c r="T152" s="21" t="s">
        <v>17</v>
      </c>
      <c r="U152" s="21" t="s">
        <v>438</v>
      </c>
      <c r="V152" s="21" t="s">
        <v>17</v>
      </c>
      <c r="W152" s="21" t="s">
        <v>439</v>
      </c>
      <c r="X152" s="21" t="s">
        <v>439</v>
      </c>
    </row>
    <row r="153" spans="1:24" ht="10.5" hidden="1" customHeight="1" x14ac:dyDescent="0.25">
      <c r="A153" s="20">
        <v>46027</v>
      </c>
      <c r="B153" s="21" t="str">
        <f t="shared" si="2"/>
        <v>05/01/2026NL300035</v>
      </c>
      <c r="C153" s="22" t="s">
        <v>476</v>
      </c>
      <c r="D153" s="22" t="s">
        <v>17</v>
      </c>
      <c r="E153" s="22" t="s">
        <v>431</v>
      </c>
      <c r="F153" s="21" t="s">
        <v>432</v>
      </c>
      <c r="G153" s="21" t="s">
        <v>433</v>
      </c>
      <c r="H153" s="21" t="s">
        <v>475</v>
      </c>
      <c r="I153" s="21" t="s">
        <v>383</v>
      </c>
      <c r="J153" s="21" t="s">
        <v>448</v>
      </c>
      <c r="K153" s="21" t="s">
        <v>442</v>
      </c>
      <c r="L153" s="23">
        <v>0.2</v>
      </c>
      <c r="M153" s="24">
        <v>25000</v>
      </c>
      <c r="N153" s="24">
        <v>0</v>
      </c>
      <c r="O153" s="25">
        <v>5000</v>
      </c>
      <c r="P153" s="25">
        <v>0</v>
      </c>
      <c r="Q153" s="24">
        <v>25000</v>
      </c>
      <c r="R153" s="21" t="s">
        <v>436</v>
      </c>
      <c r="S153" s="21" t="s">
        <v>437</v>
      </c>
      <c r="T153" s="21" t="s">
        <v>17</v>
      </c>
      <c r="U153" s="21" t="s">
        <v>438</v>
      </c>
      <c r="V153" s="21" t="s">
        <v>17</v>
      </c>
      <c r="W153" s="21" t="s">
        <v>439</v>
      </c>
      <c r="X153" s="21" t="s">
        <v>439</v>
      </c>
    </row>
    <row r="154" spans="1:24" ht="10.5" hidden="1" customHeight="1" x14ac:dyDescent="0.25">
      <c r="A154" s="20">
        <v>46027</v>
      </c>
      <c r="B154" s="21" t="str">
        <f t="shared" si="2"/>
        <v>05/01/2026NL300038</v>
      </c>
      <c r="C154" s="22" t="s">
        <v>476</v>
      </c>
      <c r="D154" s="22" t="s">
        <v>17</v>
      </c>
      <c r="E154" s="22" t="s">
        <v>431</v>
      </c>
      <c r="F154" s="21" t="s">
        <v>432</v>
      </c>
      <c r="G154" s="21" t="s">
        <v>433</v>
      </c>
      <c r="H154" s="21" t="s">
        <v>475</v>
      </c>
      <c r="I154" s="21" t="s">
        <v>217</v>
      </c>
      <c r="J154" s="21" t="s">
        <v>35</v>
      </c>
      <c r="K154" s="21" t="s">
        <v>442</v>
      </c>
      <c r="L154" s="23">
        <v>1</v>
      </c>
      <c r="M154" s="24">
        <v>32000</v>
      </c>
      <c r="N154" s="24">
        <v>0</v>
      </c>
      <c r="O154" s="25">
        <v>32000</v>
      </c>
      <c r="P154" s="25">
        <v>0</v>
      </c>
      <c r="Q154" s="24">
        <v>32000</v>
      </c>
      <c r="R154" s="21" t="s">
        <v>436</v>
      </c>
      <c r="S154" s="21" t="s">
        <v>437</v>
      </c>
      <c r="T154" s="21" t="s">
        <v>17</v>
      </c>
      <c r="U154" s="21" t="s">
        <v>438</v>
      </c>
      <c r="V154" s="21" t="s">
        <v>17</v>
      </c>
      <c r="W154" s="21" t="s">
        <v>439</v>
      </c>
      <c r="X154" s="21" t="s">
        <v>439</v>
      </c>
    </row>
    <row r="155" spans="1:24" ht="10.5" hidden="1" customHeight="1" x14ac:dyDescent="0.25">
      <c r="A155" s="20">
        <v>46027</v>
      </c>
      <c r="B155" s="21" t="str">
        <f t="shared" si="2"/>
        <v>05/01/2026NL300061</v>
      </c>
      <c r="C155" s="22" t="s">
        <v>476</v>
      </c>
      <c r="D155" s="22" t="s">
        <v>17</v>
      </c>
      <c r="E155" s="22" t="s">
        <v>431</v>
      </c>
      <c r="F155" s="21" t="s">
        <v>432</v>
      </c>
      <c r="G155" s="21" t="s">
        <v>433</v>
      </c>
      <c r="H155" s="21" t="s">
        <v>475</v>
      </c>
      <c r="I155" s="21" t="s">
        <v>352</v>
      </c>
      <c r="J155" s="21" t="s">
        <v>477</v>
      </c>
      <c r="K155" s="21" t="s">
        <v>442</v>
      </c>
      <c r="L155" s="23">
        <v>1.2</v>
      </c>
      <c r="M155" s="24">
        <v>38000</v>
      </c>
      <c r="N155" s="24">
        <v>0</v>
      </c>
      <c r="O155" s="25">
        <v>45600</v>
      </c>
      <c r="P155" s="25">
        <v>0</v>
      </c>
      <c r="Q155" s="24">
        <v>38000</v>
      </c>
      <c r="R155" s="21" t="s">
        <v>436</v>
      </c>
      <c r="S155" s="21" t="s">
        <v>437</v>
      </c>
      <c r="T155" s="21" t="s">
        <v>17</v>
      </c>
      <c r="U155" s="21" t="s">
        <v>438</v>
      </c>
      <c r="V155" s="21" t="s">
        <v>17</v>
      </c>
      <c r="W155" s="21" t="s">
        <v>439</v>
      </c>
      <c r="X155" s="21" t="s">
        <v>439</v>
      </c>
    </row>
    <row r="156" spans="1:24" ht="10.5" hidden="1" customHeight="1" x14ac:dyDescent="0.25">
      <c r="A156" s="20">
        <v>46027</v>
      </c>
      <c r="B156" s="21" t="str">
        <f t="shared" si="2"/>
        <v>05/01/2026NL300055</v>
      </c>
      <c r="C156" s="22" t="s">
        <v>476</v>
      </c>
      <c r="D156" s="22" t="s">
        <v>17</v>
      </c>
      <c r="E156" s="22" t="s">
        <v>431</v>
      </c>
      <c r="F156" s="21" t="s">
        <v>432</v>
      </c>
      <c r="G156" s="21" t="s">
        <v>433</v>
      </c>
      <c r="H156" s="21" t="s">
        <v>475</v>
      </c>
      <c r="I156" s="21" t="s">
        <v>230</v>
      </c>
      <c r="J156" s="21" t="s">
        <v>452</v>
      </c>
      <c r="K156" s="21" t="s">
        <v>442</v>
      </c>
      <c r="L156" s="23">
        <v>0.45</v>
      </c>
      <c r="M156" s="24">
        <v>80000</v>
      </c>
      <c r="N156" s="24">
        <v>0</v>
      </c>
      <c r="O156" s="25">
        <v>36000</v>
      </c>
      <c r="P156" s="25">
        <v>0</v>
      </c>
      <c r="Q156" s="24">
        <v>80000</v>
      </c>
      <c r="R156" s="21" t="s">
        <v>436</v>
      </c>
      <c r="S156" s="21" t="s">
        <v>437</v>
      </c>
      <c r="T156" s="21" t="s">
        <v>17</v>
      </c>
      <c r="U156" s="21" t="s">
        <v>438</v>
      </c>
      <c r="V156" s="21" t="s">
        <v>17</v>
      </c>
      <c r="W156" s="21" t="s">
        <v>439</v>
      </c>
      <c r="X156" s="21" t="s">
        <v>439</v>
      </c>
    </row>
    <row r="157" spans="1:24" ht="10.5" hidden="1" customHeight="1" x14ac:dyDescent="0.25">
      <c r="A157" s="20">
        <v>46027</v>
      </c>
      <c r="B157" s="21" t="str">
        <f t="shared" si="2"/>
        <v>05/01/2026NL300070</v>
      </c>
      <c r="C157" s="22" t="s">
        <v>476</v>
      </c>
      <c r="D157" s="22" t="s">
        <v>17</v>
      </c>
      <c r="E157" s="22" t="s">
        <v>431</v>
      </c>
      <c r="F157" s="21" t="s">
        <v>432</v>
      </c>
      <c r="G157" s="21" t="s">
        <v>433</v>
      </c>
      <c r="H157" s="21" t="s">
        <v>475</v>
      </c>
      <c r="I157" s="21" t="s">
        <v>345</v>
      </c>
      <c r="J157" s="21" t="s">
        <v>465</v>
      </c>
      <c r="K157" s="21" t="s">
        <v>442</v>
      </c>
      <c r="L157" s="23">
        <v>0.9</v>
      </c>
      <c r="M157" s="24">
        <v>23000</v>
      </c>
      <c r="N157" s="24">
        <v>0</v>
      </c>
      <c r="O157" s="25">
        <v>20700</v>
      </c>
      <c r="P157" s="25">
        <v>0</v>
      </c>
      <c r="Q157" s="24">
        <v>23000</v>
      </c>
      <c r="R157" s="21" t="s">
        <v>436</v>
      </c>
      <c r="S157" s="21" t="s">
        <v>437</v>
      </c>
      <c r="T157" s="21" t="s">
        <v>17</v>
      </c>
      <c r="U157" s="21" t="s">
        <v>438</v>
      </c>
      <c r="V157" s="21" t="s">
        <v>17</v>
      </c>
      <c r="W157" s="21" t="s">
        <v>439</v>
      </c>
      <c r="X157" s="21" t="s">
        <v>439</v>
      </c>
    </row>
    <row r="158" spans="1:24" ht="10.5" hidden="1" customHeight="1" x14ac:dyDescent="0.25">
      <c r="A158" s="20">
        <v>46027</v>
      </c>
      <c r="B158" s="21" t="str">
        <f t="shared" si="2"/>
        <v>05/01/2026NL300132</v>
      </c>
      <c r="C158" s="22" t="s">
        <v>476</v>
      </c>
      <c r="D158" s="22" t="s">
        <v>17</v>
      </c>
      <c r="E158" s="22" t="s">
        <v>431</v>
      </c>
      <c r="F158" s="21" t="s">
        <v>432</v>
      </c>
      <c r="G158" s="21" t="s">
        <v>433</v>
      </c>
      <c r="H158" s="21" t="s">
        <v>475</v>
      </c>
      <c r="I158" s="21" t="s">
        <v>285</v>
      </c>
      <c r="J158" s="21" t="s">
        <v>82</v>
      </c>
      <c r="K158" s="21" t="s">
        <v>442</v>
      </c>
      <c r="L158" s="23">
        <v>1.2</v>
      </c>
      <c r="M158" s="24">
        <v>12000</v>
      </c>
      <c r="N158" s="24">
        <v>0</v>
      </c>
      <c r="O158" s="25">
        <v>14400</v>
      </c>
      <c r="P158" s="25">
        <v>0</v>
      </c>
      <c r="Q158" s="24">
        <v>12000</v>
      </c>
      <c r="R158" s="21" t="s">
        <v>436</v>
      </c>
      <c r="S158" s="21" t="s">
        <v>437</v>
      </c>
      <c r="T158" s="21" t="s">
        <v>17</v>
      </c>
      <c r="U158" s="21" t="s">
        <v>438</v>
      </c>
      <c r="V158" s="21" t="s">
        <v>17</v>
      </c>
      <c r="W158" s="21" t="s">
        <v>439</v>
      </c>
      <c r="X158" s="21" t="s">
        <v>439</v>
      </c>
    </row>
    <row r="159" spans="1:24" ht="10.5" hidden="1" customHeight="1" x14ac:dyDescent="0.25">
      <c r="A159" s="20">
        <v>46027</v>
      </c>
      <c r="B159" s="21" t="str">
        <f t="shared" si="2"/>
        <v>05/01/2026NL300147</v>
      </c>
      <c r="C159" s="22" t="s">
        <v>476</v>
      </c>
      <c r="D159" s="22" t="s">
        <v>17</v>
      </c>
      <c r="E159" s="22" t="s">
        <v>431</v>
      </c>
      <c r="F159" s="21" t="s">
        <v>432</v>
      </c>
      <c r="G159" s="21" t="s">
        <v>433</v>
      </c>
      <c r="H159" s="21" t="s">
        <v>475</v>
      </c>
      <c r="I159" s="21" t="s">
        <v>300</v>
      </c>
      <c r="J159" s="21" t="s">
        <v>459</v>
      </c>
      <c r="K159" s="21" t="s">
        <v>442</v>
      </c>
      <c r="L159" s="23">
        <v>2</v>
      </c>
      <c r="M159" s="24">
        <v>62000</v>
      </c>
      <c r="N159" s="24">
        <v>0</v>
      </c>
      <c r="O159" s="25">
        <v>124000</v>
      </c>
      <c r="P159" s="25">
        <v>0</v>
      </c>
      <c r="Q159" s="24">
        <v>62000</v>
      </c>
      <c r="R159" s="21" t="s">
        <v>436</v>
      </c>
      <c r="S159" s="21" t="s">
        <v>437</v>
      </c>
      <c r="T159" s="21" t="s">
        <v>17</v>
      </c>
      <c r="U159" s="21" t="s">
        <v>438</v>
      </c>
      <c r="V159" s="21" t="s">
        <v>17</v>
      </c>
      <c r="W159" s="21" t="s">
        <v>439</v>
      </c>
      <c r="X159" s="21" t="s">
        <v>439</v>
      </c>
    </row>
    <row r="160" spans="1:24" ht="10.5" hidden="1" customHeight="1" x14ac:dyDescent="0.25">
      <c r="A160" s="20">
        <v>46028</v>
      </c>
      <c r="B160" s="21" t="str">
        <f t="shared" si="2"/>
        <v>06/01/2026NL300097</v>
      </c>
      <c r="C160" s="22" t="s">
        <v>478</v>
      </c>
      <c r="D160" s="22" t="s">
        <v>17</v>
      </c>
      <c r="E160" s="22" t="s">
        <v>431</v>
      </c>
      <c r="F160" s="21" t="s">
        <v>432</v>
      </c>
      <c r="G160" s="21" t="s">
        <v>433</v>
      </c>
      <c r="H160" s="21" t="s">
        <v>479</v>
      </c>
      <c r="I160" s="21" t="s">
        <v>331</v>
      </c>
      <c r="J160" s="21" t="s">
        <v>443</v>
      </c>
      <c r="K160" s="21" t="s">
        <v>442</v>
      </c>
      <c r="L160" s="23">
        <v>0.5</v>
      </c>
      <c r="M160" s="24">
        <v>90000</v>
      </c>
      <c r="N160" s="24">
        <v>0</v>
      </c>
      <c r="O160" s="25">
        <v>45000</v>
      </c>
      <c r="P160" s="25">
        <v>0</v>
      </c>
      <c r="Q160" s="24">
        <v>90000</v>
      </c>
      <c r="R160" s="21" t="s">
        <v>436</v>
      </c>
      <c r="S160" s="21" t="s">
        <v>437</v>
      </c>
      <c r="T160" s="21" t="s">
        <v>17</v>
      </c>
      <c r="U160" s="21" t="s">
        <v>438</v>
      </c>
      <c r="V160" s="21" t="s">
        <v>17</v>
      </c>
      <c r="W160" s="21" t="s">
        <v>439</v>
      </c>
      <c r="X160" s="21" t="s">
        <v>439</v>
      </c>
    </row>
    <row r="161" spans="1:24" ht="10.5" hidden="1" customHeight="1" x14ac:dyDescent="0.25">
      <c r="A161" s="20">
        <v>46028</v>
      </c>
      <c r="B161" s="21" t="str">
        <f t="shared" si="2"/>
        <v>06/01/2026NL300004</v>
      </c>
      <c r="C161" s="22" t="s">
        <v>478</v>
      </c>
      <c r="D161" s="22" t="s">
        <v>17</v>
      </c>
      <c r="E161" s="22" t="s">
        <v>431</v>
      </c>
      <c r="F161" s="21" t="s">
        <v>432</v>
      </c>
      <c r="G161" s="21" t="s">
        <v>433</v>
      </c>
      <c r="H161" s="21" t="s">
        <v>479</v>
      </c>
      <c r="I161" s="21" t="s">
        <v>192</v>
      </c>
      <c r="J161" s="21" t="s">
        <v>21</v>
      </c>
      <c r="K161" s="21" t="s">
        <v>442</v>
      </c>
      <c r="L161" s="23">
        <v>5.0999999999999996</v>
      </c>
      <c r="M161" s="24">
        <v>19000</v>
      </c>
      <c r="N161" s="24">
        <v>0</v>
      </c>
      <c r="O161" s="25">
        <v>96900</v>
      </c>
      <c r="P161" s="25">
        <v>0</v>
      </c>
      <c r="Q161" s="24">
        <v>19000</v>
      </c>
      <c r="R161" s="21" t="s">
        <v>436</v>
      </c>
      <c r="S161" s="21" t="s">
        <v>437</v>
      </c>
      <c r="T161" s="21" t="s">
        <v>17</v>
      </c>
      <c r="U161" s="21" t="s">
        <v>438</v>
      </c>
      <c r="V161" s="21" t="s">
        <v>17</v>
      </c>
      <c r="W161" s="21" t="s">
        <v>439</v>
      </c>
      <c r="X161" s="21" t="s">
        <v>439</v>
      </c>
    </row>
    <row r="162" spans="1:24" ht="10.5" hidden="1" customHeight="1" x14ac:dyDescent="0.25">
      <c r="A162" s="20">
        <v>46028</v>
      </c>
      <c r="B162" s="21" t="str">
        <f t="shared" si="2"/>
        <v>06/01/2026NL300007</v>
      </c>
      <c r="C162" s="22" t="s">
        <v>478</v>
      </c>
      <c r="D162" s="22" t="s">
        <v>17</v>
      </c>
      <c r="E162" s="22" t="s">
        <v>431</v>
      </c>
      <c r="F162" s="21" t="s">
        <v>432</v>
      </c>
      <c r="G162" s="21" t="s">
        <v>433</v>
      </c>
      <c r="H162" s="21" t="s">
        <v>479</v>
      </c>
      <c r="I162" s="21" t="s">
        <v>309</v>
      </c>
      <c r="J162" s="21" t="s">
        <v>444</v>
      </c>
      <c r="K162" s="21" t="s">
        <v>442</v>
      </c>
      <c r="L162" s="23">
        <v>3</v>
      </c>
      <c r="M162" s="24">
        <v>30000</v>
      </c>
      <c r="N162" s="24">
        <v>0</v>
      </c>
      <c r="O162" s="25">
        <v>90000</v>
      </c>
      <c r="P162" s="25">
        <v>0</v>
      </c>
      <c r="Q162" s="24">
        <v>30000</v>
      </c>
      <c r="R162" s="21" t="s">
        <v>436</v>
      </c>
      <c r="S162" s="21" t="s">
        <v>437</v>
      </c>
      <c r="T162" s="21" t="s">
        <v>17</v>
      </c>
      <c r="U162" s="21" t="s">
        <v>438</v>
      </c>
      <c r="V162" s="21" t="s">
        <v>17</v>
      </c>
      <c r="W162" s="21" t="s">
        <v>439</v>
      </c>
      <c r="X162" s="21" t="s">
        <v>439</v>
      </c>
    </row>
    <row r="163" spans="1:24" ht="10.5" hidden="1" customHeight="1" x14ac:dyDescent="0.25">
      <c r="A163" s="20">
        <v>46028</v>
      </c>
      <c r="B163" s="21" t="str">
        <f t="shared" si="2"/>
        <v>06/01/2026NL300008</v>
      </c>
      <c r="C163" s="22" t="s">
        <v>478</v>
      </c>
      <c r="D163" s="22" t="s">
        <v>17</v>
      </c>
      <c r="E163" s="22" t="s">
        <v>431</v>
      </c>
      <c r="F163" s="21" t="s">
        <v>432</v>
      </c>
      <c r="G163" s="21" t="s">
        <v>433</v>
      </c>
      <c r="H163" s="21" t="s">
        <v>479</v>
      </c>
      <c r="I163" s="21" t="s">
        <v>320</v>
      </c>
      <c r="J163" s="21" t="s">
        <v>445</v>
      </c>
      <c r="K163" s="21" t="s">
        <v>442</v>
      </c>
      <c r="L163" s="23">
        <v>6</v>
      </c>
      <c r="M163" s="24">
        <v>40000</v>
      </c>
      <c r="N163" s="24">
        <v>0</v>
      </c>
      <c r="O163" s="25">
        <v>240000</v>
      </c>
      <c r="P163" s="25">
        <v>0</v>
      </c>
      <c r="Q163" s="24">
        <v>40000</v>
      </c>
      <c r="R163" s="21" t="s">
        <v>436</v>
      </c>
      <c r="S163" s="21" t="s">
        <v>437</v>
      </c>
      <c r="T163" s="21" t="s">
        <v>17</v>
      </c>
      <c r="U163" s="21" t="s">
        <v>438</v>
      </c>
      <c r="V163" s="21" t="s">
        <v>17</v>
      </c>
      <c r="W163" s="21" t="s">
        <v>439</v>
      </c>
      <c r="X163" s="21" t="s">
        <v>439</v>
      </c>
    </row>
    <row r="164" spans="1:24" ht="10.5" hidden="1" customHeight="1" x14ac:dyDescent="0.25">
      <c r="A164" s="20">
        <v>46028</v>
      </c>
      <c r="B164" s="21" t="str">
        <f t="shared" si="2"/>
        <v>06/01/2026NL300020</v>
      </c>
      <c r="C164" s="22" t="s">
        <v>478</v>
      </c>
      <c r="D164" s="22" t="s">
        <v>17</v>
      </c>
      <c r="E164" s="22" t="s">
        <v>431</v>
      </c>
      <c r="F164" s="21" t="s">
        <v>432</v>
      </c>
      <c r="G164" s="21" t="s">
        <v>433</v>
      </c>
      <c r="H164" s="21" t="s">
        <v>479</v>
      </c>
      <c r="I164" s="21" t="s">
        <v>326</v>
      </c>
      <c r="J164" s="21" t="s">
        <v>446</v>
      </c>
      <c r="K164" s="21" t="s">
        <v>442</v>
      </c>
      <c r="L164" s="23">
        <v>1</v>
      </c>
      <c r="M164" s="24">
        <v>30000</v>
      </c>
      <c r="N164" s="24">
        <v>0</v>
      </c>
      <c r="O164" s="25">
        <v>30000</v>
      </c>
      <c r="P164" s="25">
        <v>0</v>
      </c>
      <c r="Q164" s="24">
        <v>30000</v>
      </c>
      <c r="R164" s="21" t="s">
        <v>436</v>
      </c>
      <c r="S164" s="21" t="s">
        <v>437</v>
      </c>
      <c r="T164" s="21" t="s">
        <v>17</v>
      </c>
      <c r="U164" s="21" t="s">
        <v>438</v>
      </c>
      <c r="V164" s="21" t="s">
        <v>17</v>
      </c>
      <c r="W164" s="21" t="s">
        <v>439</v>
      </c>
      <c r="X164" s="21" t="s">
        <v>439</v>
      </c>
    </row>
    <row r="165" spans="1:24" ht="10.5" hidden="1" customHeight="1" x14ac:dyDescent="0.25">
      <c r="A165" s="20">
        <v>46028</v>
      </c>
      <c r="B165" s="21" t="str">
        <f t="shared" si="2"/>
        <v>06/01/2026NL300025</v>
      </c>
      <c r="C165" s="22" t="s">
        <v>478</v>
      </c>
      <c r="D165" s="22" t="s">
        <v>17</v>
      </c>
      <c r="E165" s="22" t="s">
        <v>431</v>
      </c>
      <c r="F165" s="21" t="s">
        <v>432</v>
      </c>
      <c r="G165" s="21" t="s">
        <v>433</v>
      </c>
      <c r="H165" s="21" t="s">
        <v>479</v>
      </c>
      <c r="I165" s="21" t="s">
        <v>211</v>
      </c>
      <c r="J165" s="21" t="s">
        <v>447</v>
      </c>
      <c r="K165" s="21" t="s">
        <v>442</v>
      </c>
      <c r="L165" s="23">
        <v>0.7</v>
      </c>
      <c r="M165" s="24">
        <v>44000</v>
      </c>
      <c r="N165" s="24">
        <v>0</v>
      </c>
      <c r="O165" s="25">
        <v>30800</v>
      </c>
      <c r="P165" s="25">
        <v>0</v>
      </c>
      <c r="Q165" s="24">
        <v>44000</v>
      </c>
      <c r="R165" s="21" t="s">
        <v>436</v>
      </c>
      <c r="S165" s="21" t="s">
        <v>437</v>
      </c>
      <c r="T165" s="21" t="s">
        <v>17</v>
      </c>
      <c r="U165" s="21" t="s">
        <v>438</v>
      </c>
      <c r="V165" s="21" t="s">
        <v>17</v>
      </c>
      <c r="W165" s="21" t="s">
        <v>439</v>
      </c>
      <c r="X165" s="21" t="s">
        <v>439</v>
      </c>
    </row>
    <row r="166" spans="1:24" ht="10.5" hidden="1" customHeight="1" x14ac:dyDescent="0.25">
      <c r="A166" s="20">
        <v>46028</v>
      </c>
      <c r="B166" s="21" t="str">
        <f t="shared" si="2"/>
        <v>06/01/2026NL300028</v>
      </c>
      <c r="C166" s="22" t="s">
        <v>478</v>
      </c>
      <c r="D166" s="22" t="s">
        <v>17</v>
      </c>
      <c r="E166" s="22" t="s">
        <v>431</v>
      </c>
      <c r="F166" s="21" t="s">
        <v>432</v>
      </c>
      <c r="G166" s="21" t="s">
        <v>433</v>
      </c>
      <c r="H166" s="21" t="s">
        <v>479</v>
      </c>
      <c r="I166" s="21" t="s">
        <v>325</v>
      </c>
      <c r="J166" s="21" t="s">
        <v>27</v>
      </c>
      <c r="K166" s="21" t="s">
        <v>442</v>
      </c>
      <c r="L166" s="23">
        <v>0.2</v>
      </c>
      <c r="M166" s="24">
        <v>75000</v>
      </c>
      <c r="N166" s="24">
        <v>0</v>
      </c>
      <c r="O166" s="25">
        <v>15000</v>
      </c>
      <c r="P166" s="25">
        <v>0</v>
      </c>
      <c r="Q166" s="24">
        <v>75000</v>
      </c>
      <c r="R166" s="21" t="s">
        <v>436</v>
      </c>
      <c r="S166" s="21" t="s">
        <v>437</v>
      </c>
      <c r="T166" s="21" t="s">
        <v>17</v>
      </c>
      <c r="U166" s="21" t="s">
        <v>438</v>
      </c>
      <c r="V166" s="21" t="s">
        <v>17</v>
      </c>
      <c r="W166" s="21" t="s">
        <v>439</v>
      </c>
      <c r="X166" s="21" t="s">
        <v>439</v>
      </c>
    </row>
    <row r="167" spans="1:24" ht="10.5" hidden="1" customHeight="1" x14ac:dyDescent="0.25">
      <c r="A167" s="20">
        <v>46028</v>
      </c>
      <c r="B167" s="21" t="str">
        <f t="shared" si="2"/>
        <v>06/01/2026NL300038</v>
      </c>
      <c r="C167" s="22" t="s">
        <v>478</v>
      </c>
      <c r="D167" s="22" t="s">
        <v>17</v>
      </c>
      <c r="E167" s="22" t="s">
        <v>431</v>
      </c>
      <c r="F167" s="21" t="s">
        <v>432</v>
      </c>
      <c r="G167" s="21" t="s">
        <v>433</v>
      </c>
      <c r="H167" s="21" t="s">
        <v>479</v>
      </c>
      <c r="I167" s="21" t="s">
        <v>217</v>
      </c>
      <c r="J167" s="21" t="s">
        <v>35</v>
      </c>
      <c r="K167" s="21" t="s">
        <v>442</v>
      </c>
      <c r="L167" s="23">
        <v>2</v>
      </c>
      <c r="M167" s="24">
        <v>32000</v>
      </c>
      <c r="N167" s="24">
        <v>0</v>
      </c>
      <c r="O167" s="25">
        <v>64000</v>
      </c>
      <c r="P167" s="25">
        <v>0</v>
      </c>
      <c r="Q167" s="24">
        <v>32000</v>
      </c>
      <c r="R167" s="21" t="s">
        <v>436</v>
      </c>
      <c r="S167" s="21" t="s">
        <v>437</v>
      </c>
      <c r="T167" s="21" t="s">
        <v>17</v>
      </c>
      <c r="U167" s="21" t="s">
        <v>438</v>
      </c>
      <c r="V167" s="21" t="s">
        <v>17</v>
      </c>
      <c r="W167" s="21" t="s">
        <v>439</v>
      </c>
      <c r="X167" s="21" t="s">
        <v>439</v>
      </c>
    </row>
    <row r="168" spans="1:24" ht="10.5" hidden="1" customHeight="1" x14ac:dyDescent="0.25">
      <c r="A168" s="20">
        <v>46028</v>
      </c>
      <c r="B168" s="21" t="str">
        <f t="shared" si="2"/>
        <v>06/01/2026NL300041</v>
      </c>
      <c r="C168" s="22" t="s">
        <v>478</v>
      </c>
      <c r="D168" s="22" t="s">
        <v>17</v>
      </c>
      <c r="E168" s="22" t="s">
        <v>431</v>
      </c>
      <c r="F168" s="21" t="s">
        <v>432</v>
      </c>
      <c r="G168" s="21" t="s">
        <v>433</v>
      </c>
      <c r="H168" s="21" t="s">
        <v>479</v>
      </c>
      <c r="I168" s="21" t="s">
        <v>222</v>
      </c>
      <c r="J168" s="21" t="s">
        <v>449</v>
      </c>
      <c r="K168" s="21" t="s">
        <v>450</v>
      </c>
      <c r="L168" s="23">
        <v>9</v>
      </c>
      <c r="M168" s="24">
        <v>15000</v>
      </c>
      <c r="N168" s="24">
        <v>0</v>
      </c>
      <c r="O168" s="25">
        <v>135000</v>
      </c>
      <c r="P168" s="25">
        <v>0</v>
      </c>
      <c r="Q168" s="24">
        <v>15000</v>
      </c>
      <c r="R168" s="21" t="s">
        <v>436</v>
      </c>
      <c r="S168" s="21" t="s">
        <v>437</v>
      </c>
      <c r="T168" s="21" t="s">
        <v>17</v>
      </c>
      <c r="U168" s="21" t="s">
        <v>438</v>
      </c>
      <c r="V168" s="21" t="s">
        <v>17</v>
      </c>
      <c r="W168" s="21" t="s">
        <v>439</v>
      </c>
      <c r="X168" s="21" t="s">
        <v>439</v>
      </c>
    </row>
    <row r="169" spans="1:24" ht="10.5" hidden="1" customHeight="1" x14ac:dyDescent="0.25">
      <c r="A169" s="20">
        <v>46028</v>
      </c>
      <c r="B169" s="21" t="str">
        <f t="shared" si="2"/>
        <v>06/01/2026NL300054</v>
      </c>
      <c r="C169" s="22" t="s">
        <v>478</v>
      </c>
      <c r="D169" s="22" t="s">
        <v>17</v>
      </c>
      <c r="E169" s="22" t="s">
        <v>431</v>
      </c>
      <c r="F169" s="21" t="s">
        <v>432</v>
      </c>
      <c r="G169" s="21" t="s">
        <v>433</v>
      </c>
      <c r="H169" s="21" t="s">
        <v>479</v>
      </c>
      <c r="I169" s="21" t="s">
        <v>216</v>
      </c>
      <c r="J169" s="21" t="s">
        <v>451</v>
      </c>
      <c r="K169" s="21" t="s">
        <v>442</v>
      </c>
      <c r="L169" s="23">
        <v>2</v>
      </c>
      <c r="M169" s="24">
        <v>38000</v>
      </c>
      <c r="N169" s="24">
        <v>0</v>
      </c>
      <c r="O169" s="25">
        <v>76000</v>
      </c>
      <c r="P169" s="25">
        <v>0</v>
      </c>
      <c r="Q169" s="24">
        <v>38000</v>
      </c>
      <c r="R169" s="21" t="s">
        <v>436</v>
      </c>
      <c r="S169" s="21" t="s">
        <v>437</v>
      </c>
      <c r="T169" s="21" t="s">
        <v>17</v>
      </c>
      <c r="U169" s="21" t="s">
        <v>438</v>
      </c>
      <c r="V169" s="21" t="s">
        <v>17</v>
      </c>
      <c r="W169" s="21" t="s">
        <v>439</v>
      </c>
      <c r="X169" s="21" t="s">
        <v>439</v>
      </c>
    </row>
    <row r="170" spans="1:24" ht="10.5" hidden="1" customHeight="1" x14ac:dyDescent="0.25">
      <c r="A170" s="20">
        <v>46028</v>
      </c>
      <c r="B170" s="21" t="str">
        <f t="shared" si="2"/>
        <v>06/01/2026NL300058</v>
      </c>
      <c r="C170" s="22" t="s">
        <v>478</v>
      </c>
      <c r="D170" s="22" t="s">
        <v>17</v>
      </c>
      <c r="E170" s="22" t="s">
        <v>431</v>
      </c>
      <c r="F170" s="21" t="s">
        <v>432</v>
      </c>
      <c r="G170" s="21" t="s">
        <v>433</v>
      </c>
      <c r="H170" s="21" t="s">
        <v>479</v>
      </c>
      <c r="I170" s="21" t="s">
        <v>228</v>
      </c>
      <c r="J170" s="21" t="s">
        <v>39</v>
      </c>
      <c r="K170" s="21" t="s">
        <v>442</v>
      </c>
      <c r="L170" s="23">
        <v>2</v>
      </c>
      <c r="M170" s="24">
        <v>55000</v>
      </c>
      <c r="N170" s="24">
        <v>0</v>
      </c>
      <c r="O170" s="25">
        <v>110000</v>
      </c>
      <c r="P170" s="25">
        <v>0</v>
      </c>
      <c r="Q170" s="24">
        <v>55000</v>
      </c>
      <c r="R170" s="21" t="s">
        <v>436</v>
      </c>
      <c r="S170" s="21" t="s">
        <v>437</v>
      </c>
      <c r="T170" s="21" t="s">
        <v>17</v>
      </c>
      <c r="U170" s="21" t="s">
        <v>438</v>
      </c>
      <c r="V170" s="21" t="s">
        <v>17</v>
      </c>
      <c r="W170" s="21" t="s">
        <v>439</v>
      </c>
      <c r="X170" s="21" t="s">
        <v>439</v>
      </c>
    </row>
    <row r="171" spans="1:24" ht="10.5" hidden="1" customHeight="1" x14ac:dyDescent="0.25">
      <c r="A171" s="20">
        <v>46028</v>
      </c>
      <c r="B171" s="21" t="str">
        <f t="shared" si="2"/>
        <v>06/01/2026NL300059</v>
      </c>
      <c r="C171" s="22" t="s">
        <v>478</v>
      </c>
      <c r="D171" s="22" t="s">
        <v>17</v>
      </c>
      <c r="E171" s="22" t="s">
        <v>431</v>
      </c>
      <c r="F171" s="21" t="s">
        <v>432</v>
      </c>
      <c r="G171" s="21" t="s">
        <v>433</v>
      </c>
      <c r="H171" s="21" t="s">
        <v>479</v>
      </c>
      <c r="I171" s="21" t="s">
        <v>229</v>
      </c>
      <c r="J171" s="21" t="s">
        <v>114</v>
      </c>
      <c r="K171" s="21" t="s">
        <v>442</v>
      </c>
      <c r="L171" s="23">
        <v>0.5</v>
      </c>
      <c r="M171" s="24">
        <v>13000</v>
      </c>
      <c r="N171" s="24">
        <v>0</v>
      </c>
      <c r="O171" s="25">
        <v>6500</v>
      </c>
      <c r="P171" s="25">
        <v>0</v>
      </c>
      <c r="Q171" s="24">
        <v>13000</v>
      </c>
      <c r="R171" s="21" t="s">
        <v>436</v>
      </c>
      <c r="S171" s="21" t="s">
        <v>437</v>
      </c>
      <c r="T171" s="21" t="s">
        <v>17</v>
      </c>
      <c r="U171" s="21" t="s">
        <v>438</v>
      </c>
      <c r="V171" s="21" t="s">
        <v>17</v>
      </c>
      <c r="W171" s="21" t="s">
        <v>439</v>
      </c>
      <c r="X171" s="21" t="s">
        <v>439</v>
      </c>
    </row>
    <row r="172" spans="1:24" ht="10.5" hidden="1" customHeight="1" x14ac:dyDescent="0.25">
      <c r="A172" s="20">
        <v>46028</v>
      </c>
      <c r="B172" s="21" t="str">
        <f t="shared" si="2"/>
        <v>06/01/2026NL300085</v>
      </c>
      <c r="C172" s="22" t="s">
        <v>478</v>
      </c>
      <c r="D172" s="22" t="s">
        <v>17</v>
      </c>
      <c r="E172" s="22" t="s">
        <v>431</v>
      </c>
      <c r="F172" s="21" t="s">
        <v>432</v>
      </c>
      <c r="G172" s="21" t="s">
        <v>433</v>
      </c>
      <c r="H172" s="21" t="s">
        <v>479</v>
      </c>
      <c r="I172" s="21" t="s">
        <v>263</v>
      </c>
      <c r="J172" s="21" t="s">
        <v>453</v>
      </c>
      <c r="K172" s="21" t="s">
        <v>442</v>
      </c>
      <c r="L172" s="23">
        <v>1</v>
      </c>
      <c r="M172" s="24">
        <v>45000</v>
      </c>
      <c r="N172" s="24">
        <v>0</v>
      </c>
      <c r="O172" s="25">
        <v>45000</v>
      </c>
      <c r="P172" s="25">
        <v>0</v>
      </c>
      <c r="Q172" s="24">
        <v>45000</v>
      </c>
      <c r="R172" s="21" t="s">
        <v>436</v>
      </c>
      <c r="S172" s="21" t="s">
        <v>437</v>
      </c>
      <c r="T172" s="21" t="s">
        <v>17</v>
      </c>
      <c r="U172" s="21" t="s">
        <v>438</v>
      </c>
      <c r="V172" s="21" t="s">
        <v>17</v>
      </c>
      <c r="W172" s="21" t="s">
        <v>439</v>
      </c>
      <c r="X172" s="21" t="s">
        <v>439</v>
      </c>
    </row>
    <row r="173" spans="1:24" ht="10.5" hidden="1" customHeight="1" x14ac:dyDescent="0.25">
      <c r="A173" s="20">
        <v>46028</v>
      </c>
      <c r="B173" s="21" t="str">
        <f t="shared" si="2"/>
        <v>06/01/2026NL300092</v>
      </c>
      <c r="C173" s="22" t="s">
        <v>478</v>
      </c>
      <c r="D173" s="22" t="s">
        <v>17</v>
      </c>
      <c r="E173" s="22" t="s">
        <v>431</v>
      </c>
      <c r="F173" s="21" t="s">
        <v>432</v>
      </c>
      <c r="G173" s="21" t="s">
        <v>433</v>
      </c>
      <c r="H173" s="21" t="s">
        <v>479</v>
      </c>
      <c r="I173" s="21" t="s">
        <v>329</v>
      </c>
      <c r="J173" s="21" t="s">
        <v>74</v>
      </c>
      <c r="K173" s="21" t="s">
        <v>442</v>
      </c>
      <c r="L173" s="23">
        <v>0.6</v>
      </c>
      <c r="M173" s="24">
        <v>90000</v>
      </c>
      <c r="N173" s="24">
        <v>0</v>
      </c>
      <c r="O173" s="25">
        <v>54000</v>
      </c>
      <c r="P173" s="25">
        <v>0</v>
      </c>
      <c r="Q173" s="24">
        <v>90000</v>
      </c>
      <c r="R173" s="21" t="s">
        <v>436</v>
      </c>
      <c r="S173" s="21" t="s">
        <v>437</v>
      </c>
      <c r="T173" s="21" t="s">
        <v>17</v>
      </c>
      <c r="U173" s="21" t="s">
        <v>438</v>
      </c>
      <c r="V173" s="21" t="s">
        <v>17</v>
      </c>
      <c r="W173" s="21" t="s">
        <v>439</v>
      </c>
      <c r="X173" s="21" t="s">
        <v>439</v>
      </c>
    </row>
    <row r="174" spans="1:24" ht="10.5" hidden="1" customHeight="1" x14ac:dyDescent="0.25">
      <c r="A174" s="20">
        <v>46028</v>
      </c>
      <c r="B174" s="21" t="str">
        <f t="shared" si="2"/>
        <v>06/01/2026NL300094</v>
      </c>
      <c r="C174" s="22" t="s">
        <v>478</v>
      </c>
      <c r="D174" s="22" t="s">
        <v>17</v>
      </c>
      <c r="E174" s="22" t="s">
        <v>431</v>
      </c>
      <c r="F174" s="21" t="s">
        <v>432</v>
      </c>
      <c r="G174" s="21" t="s">
        <v>433</v>
      </c>
      <c r="H174" s="21" t="s">
        <v>479</v>
      </c>
      <c r="I174" s="21" t="s">
        <v>257</v>
      </c>
      <c r="J174" s="21" t="s">
        <v>454</v>
      </c>
      <c r="K174" s="21" t="s">
        <v>442</v>
      </c>
      <c r="L174" s="23">
        <v>1</v>
      </c>
      <c r="M174" s="24">
        <v>80000</v>
      </c>
      <c r="N174" s="24">
        <v>0</v>
      </c>
      <c r="O174" s="25">
        <v>80000</v>
      </c>
      <c r="P174" s="25">
        <v>0</v>
      </c>
      <c r="Q174" s="24">
        <v>80000</v>
      </c>
      <c r="R174" s="21" t="s">
        <v>436</v>
      </c>
      <c r="S174" s="21" t="s">
        <v>437</v>
      </c>
      <c r="T174" s="21" t="s">
        <v>17</v>
      </c>
      <c r="U174" s="21" t="s">
        <v>438</v>
      </c>
      <c r="V174" s="21" t="s">
        <v>17</v>
      </c>
      <c r="W174" s="21" t="s">
        <v>439</v>
      </c>
      <c r="X174" s="21" t="s">
        <v>439</v>
      </c>
    </row>
    <row r="175" spans="1:24" ht="10.5" hidden="1" customHeight="1" x14ac:dyDescent="0.25">
      <c r="A175" s="20">
        <v>46028</v>
      </c>
      <c r="B175" s="21" t="str">
        <f t="shared" si="2"/>
        <v>06/01/2026NL300101</v>
      </c>
      <c r="C175" s="22" t="s">
        <v>478</v>
      </c>
      <c r="D175" s="22" t="s">
        <v>17</v>
      </c>
      <c r="E175" s="22" t="s">
        <v>431</v>
      </c>
      <c r="F175" s="21" t="s">
        <v>432</v>
      </c>
      <c r="G175" s="21" t="s">
        <v>433</v>
      </c>
      <c r="H175" s="21" t="s">
        <v>479</v>
      </c>
      <c r="I175" s="21" t="s">
        <v>343</v>
      </c>
      <c r="J175" s="21" t="s">
        <v>480</v>
      </c>
      <c r="K175" s="21" t="s">
        <v>442</v>
      </c>
      <c r="L175" s="23">
        <v>0.5</v>
      </c>
      <c r="M175" s="24">
        <v>195000</v>
      </c>
      <c r="N175" s="24">
        <v>0</v>
      </c>
      <c r="O175" s="25">
        <v>97500</v>
      </c>
      <c r="P175" s="25">
        <v>0</v>
      </c>
      <c r="Q175" s="24">
        <v>195000</v>
      </c>
      <c r="R175" s="21" t="s">
        <v>436</v>
      </c>
      <c r="S175" s="21" t="s">
        <v>437</v>
      </c>
      <c r="T175" s="21" t="s">
        <v>17</v>
      </c>
      <c r="U175" s="21" t="s">
        <v>438</v>
      </c>
      <c r="V175" s="21" t="s">
        <v>17</v>
      </c>
      <c r="W175" s="21" t="s">
        <v>439</v>
      </c>
      <c r="X175" s="21" t="s">
        <v>439</v>
      </c>
    </row>
    <row r="176" spans="1:24" ht="10.5" hidden="1" customHeight="1" x14ac:dyDescent="0.25">
      <c r="A176" s="20">
        <v>46028</v>
      </c>
      <c r="B176" s="21" t="str">
        <f t="shared" si="2"/>
        <v>06/01/2026NL300116</v>
      </c>
      <c r="C176" s="22" t="s">
        <v>478</v>
      </c>
      <c r="D176" s="22" t="s">
        <v>17</v>
      </c>
      <c r="E176" s="22" t="s">
        <v>431</v>
      </c>
      <c r="F176" s="21" t="s">
        <v>432</v>
      </c>
      <c r="G176" s="21" t="s">
        <v>433</v>
      </c>
      <c r="H176" s="21" t="s">
        <v>479</v>
      </c>
      <c r="I176" s="21" t="s">
        <v>315</v>
      </c>
      <c r="J176" s="21" t="s">
        <v>456</v>
      </c>
      <c r="K176" s="21" t="s">
        <v>442</v>
      </c>
      <c r="L176" s="23">
        <v>0.2</v>
      </c>
      <c r="M176" s="24">
        <v>148000</v>
      </c>
      <c r="N176" s="24">
        <v>0</v>
      </c>
      <c r="O176" s="25">
        <v>29600</v>
      </c>
      <c r="P176" s="25">
        <v>0</v>
      </c>
      <c r="Q176" s="24">
        <v>148000</v>
      </c>
      <c r="R176" s="21" t="s">
        <v>436</v>
      </c>
      <c r="S176" s="21" t="s">
        <v>437</v>
      </c>
      <c r="T176" s="21" t="s">
        <v>17</v>
      </c>
      <c r="U176" s="21" t="s">
        <v>438</v>
      </c>
      <c r="V176" s="21" t="s">
        <v>17</v>
      </c>
      <c r="W176" s="21" t="s">
        <v>439</v>
      </c>
      <c r="X176" s="21" t="s">
        <v>439</v>
      </c>
    </row>
    <row r="177" spans="1:24" ht="10.5" hidden="1" customHeight="1" x14ac:dyDescent="0.25">
      <c r="A177" s="20">
        <v>46028</v>
      </c>
      <c r="B177" s="21" t="str">
        <f t="shared" si="2"/>
        <v>06/01/2026NL300121</v>
      </c>
      <c r="C177" s="22" t="s">
        <v>478</v>
      </c>
      <c r="D177" s="22" t="s">
        <v>17</v>
      </c>
      <c r="E177" s="22" t="s">
        <v>431</v>
      </c>
      <c r="F177" s="21" t="s">
        <v>432</v>
      </c>
      <c r="G177" s="21" t="s">
        <v>433</v>
      </c>
      <c r="H177" s="21" t="s">
        <v>479</v>
      </c>
      <c r="I177" s="21" t="s">
        <v>281</v>
      </c>
      <c r="J177" s="21" t="s">
        <v>51</v>
      </c>
      <c r="K177" s="21" t="s">
        <v>442</v>
      </c>
      <c r="L177" s="23">
        <v>0.1</v>
      </c>
      <c r="M177" s="24">
        <v>22000</v>
      </c>
      <c r="N177" s="24">
        <v>0</v>
      </c>
      <c r="O177" s="25">
        <v>2200</v>
      </c>
      <c r="P177" s="25">
        <v>0</v>
      </c>
      <c r="Q177" s="24">
        <v>22000</v>
      </c>
      <c r="R177" s="21" t="s">
        <v>436</v>
      </c>
      <c r="S177" s="21" t="s">
        <v>437</v>
      </c>
      <c r="T177" s="21" t="s">
        <v>17</v>
      </c>
      <c r="U177" s="21" t="s">
        <v>438</v>
      </c>
      <c r="V177" s="21" t="s">
        <v>17</v>
      </c>
      <c r="W177" s="21" t="s">
        <v>439</v>
      </c>
      <c r="X177" s="21" t="s">
        <v>439</v>
      </c>
    </row>
    <row r="178" spans="1:24" ht="10.5" hidden="1" customHeight="1" x14ac:dyDescent="0.25">
      <c r="A178" s="20">
        <v>46028</v>
      </c>
      <c r="B178" s="21" t="str">
        <f t="shared" si="2"/>
        <v>06/01/2026NL300126</v>
      </c>
      <c r="C178" s="22" t="s">
        <v>478</v>
      </c>
      <c r="D178" s="22" t="s">
        <v>17</v>
      </c>
      <c r="E178" s="22" t="s">
        <v>431</v>
      </c>
      <c r="F178" s="21" t="s">
        <v>432</v>
      </c>
      <c r="G178" s="21" t="s">
        <v>433</v>
      </c>
      <c r="H178" s="21" t="s">
        <v>479</v>
      </c>
      <c r="I178" s="21" t="s">
        <v>264</v>
      </c>
      <c r="J178" s="21" t="s">
        <v>457</v>
      </c>
      <c r="K178" s="21" t="s">
        <v>442</v>
      </c>
      <c r="L178" s="23">
        <v>0.1</v>
      </c>
      <c r="M178" s="24">
        <v>70000</v>
      </c>
      <c r="N178" s="24">
        <v>0</v>
      </c>
      <c r="O178" s="25">
        <v>7000</v>
      </c>
      <c r="P178" s="25">
        <v>0</v>
      </c>
      <c r="Q178" s="24">
        <v>70000</v>
      </c>
      <c r="R178" s="21" t="s">
        <v>436</v>
      </c>
      <c r="S178" s="21" t="s">
        <v>437</v>
      </c>
      <c r="T178" s="21" t="s">
        <v>17</v>
      </c>
      <c r="U178" s="21" t="s">
        <v>438</v>
      </c>
      <c r="V178" s="21" t="s">
        <v>17</v>
      </c>
      <c r="W178" s="21" t="s">
        <v>439</v>
      </c>
      <c r="X178" s="21" t="s">
        <v>439</v>
      </c>
    </row>
    <row r="179" spans="1:24" ht="10.5" hidden="1" customHeight="1" x14ac:dyDescent="0.25">
      <c r="A179" s="20">
        <v>46028</v>
      </c>
      <c r="B179" s="21" t="str">
        <f t="shared" si="2"/>
        <v>06/01/2026NL300147</v>
      </c>
      <c r="C179" s="22" t="s">
        <v>478</v>
      </c>
      <c r="D179" s="22" t="s">
        <v>17</v>
      </c>
      <c r="E179" s="22" t="s">
        <v>431</v>
      </c>
      <c r="F179" s="21" t="s">
        <v>432</v>
      </c>
      <c r="G179" s="21" t="s">
        <v>433</v>
      </c>
      <c r="H179" s="21" t="s">
        <v>479</v>
      </c>
      <c r="I179" s="21" t="s">
        <v>300</v>
      </c>
      <c r="J179" s="21" t="s">
        <v>459</v>
      </c>
      <c r="K179" s="21" t="s">
        <v>442</v>
      </c>
      <c r="L179" s="23">
        <v>2</v>
      </c>
      <c r="M179" s="24">
        <v>62000</v>
      </c>
      <c r="N179" s="24">
        <v>0</v>
      </c>
      <c r="O179" s="25">
        <v>124000</v>
      </c>
      <c r="P179" s="25">
        <v>0</v>
      </c>
      <c r="Q179" s="24">
        <v>62000</v>
      </c>
      <c r="R179" s="21" t="s">
        <v>436</v>
      </c>
      <c r="S179" s="21" t="s">
        <v>437</v>
      </c>
      <c r="T179" s="21" t="s">
        <v>17</v>
      </c>
      <c r="U179" s="21" t="s">
        <v>438</v>
      </c>
      <c r="V179" s="21" t="s">
        <v>17</v>
      </c>
      <c r="W179" s="21" t="s">
        <v>439</v>
      </c>
      <c r="X179" s="21" t="s">
        <v>439</v>
      </c>
    </row>
    <row r="180" spans="1:24" ht="10.5" hidden="1" customHeight="1" x14ac:dyDescent="0.25">
      <c r="A180" s="20">
        <v>46028</v>
      </c>
      <c r="B180" s="21" t="str">
        <f t="shared" si="2"/>
        <v>06/01/2026NL300158</v>
      </c>
      <c r="C180" s="22" t="s">
        <v>478</v>
      </c>
      <c r="D180" s="22" t="s">
        <v>17</v>
      </c>
      <c r="E180" s="22" t="s">
        <v>431</v>
      </c>
      <c r="F180" s="21" t="s">
        <v>432</v>
      </c>
      <c r="G180" s="21" t="s">
        <v>433</v>
      </c>
      <c r="H180" s="21" t="s">
        <v>479</v>
      </c>
      <c r="I180" s="21" t="s">
        <v>367</v>
      </c>
      <c r="J180" s="21" t="s">
        <v>481</v>
      </c>
      <c r="K180" s="21" t="s">
        <v>442</v>
      </c>
      <c r="L180" s="23">
        <v>0.2</v>
      </c>
      <c r="M180" s="24">
        <v>250000</v>
      </c>
      <c r="N180" s="24">
        <v>0</v>
      </c>
      <c r="O180" s="25">
        <v>50000</v>
      </c>
      <c r="P180" s="25">
        <v>0</v>
      </c>
      <c r="Q180" s="24">
        <v>250000</v>
      </c>
      <c r="R180" s="21" t="s">
        <v>436</v>
      </c>
      <c r="S180" s="21" t="s">
        <v>437</v>
      </c>
      <c r="T180" s="21" t="s">
        <v>17</v>
      </c>
      <c r="U180" s="21" t="s">
        <v>438</v>
      </c>
      <c r="V180" s="21" t="s">
        <v>17</v>
      </c>
      <c r="W180" s="21" t="s">
        <v>439</v>
      </c>
      <c r="X180" s="21" t="s">
        <v>439</v>
      </c>
    </row>
    <row r="181" spans="1:24" ht="10.5" hidden="1" customHeight="1" x14ac:dyDescent="0.25">
      <c r="A181" s="20">
        <v>46028</v>
      </c>
      <c r="B181" s="21" t="str">
        <f t="shared" si="2"/>
        <v>06/01/2026NL300189</v>
      </c>
      <c r="C181" s="22" t="s">
        <v>478</v>
      </c>
      <c r="D181" s="22" t="s">
        <v>17</v>
      </c>
      <c r="E181" s="22" t="s">
        <v>431</v>
      </c>
      <c r="F181" s="21" t="s">
        <v>432</v>
      </c>
      <c r="G181" s="21" t="s">
        <v>433</v>
      </c>
      <c r="H181" s="21" t="s">
        <v>479</v>
      </c>
      <c r="I181" s="21" t="s">
        <v>378</v>
      </c>
      <c r="J181" s="21" t="s">
        <v>19</v>
      </c>
      <c r="K181" s="21" t="s">
        <v>442</v>
      </c>
      <c r="L181" s="23">
        <v>2.7</v>
      </c>
      <c r="M181" s="24">
        <v>15000</v>
      </c>
      <c r="N181" s="24">
        <v>0</v>
      </c>
      <c r="O181" s="25">
        <v>40500</v>
      </c>
      <c r="P181" s="25">
        <v>0</v>
      </c>
      <c r="Q181" s="24">
        <v>15000</v>
      </c>
      <c r="R181" s="21" t="s">
        <v>436</v>
      </c>
      <c r="S181" s="21" t="s">
        <v>437</v>
      </c>
      <c r="T181" s="21" t="s">
        <v>17</v>
      </c>
      <c r="U181" s="21" t="s">
        <v>438</v>
      </c>
      <c r="V181" s="21" t="s">
        <v>17</v>
      </c>
      <c r="W181" s="21" t="s">
        <v>439</v>
      </c>
      <c r="X181" s="21" t="s">
        <v>439</v>
      </c>
    </row>
    <row r="182" spans="1:24" ht="10.5" hidden="1" customHeight="1" x14ac:dyDescent="0.25">
      <c r="A182" s="20">
        <v>46028</v>
      </c>
      <c r="B182" s="21" t="str">
        <f t="shared" si="2"/>
        <v>06/01/2026NL300119</v>
      </c>
      <c r="C182" s="22" t="s">
        <v>478</v>
      </c>
      <c r="D182" s="22" t="s">
        <v>17</v>
      </c>
      <c r="E182" s="22" t="s">
        <v>431</v>
      </c>
      <c r="F182" s="21" t="s">
        <v>432</v>
      </c>
      <c r="G182" s="21" t="s">
        <v>433</v>
      </c>
      <c r="H182" s="21" t="s">
        <v>479</v>
      </c>
      <c r="I182" s="21" t="s">
        <v>310</v>
      </c>
      <c r="J182" s="21" t="s">
        <v>460</v>
      </c>
      <c r="K182" s="21" t="s">
        <v>442</v>
      </c>
      <c r="L182" s="23">
        <v>0.8</v>
      </c>
      <c r="M182" s="24">
        <v>21000</v>
      </c>
      <c r="N182" s="24">
        <v>0</v>
      </c>
      <c r="O182" s="25">
        <v>16800</v>
      </c>
      <c r="P182" s="25">
        <v>0</v>
      </c>
      <c r="Q182" s="24">
        <v>21000</v>
      </c>
      <c r="R182" s="21" t="s">
        <v>436</v>
      </c>
      <c r="S182" s="21" t="s">
        <v>437</v>
      </c>
      <c r="T182" s="21" t="s">
        <v>17</v>
      </c>
      <c r="U182" s="21" t="s">
        <v>438</v>
      </c>
      <c r="V182" s="21" t="s">
        <v>17</v>
      </c>
      <c r="W182" s="21" t="s">
        <v>439</v>
      </c>
      <c r="X182" s="21" t="s">
        <v>439</v>
      </c>
    </row>
    <row r="183" spans="1:24" ht="10.5" hidden="1" customHeight="1" x14ac:dyDescent="0.25">
      <c r="A183" s="20">
        <v>46028</v>
      </c>
      <c r="B183" s="21" t="str">
        <f t="shared" si="2"/>
        <v>06/01/2026NL100101</v>
      </c>
      <c r="C183" s="22" t="s">
        <v>478</v>
      </c>
      <c r="D183" s="22" t="s">
        <v>17</v>
      </c>
      <c r="E183" s="22" t="s">
        <v>431</v>
      </c>
      <c r="F183" s="21" t="s">
        <v>432</v>
      </c>
      <c r="G183" s="21" t="s">
        <v>433</v>
      </c>
      <c r="H183" s="21" t="s">
        <v>479</v>
      </c>
      <c r="I183" s="21" t="s">
        <v>344</v>
      </c>
      <c r="J183" s="21" t="s">
        <v>107</v>
      </c>
      <c r="K183" s="21" t="s">
        <v>435</v>
      </c>
      <c r="L183" s="23">
        <v>49</v>
      </c>
      <c r="M183" s="24">
        <v>5000</v>
      </c>
      <c r="N183" s="24">
        <v>0</v>
      </c>
      <c r="O183" s="25">
        <v>245000</v>
      </c>
      <c r="P183" s="25">
        <v>0</v>
      </c>
      <c r="Q183" s="24">
        <v>5000</v>
      </c>
      <c r="R183" s="21" t="s">
        <v>436</v>
      </c>
      <c r="S183" s="21" t="s">
        <v>437</v>
      </c>
      <c r="T183" s="21" t="s">
        <v>17</v>
      </c>
      <c r="U183" s="21" t="s">
        <v>438</v>
      </c>
      <c r="V183" s="21" t="s">
        <v>17</v>
      </c>
      <c r="W183" s="21" t="s">
        <v>439</v>
      </c>
      <c r="X183" s="21" t="s">
        <v>439</v>
      </c>
    </row>
    <row r="184" spans="1:24" ht="10.5" hidden="1" customHeight="1" x14ac:dyDescent="0.25">
      <c r="A184" s="20">
        <v>46028</v>
      </c>
      <c r="B184" s="21" t="str">
        <f t="shared" si="2"/>
        <v>06/01/2026NL600004</v>
      </c>
      <c r="C184" s="22" t="s">
        <v>478</v>
      </c>
      <c r="D184" s="22" t="s">
        <v>17</v>
      </c>
      <c r="E184" s="22" t="s">
        <v>431</v>
      </c>
      <c r="F184" s="21" t="s">
        <v>432</v>
      </c>
      <c r="G184" s="21" t="s">
        <v>433</v>
      </c>
      <c r="H184" s="21" t="s">
        <v>479</v>
      </c>
      <c r="I184" s="21" t="s">
        <v>225</v>
      </c>
      <c r="J184" s="21" t="s">
        <v>37</v>
      </c>
      <c r="K184" s="21" t="s">
        <v>442</v>
      </c>
      <c r="L184" s="23">
        <v>19</v>
      </c>
      <c r="M184" s="24">
        <v>18000</v>
      </c>
      <c r="N184" s="24">
        <v>0</v>
      </c>
      <c r="O184" s="25">
        <v>342000</v>
      </c>
      <c r="P184" s="25">
        <v>0</v>
      </c>
      <c r="Q184" s="24">
        <v>18000</v>
      </c>
      <c r="R184" s="21" t="s">
        <v>436</v>
      </c>
      <c r="S184" s="21" t="s">
        <v>437</v>
      </c>
      <c r="T184" s="21" t="s">
        <v>17</v>
      </c>
      <c r="U184" s="21" t="s">
        <v>438</v>
      </c>
      <c r="V184" s="21" t="s">
        <v>17</v>
      </c>
      <c r="W184" s="21" t="s">
        <v>439</v>
      </c>
      <c r="X184" s="21" t="s">
        <v>439</v>
      </c>
    </row>
    <row r="185" spans="1:24" ht="10.5" hidden="1" customHeight="1" x14ac:dyDescent="0.25">
      <c r="A185" s="20">
        <v>46028</v>
      </c>
      <c r="B185" s="21" t="str">
        <f t="shared" si="2"/>
        <v>06/01/2026NL300131</v>
      </c>
      <c r="C185" s="22" t="s">
        <v>478</v>
      </c>
      <c r="D185" s="22" t="s">
        <v>17</v>
      </c>
      <c r="E185" s="22" t="s">
        <v>431</v>
      </c>
      <c r="F185" s="21" t="s">
        <v>432</v>
      </c>
      <c r="G185" s="21" t="s">
        <v>433</v>
      </c>
      <c r="H185" s="21" t="s">
        <v>479</v>
      </c>
      <c r="I185" s="21" t="s">
        <v>340</v>
      </c>
      <c r="J185" s="21" t="s">
        <v>88</v>
      </c>
      <c r="K185" s="21" t="s">
        <v>442</v>
      </c>
      <c r="L185" s="23">
        <v>0.2</v>
      </c>
      <c r="M185" s="24">
        <v>220000</v>
      </c>
      <c r="N185" s="24">
        <v>0</v>
      </c>
      <c r="O185" s="25">
        <v>44000</v>
      </c>
      <c r="P185" s="25">
        <v>0</v>
      </c>
      <c r="Q185" s="24">
        <v>220000</v>
      </c>
      <c r="R185" s="21" t="s">
        <v>436</v>
      </c>
      <c r="S185" s="21" t="s">
        <v>437</v>
      </c>
      <c r="T185" s="21" t="s">
        <v>17</v>
      </c>
      <c r="U185" s="21" t="s">
        <v>438</v>
      </c>
      <c r="V185" s="21" t="s">
        <v>17</v>
      </c>
      <c r="W185" s="21" t="s">
        <v>439</v>
      </c>
      <c r="X185" s="21" t="s">
        <v>439</v>
      </c>
    </row>
    <row r="186" spans="1:24" ht="10.5" hidden="1" customHeight="1" x14ac:dyDescent="0.25">
      <c r="A186" s="20">
        <v>46028</v>
      </c>
      <c r="B186" s="21" t="str">
        <f t="shared" si="2"/>
        <v>06/01/2026NL300029</v>
      </c>
      <c r="C186" s="22" t="s">
        <v>478</v>
      </c>
      <c r="D186" s="22" t="s">
        <v>17</v>
      </c>
      <c r="E186" s="22" t="s">
        <v>431</v>
      </c>
      <c r="F186" s="21" t="s">
        <v>432</v>
      </c>
      <c r="G186" s="21" t="s">
        <v>433</v>
      </c>
      <c r="H186" s="21" t="s">
        <v>479</v>
      </c>
      <c r="I186" s="21" t="s">
        <v>213</v>
      </c>
      <c r="J186" s="21" t="s">
        <v>469</v>
      </c>
      <c r="K186" s="21" t="s">
        <v>442</v>
      </c>
      <c r="L186" s="23">
        <v>2</v>
      </c>
      <c r="M186" s="24">
        <v>22000</v>
      </c>
      <c r="N186" s="24">
        <v>0</v>
      </c>
      <c r="O186" s="25">
        <v>44000</v>
      </c>
      <c r="P186" s="25">
        <v>0</v>
      </c>
      <c r="Q186" s="24">
        <v>22000</v>
      </c>
      <c r="R186" s="21" t="s">
        <v>436</v>
      </c>
      <c r="S186" s="21" t="s">
        <v>437</v>
      </c>
      <c r="T186" s="21" t="s">
        <v>17</v>
      </c>
      <c r="U186" s="21" t="s">
        <v>438</v>
      </c>
      <c r="V186" s="21" t="s">
        <v>17</v>
      </c>
      <c r="W186" s="21" t="s">
        <v>439</v>
      </c>
      <c r="X186" s="21" t="s">
        <v>439</v>
      </c>
    </row>
    <row r="187" spans="1:24" ht="10.5" hidden="1" customHeight="1" x14ac:dyDescent="0.25">
      <c r="A187" s="20">
        <v>46028</v>
      </c>
      <c r="B187" s="21" t="str">
        <f t="shared" si="2"/>
        <v>06/01/2026NL300062</v>
      </c>
      <c r="C187" s="22" t="s">
        <v>478</v>
      </c>
      <c r="D187" s="22" t="s">
        <v>17</v>
      </c>
      <c r="E187" s="22" t="s">
        <v>431</v>
      </c>
      <c r="F187" s="21" t="s">
        <v>432</v>
      </c>
      <c r="G187" s="21" t="s">
        <v>433</v>
      </c>
      <c r="H187" s="21" t="s">
        <v>479</v>
      </c>
      <c r="I187" s="21" t="s">
        <v>236</v>
      </c>
      <c r="J187" s="21" t="s">
        <v>482</v>
      </c>
      <c r="K187" s="21" t="s">
        <v>442</v>
      </c>
      <c r="L187" s="23">
        <v>0.1</v>
      </c>
      <c r="M187" s="24">
        <v>65000</v>
      </c>
      <c r="N187" s="24">
        <v>0</v>
      </c>
      <c r="O187" s="25">
        <v>6500</v>
      </c>
      <c r="P187" s="25">
        <v>0</v>
      </c>
      <c r="Q187" s="24">
        <v>65000</v>
      </c>
      <c r="R187" s="21" t="s">
        <v>436</v>
      </c>
      <c r="S187" s="21" t="s">
        <v>437</v>
      </c>
      <c r="T187" s="21" t="s">
        <v>17</v>
      </c>
      <c r="U187" s="21" t="s">
        <v>438</v>
      </c>
      <c r="V187" s="21" t="s">
        <v>17</v>
      </c>
      <c r="W187" s="21" t="s">
        <v>439</v>
      </c>
      <c r="X187" s="21" t="s">
        <v>439</v>
      </c>
    </row>
    <row r="188" spans="1:24" ht="10.5" hidden="1" customHeight="1" x14ac:dyDescent="0.25">
      <c r="A188" s="20">
        <v>46028</v>
      </c>
      <c r="B188" s="21" t="str">
        <f t="shared" si="2"/>
        <v>06/01/2026NL300184</v>
      </c>
      <c r="C188" s="22" t="s">
        <v>478</v>
      </c>
      <c r="D188" s="22" t="s">
        <v>17</v>
      </c>
      <c r="E188" s="22" t="s">
        <v>431</v>
      </c>
      <c r="F188" s="21" t="s">
        <v>432</v>
      </c>
      <c r="G188" s="21" t="s">
        <v>433</v>
      </c>
      <c r="H188" s="21" t="s">
        <v>479</v>
      </c>
      <c r="I188" s="21" t="s">
        <v>368</v>
      </c>
      <c r="J188" s="21" t="s">
        <v>462</v>
      </c>
      <c r="K188" s="21" t="s">
        <v>442</v>
      </c>
      <c r="L188" s="23">
        <v>0.5</v>
      </c>
      <c r="M188" s="24">
        <v>18000</v>
      </c>
      <c r="N188" s="24">
        <v>0</v>
      </c>
      <c r="O188" s="25">
        <v>9000</v>
      </c>
      <c r="P188" s="25">
        <v>0</v>
      </c>
      <c r="Q188" s="24">
        <v>18000</v>
      </c>
      <c r="R188" s="21" t="s">
        <v>436</v>
      </c>
      <c r="S188" s="21" t="s">
        <v>437</v>
      </c>
      <c r="T188" s="21" t="s">
        <v>17</v>
      </c>
      <c r="U188" s="21" t="s">
        <v>438</v>
      </c>
      <c r="V188" s="21" t="s">
        <v>17</v>
      </c>
      <c r="W188" s="21" t="s">
        <v>439</v>
      </c>
      <c r="X188" s="21" t="s">
        <v>439</v>
      </c>
    </row>
    <row r="189" spans="1:24" ht="10.5" hidden="1" customHeight="1" x14ac:dyDescent="0.25">
      <c r="A189" s="20">
        <v>46029</v>
      </c>
      <c r="B189" s="21" t="str">
        <f t="shared" si="2"/>
        <v>07/01/2026NL300125</v>
      </c>
      <c r="C189" s="22" t="s">
        <v>483</v>
      </c>
      <c r="D189" s="22" t="s">
        <v>17</v>
      </c>
      <c r="E189" s="22" t="s">
        <v>431</v>
      </c>
      <c r="F189" s="21" t="s">
        <v>432</v>
      </c>
      <c r="G189" s="21" t="s">
        <v>433</v>
      </c>
      <c r="H189" s="21" t="s">
        <v>484</v>
      </c>
      <c r="I189" s="21" t="s">
        <v>337</v>
      </c>
      <c r="J189" s="21" t="s">
        <v>146</v>
      </c>
      <c r="K189" s="21" t="s">
        <v>442</v>
      </c>
      <c r="L189" s="23">
        <v>0.5</v>
      </c>
      <c r="M189" s="24">
        <v>42000</v>
      </c>
      <c r="N189" s="24">
        <v>0</v>
      </c>
      <c r="O189" s="25">
        <v>21000</v>
      </c>
      <c r="P189" s="25">
        <v>0</v>
      </c>
      <c r="Q189" s="24">
        <v>42000</v>
      </c>
      <c r="R189" s="21" t="s">
        <v>436</v>
      </c>
      <c r="S189" s="21" t="s">
        <v>437</v>
      </c>
      <c r="T189" s="21" t="s">
        <v>17</v>
      </c>
      <c r="U189" s="21" t="s">
        <v>438</v>
      </c>
      <c r="V189" s="21" t="s">
        <v>17</v>
      </c>
      <c r="W189" s="21" t="s">
        <v>439</v>
      </c>
      <c r="X189" s="21" t="s">
        <v>439</v>
      </c>
    </row>
    <row r="190" spans="1:24" ht="10.5" hidden="1" customHeight="1" x14ac:dyDescent="0.25">
      <c r="A190" s="20">
        <v>46029</v>
      </c>
      <c r="B190" s="21" t="str">
        <f t="shared" si="2"/>
        <v>07/01/2026NL100101</v>
      </c>
      <c r="C190" s="22" t="s">
        <v>483</v>
      </c>
      <c r="D190" s="22" t="s">
        <v>17</v>
      </c>
      <c r="E190" s="22" t="s">
        <v>431</v>
      </c>
      <c r="F190" s="21" t="s">
        <v>432</v>
      </c>
      <c r="G190" s="21" t="s">
        <v>433</v>
      </c>
      <c r="H190" s="21" t="s">
        <v>484</v>
      </c>
      <c r="I190" s="21" t="s">
        <v>344</v>
      </c>
      <c r="J190" s="21" t="s">
        <v>107</v>
      </c>
      <c r="K190" s="21" t="s">
        <v>435</v>
      </c>
      <c r="L190" s="23">
        <v>45</v>
      </c>
      <c r="M190" s="24">
        <v>5000</v>
      </c>
      <c r="N190" s="24">
        <v>0</v>
      </c>
      <c r="O190" s="25">
        <v>225000</v>
      </c>
      <c r="P190" s="25">
        <v>0</v>
      </c>
      <c r="Q190" s="24">
        <v>5000</v>
      </c>
      <c r="R190" s="21" t="s">
        <v>436</v>
      </c>
      <c r="S190" s="21" t="s">
        <v>437</v>
      </c>
      <c r="T190" s="21" t="s">
        <v>17</v>
      </c>
      <c r="U190" s="21" t="s">
        <v>438</v>
      </c>
      <c r="V190" s="21" t="s">
        <v>17</v>
      </c>
      <c r="W190" s="21" t="s">
        <v>439</v>
      </c>
      <c r="X190" s="21" t="s">
        <v>439</v>
      </c>
    </row>
    <row r="191" spans="1:24" ht="10.5" hidden="1" customHeight="1" x14ac:dyDescent="0.25">
      <c r="A191" s="20">
        <v>46029</v>
      </c>
      <c r="B191" s="21" t="str">
        <f t="shared" si="2"/>
        <v>07/01/2026NL300142</v>
      </c>
      <c r="C191" s="22" t="s">
        <v>483</v>
      </c>
      <c r="D191" s="22" t="s">
        <v>17</v>
      </c>
      <c r="E191" s="22" t="s">
        <v>431</v>
      </c>
      <c r="F191" s="21" t="s">
        <v>432</v>
      </c>
      <c r="G191" s="21" t="s">
        <v>433</v>
      </c>
      <c r="H191" s="21" t="s">
        <v>484</v>
      </c>
      <c r="I191" s="21" t="s">
        <v>317</v>
      </c>
      <c r="J191" s="21" t="s">
        <v>441</v>
      </c>
      <c r="K191" s="21" t="s">
        <v>442</v>
      </c>
      <c r="L191" s="23">
        <v>2</v>
      </c>
      <c r="M191" s="24">
        <v>50000</v>
      </c>
      <c r="N191" s="24">
        <v>0</v>
      </c>
      <c r="O191" s="25">
        <v>100000</v>
      </c>
      <c r="P191" s="25">
        <v>0</v>
      </c>
      <c r="Q191" s="24">
        <v>50000</v>
      </c>
      <c r="R191" s="21" t="s">
        <v>436</v>
      </c>
      <c r="S191" s="21" t="s">
        <v>437</v>
      </c>
      <c r="T191" s="21" t="s">
        <v>17</v>
      </c>
      <c r="U191" s="21" t="s">
        <v>438</v>
      </c>
      <c r="V191" s="21" t="s">
        <v>17</v>
      </c>
      <c r="W191" s="21" t="s">
        <v>439</v>
      </c>
      <c r="X191" s="21" t="s">
        <v>439</v>
      </c>
    </row>
    <row r="192" spans="1:24" ht="10.5" hidden="1" customHeight="1" x14ac:dyDescent="0.25">
      <c r="A192" s="20">
        <v>46029</v>
      </c>
      <c r="B192" s="21" t="str">
        <f t="shared" si="2"/>
        <v>07/01/2026NL300004</v>
      </c>
      <c r="C192" s="22" t="s">
        <v>483</v>
      </c>
      <c r="D192" s="22" t="s">
        <v>17</v>
      </c>
      <c r="E192" s="22" t="s">
        <v>431</v>
      </c>
      <c r="F192" s="21" t="s">
        <v>432</v>
      </c>
      <c r="G192" s="21" t="s">
        <v>433</v>
      </c>
      <c r="H192" s="21" t="s">
        <v>484</v>
      </c>
      <c r="I192" s="21" t="s">
        <v>192</v>
      </c>
      <c r="J192" s="21" t="s">
        <v>21</v>
      </c>
      <c r="K192" s="21" t="s">
        <v>442</v>
      </c>
      <c r="L192" s="23">
        <v>3</v>
      </c>
      <c r="M192" s="24">
        <v>19000</v>
      </c>
      <c r="N192" s="24">
        <v>0</v>
      </c>
      <c r="O192" s="25">
        <v>57000</v>
      </c>
      <c r="P192" s="25">
        <v>0</v>
      </c>
      <c r="Q192" s="24">
        <v>19000</v>
      </c>
      <c r="R192" s="21" t="s">
        <v>436</v>
      </c>
      <c r="S192" s="21" t="s">
        <v>437</v>
      </c>
      <c r="T192" s="21" t="s">
        <v>17</v>
      </c>
      <c r="U192" s="21" t="s">
        <v>438</v>
      </c>
      <c r="V192" s="21" t="s">
        <v>17</v>
      </c>
      <c r="W192" s="21" t="s">
        <v>439</v>
      </c>
      <c r="X192" s="21" t="s">
        <v>439</v>
      </c>
    </row>
    <row r="193" spans="1:24" ht="10.5" hidden="1" customHeight="1" x14ac:dyDescent="0.25">
      <c r="A193" s="20">
        <v>46029</v>
      </c>
      <c r="B193" s="21" t="str">
        <f t="shared" si="2"/>
        <v>07/01/2026NL300007</v>
      </c>
      <c r="C193" s="22" t="s">
        <v>483</v>
      </c>
      <c r="D193" s="22" t="s">
        <v>17</v>
      </c>
      <c r="E193" s="22" t="s">
        <v>431</v>
      </c>
      <c r="F193" s="21" t="s">
        <v>432</v>
      </c>
      <c r="G193" s="21" t="s">
        <v>433</v>
      </c>
      <c r="H193" s="21" t="s">
        <v>484</v>
      </c>
      <c r="I193" s="21" t="s">
        <v>309</v>
      </c>
      <c r="J193" s="21" t="s">
        <v>444</v>
      </c>
      <c r="K193" s="21" t="s">
        <v>442</v>
      </c>
      <c r="L193" s="23">
        <v>4</v>
      </c>
      <c r="M193" s="24">
        <v>30000</v>
      </c>
      <c r="N193" s="24">
        <v>0</v>
      </c>
      <c r="O193" s="25">
        <v>120000</v>
      </c>
      <c r="P193" s="25">
        <v>0</v>
      </c>
      <c r="Q193" s="24">
        <v>30000</v>
      </c>
      <c r="R193" s="21" t="s">
        <v>436</v>
      </c>
      <c r="S193" s="21" t="s">
        <v>437</v>
      </c>
      <c r="T193" s="21" t="s">
        <v>17</v>
      </c>
      <c r="U193" s="21" t="s">
        <v>438</v>
      </c>
      <c r="V193" s="21" t="s">
        <v>17</v>
      </c>
      <c r="W193" s="21" t="s">
        <v>439</v>
      </c>
      <c r="X193" s="21" t="s">
        <v>439</v>
      </c>
    </row>
    <row r="194" spans="1:24" ht="10.5" hidden="1" customHeight="1" x14ac:dyDescent="0.25">
      <c r="A194" s="20">
        <v>46029</v>
      </c>
      <c r="B194" s="21" t="str">
        <f t="shared" si="2"/>
        <v>07/01/2026NL300008</v>
      </c>
      <c r="C194" s="22" t="s">
        <v>483</v>
      </c>
      <c r="D194" s="22" t="s">
        <v>17</v>
      </c>
      <c r="E194" s="22" t="s">
        <v>431</v>
      </c>
      <c r="F194" s="21" t="s">
        <v>432</v>
      </c>
      <c r="G194" s="21" t="s">
        <v>433</v>
      </c>
      <c r="H194" s="21" t="s">
        <v>484</v>
      </c>
      <c r="I194" s="21" t="s">
        <v>320</v>
      </c>
      <c r="J194" s="21" t="s">
        <v>445</v>
      </c>
      <c r="K194" s="21" t="s">
        <v>442</v>
      </c>
      <c r="L194" s="23">
        <v>7</v>
      </c>
      <c r="M194" s="24">
        <v>40000</v>
      </c>
      <c r="N194" s="24">
        <v>0</v>
      </c>
      <c r="O194" s="25">
        <v>280000</v>
      </c>
      <c r="P194" s="25">
        <v>0</v>
      </c>
      <c r="Q194" s="24">
        <v>40000</v>
      </c>
      <c r="R194" s="21" t="s">
        <v>436</v>
      </c>
      <c r="S194" s="21" t="s">
        <v>437</v>
      </c>
      <c r="T194" s="21" t="s">
        <v>17</v>
      </c>
      <c r="U194" s="21" t="s">
        <v>438</v>
      </c>
      <c r="V194" s="21" t="s">
        <v>17</v>
      </c>
      <c r="W194" s="21" t="s">
        <v>439</v>
      </c>
      <c r="X194" s="21" t="s">
        <v>439</v>
      </c>
    </row>
    <row r="195" spans="1:24" ht="10.5" hidden="1" customHeight="1" x14ac:dyDescent="0.25">
      <c r="A195" s="20">
        <v>46029</v>
      </c>
      <c r="B195" s="21" t="str">
        <f t="shared" ref="B195:B257" si="3">"0"&amp;DAY(A195)&amp;"/01/2026"&amp;I195</f>
        <v>07/01/2026NL300020</v>
      </c>
      <c r="C195" s="22" t="s">
        <v>483</v>
      </c>
      <c r="D195" s="22" t="s">
        <v>17</v>
      </c>
      <c r="E195" s="22" t="s">
        <v>431</v>
      </c>
      <c r="F195" s="21" t="s">
        <v>432</v>
      </c>
      <c r="G195" s="21" t="s">
        <v>433</v>
      </c>
      <c r="H195" s="21" t="s">
        <v>484</v>
      </c>
      <c r="I195" s="21" t="s">
        <v>326</v>
      </c>
      <c r="J195" s="21" t="s">
        <v>446</v>
      </c>
      <c r="K195" s="21" t="s">
        <v>442</v>
      </c>
      <c r="L195" s="23">
        <v>1.2</v>
      </c>
      <c r="M195" s="24">
        <v>30000</v>
      </c>
      <c r="N195" s="24">
        <v>0</v>
      </c>
      <c r="O195" s="25">
        <v>36000</v>
      </c>
      <c r="P195" s="25">
        <v>0</v>
      </c>
      <c r="Q195" s="24">
        <v>30000</v>
      </c>
      <c r="R195" s="21" t="s">
        <v>436</v>
      </c>
      <c r="S195" s="21" t="s">
        <v>437</v>
      </c>
      <c r="T195" s="21" t="s">
        <v>17</v>
      </c>
      <c r="U195" s="21" t="s">
        <v>438</v>
      </c>
      <c r="V195" s="21" t="s">
        <v>17</v>
      </c>
      <c r="W195" s="21" t="s">
        <v>439</v>
      </c>
      <c r="X195" s="21" t="s">
        <v>439</v>
      </c>
    </row>
    <row r="196" spans="1:24" ht="10.5" hidden="1" customHeight="1" x14ac:dyDescent="0.25">
      <c r="A196" s="20">
        <v>46029</v>
      </c>
      <c r="B196" s="21" t="str">
        <f t="shared" si="3"/>
        <v>07/01/2026NL300025</v>
      </c>
      <c r="C196" s="22" t="s">
        <v>483</v>
      </c>
      <c r="D196" s="22" t="s">
        <v>17</v>
      </c>
      <c r="E196" s="22" t="s">
        <v>431</v>
      </c>
      <c r="F196" s="21" t="s">
        <v>432</v>
      </c>
      <c r="G196" s="21" t="s">
        <v>433</v>
      </c>
      <c r="H196" s="21" t="s">
        <v>484</v>
      </c>
      <c r="I196" s="21" t="s">
        <v>211</v>
      </c>
      <c r="J196" s="21" t="s">
        <v>447</v>
      </c>
      <c r="K196" s="21" t="s">
        <v>442</v>
      </c>
      <c r="L196" s="23">
        <v>1</v>
      </c>
      <c r="M196" s="24">
        <v>44000</v>
      </c>
      <c r="N196" s="24">
        <v>0</v>
      </c>
      <c r="O196" s="25">
        <v>44000</v>
      </c>
      <c r="P196" s="25">
        <v>0</v>
      </c>
      <c r="Q196" s="24">
        <v>44000</v>
      </c>
      <c r="R196" s="21" t="s">
        <v>436</v>
      </c>
      <c r="S196" s="21" t="s">
        <v>437</v>
      </c>
      <c r="T196" s="21" t="s">
        <v>17</v>
      </c>
      <c r="U196" s="21" t="s">
        <v>438</v>
      </c>
      <c r="V196" s="21" t="s">
        <v>17</v>
      </c>
      <c r="W196" s="21" t="s">
        <v>439</v>
      </c>
      <c r="X196" s="21" t="s">
        <v>439</v>
      </c>
    </row>
    <row r="197" spans="1:24" ht="10.5" hidden="1" customHeight="1" x14ac:dyDescent="0.25">
      <c r="A197" s="20">
        <v>46029</v>
      </c>
      <c r="B197" s="21" t="str">
        <f t="shared" si="3"/>
        <v>07/01/2026NL300036</v>
      </c>
      <c r="C197" s="22" t="s">
        <v>483</v>
      </c>
      <c r="D197" s="22" t="s">
        <v>17</v>
      </c>
      <c r="E197" s="22" t="s">
        <v>431</v>
      </c>
      <c r="F197" s="21" t="s">
        <v>432</v>
      </c>
      <c r="G197" s="21" t="s">
        <v>433</v>
      </c>
      <c r="H197" s="21" t="s">
        <v>484</v>
      </c>
      <c r="I197" s="21" t="s">
        <v>380</v>
      </c>
      <c r="J197" s="21" t="s">
        <v>96</v>
      </c>
      <c r="K197" s="21" t="s">
        <v>442</v>
      </c>
      <c r="L197" s="23">
        <v>1</v>
      </c>
      <c r="M197" s="24">
        <v>47000</v>
      </c>
      <c r="N197" s="24">
        <v>0</v>
      </c>
      <c r="O197" s="25">
        <v>47000</v>
      </c>
      <c r="P197" s="25">
        <v>0</v>
      </c>
      <c r="Q197" s="24">
        <v>47000</v>
      </c>
      <c r="R197" s="21" t="s">
        <v>436</v>
      </c>
      <c r="S197" s="21" t="s">
        <v>437</v>
      </c>
      <c r="T197" s="21" t="s">
        <v>17</v>
      </c>
      <c r="U197" s="21" t="s">
        <v>438</v>
      </c>
      <c r="V197" s="21" t="s">
        <v>17</v>
      </c>
      <c r="W197" s="21" t="s">
        <v>439</v>
      </c>
      <c r="X197" s="21" t="s">
        <v>439</v>
      </c>
    </row>
    <row r="198" spans="1:24" ht="10.5" hidden="1" customHeight="1" x14ac:dyDescent="0.25">
      <c r="A198" s="20">
        <v>46029</v>
      </c>
      <c r="B198" s="21" t="str">
        <f t="shared" si="3"/>
        <v>07/01/2026NL300038</v>
      </c>
      <c r="C198" s="22" t="s">
        <v>483</v>
      </c>
      <c r="D198" s="22" t="s">
        <v>17</v>
      </c>
      <c r="E198" s="22" t="s">
        <v>431</v>
      </c>
      <c r="F198" s="21" t="s">
        <v>432</v>
      </c>
      <c r="G198" s="21" t="s">
        <v>433</v>
      </c>
      <c r="H198" s="21" t="s">
        <v>484</v>
      </c>
      <c r="I198" s="21" t="s">
        <v>217</v>
      </c>
      <c r="J198" s="21" t="s">
        <v>35</v>
      </c>
      <c r="K198" s="21" t="s">
        <v>442</v>
      </c>
      <c r="L198" s="23">
        <v>1.8</v>
      </c>
      <c r="M198" s="24">
        <v>32000</v>
      </c>
      <c r="N198" s="24">
        <v>0</v>
      </c>
      <c r="O198" s="25">
        <v>57600</v>
      </c>
      <c r="P198" s="25">
        <v>0</v>
      </c>
      <c r="Q198" s="24">
        <v>32000</v>
      </c>
      <c r="R198" s="21" t="s">
        <v>436</v>
      </c>
      <c r="S198" s="21" t="s">
        <v>437</v>
      </c>
      <c r="T198" s="21" t="s">
        <v>17</v>
      </c>
      <c r="U198" s="21" t="s">
        <v>438</v>
      </c>
      <c r="V198" s="21" t="s">
        <v>17</v>
      </c>
      <c r="W198" s="21" t="s">
        <v>439</v>
      </c>
      <c r="X198" s="21" t="s">
        <v>439</v>
      </c>
    </row>
    <row r="199" spans="1:24" ht="10.5" hidden="1" customHeight="1" x14ac:dyDescent="0.25">
      <c r="A199" s="20">
        <v>46029</v>
      </c>
      <c r="B199" s="21" t="str">
        <f t="shared" si="3"/>
        <v>07/01/2026NL300058</v>
      </c>
      <c r="C199" s="22" t="s">
        <v>483</v>
      </c>
      <c r="D199" s="22" t="s">
        <v>17</v>
      </c>
      <c r="E199" s="22" t="s">
        <v>431</v>
      </c>
      <c r="F199" s="21" t="s">
        <v>432</v>
      </c>
      <c r="G199" s="21" t="s">
        <v>433</v>
      </c>
      <c r="H199" s="21" t="s">
        <v>484</v>
      </c>
      <c r="I199" s="21" t="s">
        <v>228</v>
      </c>
      <c r="J199" s="21" t="s">
        <v>39</v>
      </c>
      <c r="K199" s="21" t="s">
        <v>442</v>
      </c>
      <c r="L199" s="23">
        <v>2.2000000000000002</v>
      </c>
      <c r="M199" s="24">
        <v>55000</v>
      </c>
      <c r="N199" s="24">
        <v>0</v>
      </c>
      <c r="O199" s="25">
        <v>121000</v>
      </c>
      <c r="P199" s="25">
        <v>0</v>
      </c>
      <c r="Q199" s="24">
        <v>55000</v>
      </c>
      <c r="R199" s="21" t="s">
        <v>436</v>
      </c>
      <c r="S199" s="21" t="s">
        <v>437</v>
      </c>
      <c r="T199" s="21" t="s">
        <v>17</v>
      </c>
      <c r="U199" s="21" t="s">
        <v>438</v>
      </c>
      <c r="V199" s="21" t="s">
        <v>17</v>
      </c>
      <c r="W199" s="21" t="s">
        <v>439</v>
      </c>
      <c r="X199" s="21" t="s">
        <v>439</v>
      </c>
    </row>
    <row r="200" spans="1:24" ht="10.5" hidden="1" customHeight="1" x14ac:dyDescent="0.25">
      <c r="A200" s="20">
        <v>46029</v>
      </c>
      <c r="B200" s="21" t="str">
        <f t="shared" si="3"/>
        <v>07/01/2026NL300085</v>
      </c>
      <c r="C200" s="22" t="s">
        <v>483</v>
      </c>
      <c r="D200" s="22" t="s">
        <v>17</v>
      </c>
      <c r="E200" s="22" t="s">
        <v>431</v>
      </c>
      <c r="F200" s="21" t="s">
        <v>432</v>
      </c>
      <c r="G200" s="21" t="s">
        <v>433</v>
      </c>
      <c r="H200" s="21" t="s">
        <v>484</v>
      </c>
      <c r="I200" s="21" t="s">
        <v>263</v>
      </c>
      <c r="J200" s="21" t="s">
        <v>453</v>
      </c>
      <c r="K200" s="21" t="s">
        <v>442</v>
      </c>
      <c r="L200" s="23">
        <v>2</v>
      </c>
      <c r="M200" s="24">
        <v>45000</v>
      </c>
      <c r="N200" s="24">
        <v>0</v>
      </c>
      <c r="O200" s="25">
        <v>90000</v>
      </c>
      <c r="P200" s="25">
        <v>0</v>
      </c>
      <c r="Q200" s="24">
        <v>45000</v>
      </c>
      <c r="R200" s="21" t="s">
        <v>436</v>
      </c>
      <c r="S200" s="21" t="s">
        <v>437</v>
      </c>
      <c r="T200" s="21" t="s">
        <v>17</v>
      </c>
      <c r="U200" s="21" t="s">
        <v>438</v>
      </c>
      <c r="V200" s="21" t="s">
        <v>17</v>
      </c>
      <c r="W200" s="21" t="s">
        <v>439</v>
      </c>
      <c r="X200" s="21" t="s">
        <v>439</v>
      </c>
    </row>
    <row r="201" spans="1:24" ht="10.5" hidden="1" customHeight="1" x14ac:dyDescent="0.25">
      <c r="A201" s="20">
        <v>46029</v>
      </c>
      <c r="B201" s="21" t="str">
        <f t="shared" si="3"/>
        <v>07/01/2026NL300088</v>
      </c>
      <c r="C201" s="22" t="s">
        <v>483</v>
      </c>
      <c r="D201" s="22" t="s">
        <v>17</v>
      </c>
      <c r="E201" s="22" t="s">
        <v>431</v>
      </c>
      <c r="F201" s="21" t="s">
        <v>432</v>
      </c>
      <c r="G201" s="21" t="s">
        <v>433</v>
      </c>
      <c r="H201" s="21" t="s">
        <v>484</v>
      </c>
      <c r="I201" s="21" t="s">
        <v>254</v>
      </c>
      <c r="J201" s="21" t="s">
        <v>15</v>
      </c>
      <c r="K201" s="21" t="s">
        <v>442</v>
      </c>
      <c r="L201" s="23">
        <v>3</v>
      </c>
      <c r="M201" s="24">
        <v>27000</v>
      </c>
      <c r="N201" s="24">
        <v>0</v>
      </c>
      <c r="O201" s="25">
        <v>81000</v>
      </c>
      <c r="P201" s="25">
        <v>0</v>
      </c>
      <c r="Q201" s="24">
        <v>27000</v>
      </c>
      <c r="R201" s="21" t="s">
        <v>436</v>
      </c>
      <c r="S201" s="21" t="s">
        <v>437</v>
      </c>
      <c r="T201" s="21" t="s">
        <v>17</v>
      </c>
      <c r="U201" s="21" t="s">
        <v>438</v>
      </c>
      <c r="V201" s="21" t="s">
        <v>17</v>
      </c>
      <c r="W201" s="21" t="s">
        <v>439</v>
      </c>
      <c r="X201" s="21" t="s">
        <v>439</v>
      </c>
    </row>
    <row r="202" spans="1:24" ht="10.5" hidden="1" customHeight="1" x14ac:dyDescent="0.25">
      <c r="A202" s="20">
        <v>46029</v>
      </c>
      <c r="B202" s="21" t="str">
        <f t="shared" si="3"/>
        <v>07/01/2026NL300096</v>
      </c>
      <c r="C202" s="22" t="s">
        <v>483</v>
      </c>
      <c r="D202" s="22" t="s">
        <v>17</v>
      </c>
      <c r="E202" s="22" t="s">
        <v>431</v>
      </c>
      <c r="F202" s="21" t="s">
        <v>432</v>
      </c>
      <c r="G202" s="21" t="s">
        <v>433</v>
      </c>
      <c r="H202" s="21" t="s">
        <v>484</v>
      </c>
      <c r="I202" s="21" t="s">
        <v>258</v>
      </c>
      <c r="J202" s="21" t="s">
        <v>45</v>
      </c>
      <c r="K202" s="21" t="s">
        <v>442</v>
      </c>
      <c r="L202" s="23">
        <v>4</v>
      </c>
      <c r="M202" s="24">
        <v>45000</v>
      </c>
      <c r="N202" s="24">
        <v>0</v>
      </c>
      <c r="O202" s="25">
        <v>180000</v>
      </c>
      <c r="P202" s="25">
        <v>0</v>
      </c>
      <c r="Q202" s="24">
        <v>45000</v>
      </c>
      <c r="R202" s="21" t="s">
        <v>436</v>
      </c>
      <c r="S202" s="21" t="s">
        <v>437</v>
      </c>
      <c r="T202" s="21" t="s">
        <v>17</v>
      </c>
      <c r="U202" s="21" t="s">
        <v>438</v>
      </c>
      <c r="V202" s="21" t="s">
        <v>17</v>
      </c>
      <c r="W202" s="21" t="s">
        <v>439</v>
      </c>
      <c r="X202" s="21" t="s">
        <v>439</v>
      </c>
    </row>
    <row r="203" spans="1:24" ht="10.5" hidden="1" customHeight="1" x14ac:dyDescent="0.25">
      <c r="A203" s="20">
        <v>46029</v>
      </c>
      <c r="B203" s="21" t="str">
        <f t="shared" si="3"/>
        <v>07/01/2026NL300107</v>
      </c>
      <c r="C203" s="22" t="s">
        <v>483</v>
      </c>
      <c r="D203" s="22" t="s">
        <v>17</v>
      </c>
      <c r="E203" s="22" t="s">
        <v>431</v>
      </c>
      <c r="F203" s="21" t="s">
        <v>432</v>
      </c>
      <c r="G203" s="21" t="s">
        <v>433</v>
      </c>
      <c r="H203" s="21" t="s">
        <v>484</v>
      </c>
      <c r="I203" s="21" t="s">
        <v>193</v>
      </c>
      <c r="J203" s="21" t="s">
        <v>455</v>
      </c>
      <c r="K203" s="21" t="s">
        <v>450</v>
      </c>
      <c r="L203" s="23">
        <v>7</v>
      </c>
      <c r="M203" s="24">
        <v>8500</v>
      </c>
      <c r="N203" s="24">
        <v>0</v>
      </c>
      <c r="O203" s="25">
        <v>59500</v>
      </c>
      <c r="P203" s="25">
        <v>0</v>
      </c>
      <c r="Q203" s="24">
        <v>8500</v>
      </c>
      <c r="R203" s="21" t="s">
        <v>436</v>
      </c>
      <c r="S203" s="21" t="s">
        <v>437</v>
      </c>
      <c r="T203" s="21" t="s">
        <v>17</v>
      </c>
      <c r="U203" s="21" t="s">
        <v>438</v>
      </c>
      <c r="V203" s="21" t="s">
        <v>17</v>
      </c>
      <c r="W203" s="21" t="s">
        <v>439</v>
      </c>
      <c r="X203" s="21" t="s">
        <v>439</v>
      </c>
    </row>
    <row r="204" spans="1:24" ht="10.5" hidden="1" customHeight="1" x14ac:dyDescent="0.25">
      <c r="A204" s="20">
        <v>46029</v>
      </c>
      <c r="B204" s="21" t="str">
        <f t="shared" si="3"/>
        <v>07/01/2026NL300111</v>
      </c>
      <c r="C204" s="22" t="s">
        <v>483</v>
      </c>
      <c r="D204" s="22" t="s">
        <v>17</v>
      </c>
      <c r="E204" s="22" t="s">
        <v>431</v>
      </c>
      <c r="F204" s="21" t="s">
        <v>432</v>
      </c>
      <c r="G204" s="21" t="s">
        <v>433</v>
      </c>
      <c r="H204" s="21" t="s">
        <v>484</v>
      </c>
      <c r="I204" s="21" t="s">
        <v>379</v>
      </c>
      <c r="J204" s="21" t="s">
        <v>485</v>
      </c>
      <c r="K204" s="21" t="s">
        <v>442</v>
      </c>
      <c r="L204" s="23">
        <v>0.1</v>
      </c>
      <c r="M204" s="24">
        <v>185000</v>
      </c>
      <c r="N204" s="24">
        <v>0</v>
      </c>
      <c r="O204" s="25">
        <v>18500</v>
      </c>
      <c r="P204" s="25">
        <v>0</v>
      </c>
      <c r="Q204" s="24">
        <v>185000</v>
      </c>
      <c r="R204" s="21" t="s">
        <v>436</v>
      </c>
      <c r="S204" s="21" t="s">
        <v>437</v>
      </c>
      <c r="T204" s="21" t="s">
        <v>17</v>
      </c>
      <c r="U204" s="21" t="s">
        <v>438</v>
      </c>
      <c r="V204" s="21" t="s">
        <v>17</v>
      </c>
      <c r="W204" s="21" t="s">
        <v>439</v>
      </c>
      <c r="X204" s="21" t="s">
        <v>439</v>
      </c>
    </row>
    <row r="205" spans="1:24" ht="10.5" hidden="1" customHeight="1" x14ac:dyDescent="0.25">
      <c r="A205" s="20">
        <v>46029</v>
      </c>
      <c r="B205" s="21" t="str">
        <f t="shared" si="3"/>
        <v>07/01/2026NL300116</v>
      </c>
      <c r="C205" s="22" t="s">
        <v>483</v>
      </c>
      <c r="D205" s="22" t="s">
        <v>17</v>
      </c>
      <c r="E205" s="22" t="s">
        <v>431</v>
      </c>
      <c r="F205" s="21" t="s">
        <v>432</v>
      </c>
      <c r="G205" s="21" t="s">
        <v>433</v>
      </c>
      <c r="H205" s="21" t="s">
        <v>484</v>
      </c>
      <c r="I205" s="21" t="s">
        <v>315</v>
      </c>
      <c r="J205" s="21" t="s">
        <v>456</v>
      </c>
      <c r="K205" s="21" t="s">
        <v>442</v>
      </c>
      <c r="L205" s="23">
        <v>0.2</v>
      </c>
      <c r="M205" s="24">
        <v>148000</v>
      </c>
      <c r="N205" s="24">
        <v>0</v>
      </c>
      <c r="O205" s="25">
        <v>29600</v>
      </c>
      <c r="P205" s="25">
        <v>0</v>
      </c>
      <c r="Q205" s="24">
        <v>148000</v>
      </c>
      <c r="R205" s="21" t="s">
        <v>436</v>
      </c>
      <c r="S205" s="21" t="s">
        <v>437</v>
      </c>
      <c r="T205" s="21" t="s">
        <v>17</v>
      </c>
      <c r="U205" s="21" t="s">
        <v>438</v>
      </c>
      <c r="V205" s="21" t="s">
        <v>17</v>
      </c>
      <c r="W205" s="21" t="s">
        <v>439</v>
      </c>
      <c r="X205" s="21" t="s">
        <v>439</v>
      </c>
    </row>
    <row r="206" spans="1:24" ht="10.5" hidden="1" customHeight="1" x14ac:dyDescent="0.25">
      <c r="A206" s="20">
        <v>46029</v>
      </c>
      <c r="B206" s="21" t="str">
        <f t="shared" si="3"/>
        <v>07/01/2026NL300121</v>
      </c>
      <c r="C206" s="22" t="s">
        <v>483</v>
      </c>
      <c r="D206" s="22" t="s">
        <v>17</v>
      </c>
      <c r="E206" s="22" t="s">
        <v>431</v>
      </c>
      <c r="F206" s="21" t="s">
        <v>432</v>
      </c>
      <c r="G206" s="21" t="s">
        <v>433</v>
      </c>
      <c r="H206" s="21" t="s">
        <v>484</v>
      </c>
      <c r="I206" s="21" t="s">
        <v>281</v>
      </c>
      <c r="J206" s="21" t="s">
        <v>51</v>
      </c>
      <c r="K206" s="21" t="s">
        <v>442</v>
      </c>
      <c r="L206" s="23">
        <v>0.1</v>
      </c>
      <c r="M206" s="24">
        <v>22000</v>
      </c>
      <c r="N206" s="24">
        <v>0</v>
      </c>
      <c r="O206" s="25">
        <v>2200</v>
      </c>
      <c r="P206" s="25">
        <v>0</v>
      </c>
      <c r="Q206" s="24">
        <v>22000</v>
      </c>
      <c r="R206" s="21" t="s">
        <v>436</v>
      </c>
      <c r="S206" s="21" t="s">
        <v>437</v>
      </c>
      <c r="T206" s="21" t="s">
        <v>17</v>
      </c>
      <c r="U206" s="21" t="s">
        <v>438</v>
      </c>
      <c r="V206" s="21" t="s">
        <v>17</v>
      </c>
      <c r="W206" s="21" t="s">
        <v>439</v>
      </c>
      <c r="X206" s="21" t="s">
        <v>439</v>
      </c>
    </row>
    <row r="207" spans="1:24" ht="10.5" hidden="1" customHeight="1" x14ac:dyDescent="0.25">
      <c r="A207" s="20">
        <v>46029</v>
      </c>
      <c r="B207" s="21" t="str">
        <f t="shared" si="3"/>
        <v>07/01/2026NL300137</v>
      </c>
      <c r="C207" s="22" t="s">
        <v>483</v>
      </c>
      <c r="D207" s="22" t="s">
        <v>17</v>
      </c>
      <c r="E207" s="22" t="s">
        <v>431</v>
      </c>
      <c r="F207" s="21" t="s">
        <v>432</v>
      </c>
      <c r="G207" s="21" t="s">
        <v>433</v>
      </c>
      <c r="H207" s="21" t="s">
        <v>484</v>
      </c>
      <c r="I207" s="21" t="s">
        <v>196</v>
      </c>
      <c r="J207" s="21" t="s">
        <v>458</v>
      </c>
      <c r="K207" s="21" t="s">
        <v>442</v>
      </c>
      <c r="L207" s="23">
        <v>2</v>
      </c>
      <c r="M207" s="24">
        <v>52000</v>
      </c>
      <c r="N207" s="24">
        <v>0</v>
      </c>
      <c r="O207" s="25">
        <v>104000</v>
      </c>
      <c r="P207" s="25">
        <v>0</v>
      </c>
      <c r="Q207" s="24">
        <v>52000</v>
      </c>
      <c r="R207" s="21" t="s">
        <v>436</v>
      </c>
      <c r="S207" s="21" t="s">
        <v>437</v>
      </c>
      <c r="T207" s="21" t="s">
        <v>17</v>
      </c>
      <c r="U207" s="21" t="s">
        <v>438</v>
      </c>
      <c r="V207" s="21" t="s">
        <v>17</v>
      </c>
      <c r="W207" s="21" t="s">
        <v>439</v>
      </c>
      <c r="X207" s="21" t="s">
        <v>439</v>
      </c>
    </row>
    <row r="208" spans="1:24" ht="10.5" hidden="1" customHeight="1" x14ac:dyDescent="0.25">
      <c r="A208" s="20">
        <v>46029</v>
      </c>
      <c r="B208" s="21" t="str">
        <f t="shared" si="3"/>
        <v>07/01/2026NL300147</v>
      </c>
      <c r="C208" s="22" t="s">
        <v>483</v>
      </c>
      <c r="D208" s="22" t="s">
        <v>17</v>
      </c>
      <c r="E208" s="22" t="s">
        <v>431</v>
      </c>
      <c r="F208" s="21" t="s">
        <v>432</v>
      </c>
      <c r="G208" s="21" t="s">
        <v>433</v>
      </c>
      <c r="H208" s="21" t="s">
        <v>484</v>
      </c>
      <c r="I208" s="21" t="s">
        <v>300</v>
      </c>
      <c r="J208" s="21" t="s">
        <v>459</v>
      </c>
      <c r="K208" s="21" t="s">
        <v>442</v>
      </c>
      <c r="L208" s="23">
        <v>2</v>
      </c>
      <c r="M208" s="24">
        <v>62000</v>
      </c>
      <c r="N208" s="24">
        <v>0</v>
      </c>
      <c r="O208" s="25">
        <v>124000</v>
      </c>
      <c r="P208" s="25">
        <v>0</v>
      </c>
      <c r="Q208" s="24">
        <v>62000</v>
      </c>
      <c r="R208" s="21" t="s">
        <v>436</v>
      </c>
      <c r="S208" s="21" t="s">
        <v>437</v>
      </c>
      <c r="T208" s="21" t="s">
        <v>17</v>
      </c>
      <c r="U208" s="21" t="s">
        <v>438</v>
      </c>
      <c r="V208" s="21" t="s">
        <v>17</v>
      </c>
      <c r="W208" s="21" t="s">
        <v>439</v>
      </c>
      <c r="X208" s="21" t="s">
        <v>439</v>
      </c>
    </row>
    <row r="209" spans="1:24" ht="10.5" hidden="1" customHeight="1" x14ac:dyDescent="0.25">
      <c r="A209" s="20">
        <v>46029</v>
      </c>
      <c r="B209" s="21" t="str">
        <f t="shared" si="3"/>
        <v>07/01/2026NL300189</v>
      </c>
      <c r="C209" s="22" t="s">
        <v>483</v>
      </c>
      <c r="D209" s="22" t="s">
        <v>17</v>
      </c>
      <c r="E209" s="22" t="s">
        <v>431</v>
      </c>
      <c r="F209" s="21" t="s">
        <v>432</v>
      </c>
      <c r="G209" s="21" t="s">
        <v>433</v>
      </c>
      <c r="H209" s="21" t="s">
        <v>484</v>
      </c>
      <c r="I209" s="21" t="s">
        <v>378</v>
      </c>
      <c r="J209" s="21" t="s">
        <v>19</v>
      </c>
      <c r="K209" s="21" t="s">
        <v>442</v>
      </c>
      <c r="L209" s="23">
        <v>2</v>
      </c>
      <c r="M209" s="24">
        <v>15000</v>
      </c>
      <c r="N209" s="24">
        <v>0</v>
      </c>
      <c r="O209" s="25">
        <v>30000</v>
      </c>
      <c r="P209" s="25">
        <v>0</v>
      </c>
      <c r="Q209" s="24">
        <v>15000</v>
      </c>
      <c r="R209" s="21" t="s">
        <v>436</v>
      </c>
      <c r="S209" s="21" t="s">
        <v>437</v>
      </c>
      <c r="T209" s="21" t="s">
        <v>17</v>
      </c>
      <c r="U209" s="21" t="s">
        <v>438</v>
      </c>
      <c r="V209" s="21" t="s">
        <v>17</v>
      </c>
      <c r="W209" s="21" t="s">
        <v>439</v>
      </c>
      <c r="X209" s="21" t="s">
        <v>439</v>
      </c>
    </row>
    <row r="210" spans="1:24" ht="10.5" hidden="1" customHeight="1" x14ac:dyDescent="0.25">
      <c r="A210" s="20">
        <v>46029</v>
      </c>
      <c r="B210" s="21" t="str">
        <f t="shared" si="3"/>
        <v>07/01/2026NL300119</v>
      </c>
      <c r="C210" s="22" t="s">
        <v>483</v>
      </c>
      <c r="D210" s="22" t="s">
        <v>17</v>
      </c>
      <c r="E210" s="22" t="s">
        <v>431</v>
      </c>
      <c r="F210" s="21" t="s">
        <v>432</v>
      </c>
      <c r="G210" s="21" t="s">
        <v>433</v>
      </c>
      <c r="H210" s="21" t="s">
        <v>484</v>
      </c>
      <c r="I210" s="21" t="s">
        <v>310</v>
      </c>
      <c r="J210" s="21" t="s">
        <v>460</v>
      </c>
      <c r="K210" s="21" t="s">
        <v>442</v>
      </c>
      <c r="L210" s="23">
        <v>1.3</v>
      </c>
      <c r="M210" s="24">
        <v>21000</v>
      </c>
      <c r="N210" s="24">
        <v>0</v>
      </c>
      <c r="O210" s="25">
        <v>27300</v>
      </c>
      <c r="P210" s="25">
        <v>0</v>
      </c>
      <c r="Q210" s="24">
        <v>21000</v>
      </c>
      <c r="R210" s="21" t="s">
        <v>436</v>
      </c>
      <c r="S210" s="21" t="s">
        <v>437</v>
      </c>
      <c r="T210" s="21" t="s">
        <v>17</v>
      </c>
      <c r="U210" s="21" t="s">
        <v>438</v>
      </c>
      <c r="V210" s="21" t="s">
        <v>17</v>
      </c>
      <c r="W210" s="21" t="s">
        <v>439</v>
      </c>
      <c r="X210" s="21" t="s">
        <v>439</v>
      </c>
    </row>
    <row r="211" spans="1:24" ht="10.5" hidden="1" customHeight="1" x14ac:dyDescent="0.25">
      <c r="A211" s="20">
        <v>46030</v>
      </c>
      <c r="B211" s="21" t="str">
        <f t="shared" si="3"/>
        <v>08/01/2026NL300141</v>
      </c>
      <c r="C211" s="22" t="s">
        <v>486</v>
      </c>
      <c r="D211" s="22" t="s">
        <v>17</v>
      </c>
      <c r="E211" s="22" t="s">
        <v>431</v>
      </c>
      <c r="F211" s="21" t="s">
        <v>432</v>
      </c>
      <c r="G211" s="21" t="s">
        <v>433</v>
      </c>
      <c r="H211" s="21" t="s">
        <v>487</v>
      </c>
      <c r="I211" s="21" t="s">
        <v>375</v>
      </c>
      <c r="J211" s="21" t="s">
        <v>488</v>
      </c>
      <c r="K211" s="21" t="s">
        <v>442</v>
      </c>
      <c r="L211" s="23">
        <v>0.1</v>
      </c>
      <c r="M211" s="24">
        <v>92000</v>
      </c>
      <c r="N211" s="24">
        <v>0</v>
      </c>
      <c r="O211" s="25">
        <v>9200</v>
      </c>
      <c r="P211" s="25">
        <v>0</v>
      </c>
      <c r="Q211" s="24">
        <v>92000</v>
      </c>
      <c r="R211" s="21" t="s">
        <v>436</v>
      </c>
      <c r="S211" s="21" t="s">
        <v>437</v>
      </c>
      <c r="T211" s="21" t="s">
        <v>17</v>
      </c>
      <c r="U211" s="21" t="s">
        <v>438</v>
      </c>
      <c r="V211" s="21" t="s">
        <v>17</v>
      </c>
      <c r="W211" s="21" t="s">
        <v>439</v>
      </c>
      <c r="X211" s="21" t="s">
        <v>439</v>
      </c>
    </row>
    <row r="212" spans="1:24" ht="10.5" hidden="1" customHeight="1" x14ac:dyDescent="0.25">
      <c r="A212" s="20">
        <v>46030</v>
      </c>
      <c r="B212" s="21" t="str">
        <f t="shared" si="3"/>
        <v>08/01/2026NL300097</v>
      </c>
      <c r="C212" s="22" t="s">
        <v>486</v>
      </c>
      <c r="D212" s="22" t="s">
        <v>17</v>
      </c>
      <c r="E212" s="22" t="s">
        <v>431</v>
      </c>
      <c r="F212" s="21" t="s">
        <v>432</v>
      </c>
      <c r="G212" s="21" t="s">
        <v>433</v>
      </c>
      <c r="H212" s="21" t="s">
        <v>487</v>
      </c>
      <c r="I212" s="21" t="s">
        <v>331</v>
      </c>
      <c r="J212" s="21" t="s">
        <v>443</v>
      </c>
      <c r="K212" s="21" t="s">
        <v>442</v>
      </c>
      <c r="L212" s="23">
        <v>0.8</v>
      </c>
      <c r="M212" s="24">
        <v>90000</v>
      </c>
      <c r="N212" s="24">
        <v>0</v>
      </c>
      <c r="O212" s="25">
        <v>72000</v>
      </c>
      <c r="P212" s="25">
        <v>0</v>
      </c>
      <c r="Q212" s="24">
        <v>90000</v>
      </c>
      <c r="R212" s="21" t="s">
        <v>436</v>
      </c>
      <c r="S212" s="21" t="s">
        <v>437</v>
      </c>
      <c r="T212" s="21" t="s">
        <v>17</v>
      </c>
      <c r="U212" s="21" t="s">
        <v>438</v>
      </c>
      <c r="V212" s="21" t="s">
        <v>17</v>
      </c>
      <c r="W212" s="21" t="s">
        <v>439</v>
      </c>
      <c r="X212" s="21" t="s">
        <v>439</v>
      </c>
    </row>
    <row r="213" spans="1:24" ht="10.5" hidden="1" customHeight="1" x14ac:dyDescent="0.25">
      <c r="A213" s="20">
        <v>46030</v>
      </c>
      <c r="B213" s="21" t="str">
        <f t="shared" si="3"/>
        <v>08/01/2026NL300007</v>
      </c>
      <c r="C213" s="22" t="s">
        <v>486</v>
      </c>
      <c r="D213" s="22" t="s">
        <v>17</v>
      </c>
      <c r="E213" s="22" t="s">
        <v>431</v>
      </c>
      <c r="F213" s="21" t="s">
        <v>432</v>
      </c>
      <c r="G213" s="21" t="s">
        <v>433</v>
      </c>
      <c r="H213" s="21" t="s">
        <v>487</v>
      </c>
      <c r="I213" s="21" t="s">
        <v>309</v>
      </c>
      <c r="J213" s="21" t="s">
        <v>444</v>
      </c>
      <c r="K213" s="21" t="s">
        <v>442</v>
      </c>
      <c r="L213" s="23">
        <v>3.3</v>
      </c>
      <c r="M213" s="24">
        <v>30000</v>
      </c>
      <c r="N213" s="24">
        <v>0</v>
      </c>
      <c r="O213" s="25">
        <v>99000</v>
      </c>
      <c r="P213" s="25">
        <v>0</v>
      </c>
      <c r="Q213" s="24">
        <v>30000</v>
      </c>
      <c r="R213" s="21" t="s">
        <v>436</v>
      </c>
      <c r="S213" s="21" t="s">
        <v>437</v>
      </c>
      <c r="T213" s="21" t="s">
        <v>17</v>
      </c>
      <c r="U213" s="21" t="s">
        <v>438</v>
      </c>
      <c r="V213" s="21" t="s">
        <v>17</v>
      </c>
      <c r="W213" s="21" t="s">
        <v>439</v>
      </c>
      <c r="X213" s="21" t="s">
        <v>439</v>
      </c>
    </row>
    <row r="214" spans="1:24" ht="10.5" hidden="1" customHeight="1" x14ac:dyDescent="0.25">
      <c r="A214" s="20">
        <v>46030</v>
      </c>
      <c r="B214" s="21" t="str">
        <f t="shared" si="3"/>
        <v>08/01/2026NL300008</v>
      </c>
      <c r="C214" s="22" t="s">
        <v>486</v>
      </c>
      <c r="D214" s="22" t="s">
        <v>17</v>
      </c>
      <c r="E214" s="22" t="s">
        <v>431</v>
      </c>
      <c r="F214" s="21" t="s">
        <v>432</v>
      </c>
      <c r="G214" s="21" t="s">
        <v>433</v>
      </c>
      <c r="H214" s="21" t="s">
        <v>487</v>
      </c>
      <c r="I214" s="21" t="s">
        <v>320</v>
      </c>
      <c r="J214" s="21" t="s">
        <v>445</v>
      </c>
      <c r="K214" s="21" t="s">
        <v>442</v>
      </c>
      <c r="L214" s="23">
        <v>4</v>
      </c>
      <c r="M214" s="24">
        <v>40000</v>
      </c>
      <c r="N214" s="24">
        <v>0</v>
      </c>
      <c r="O214" s="25">
        <v>160000</v>
      </c>
      <c r="P214" s="25">
        <v>0</v>
      </c>
      <c r="Q214" s="24">
        <v>40000</v>
      </c>
      <c r="R214" s="21" t="s">
        <v>436</v>
      </c>
      <c r="S214" s="21" t="s">
        <v>437</v>
      </c>
      <c r="T214" s="21" t="s">
        <v>17</v>
      </c>
      <c r="U214" s="21" t="s">
        <v>438</v>
      </c>
      <c r="V214" s="21" t="s">
        <v>17</v>
      </c>
      <c r="W214" s="21" t="s">
        <v>439</v>
      </c>
      <c r="X214" s="21" t="s">
        <v>439</v>
      </c>
    </row>
    <row r="215" spans="1:24" ht="10.5" hidden="1" customHeight="1" x14ac:dyDescent="0.25">
      <c r="A215" s="20">
        <v>46030</v>
      </c>
      <c r="B215" s="21" t="str">
        <f t="shared" si="3"/>
        <v>08/01/2026NL300020</v>
      </c>
      <c r="C215" s="22" t="s">
        <v>486</v>
      </c>
      <c r="D215" s="22" t="s">
        <v>17</v>
      </c>
      <c r="E215" s="22" t="s">
        <v>431</v>
      </c>
      <c r="F215" s="21" t="s">
        <v>432</v>
      </c>
      <c r="G215" s="21" t="s">
        <v>433</v>
      </c>
      <c r="H215" s="21" t="s">
        <v>487</v>
      </c>
      <c r="I215" s="21" t="s">
        <v>326</v>
      </c>
      <c r="J215" s="21" t="s">
        <v>446</v>
      </c>
      <c r="K215" s="21" t="s">
        <v>442</v>
      </c>
      <c r="L215" s="23">
        <v>1</v>
      </c>
      <c r="M215" s="24">
        <v>30000</v>
      </c>
      <c r="N215" s="24">
        <v>0</v>
      </c>
      <c r="O215" s="25">
        <v>30000</v>
      </c>
      <c r="P215" s="25">
        <v>0</v>
      </c>
      <c r="Q215" s="24">
        <v>30000</v>
      </c>
      <c r="R215" s="21" t="s">
        <v>436</v>
      </c>
      <c r="S215" s="21" t="s">
        <v>437</v>
      </c>
      <c r="T215" s="21" t="s">
        <v>17</v>
      </c>
      <c r="U215" s="21" t="s">
        <v>438</v>
      </c>
      <c r="V215" s="21" t="s">
        <v>17</v>
      </c>
      <c r="W215" s="21" t="s">
        <v>439</v>
      </c>
      <c r="X215" s="21" t="s">
        <v>439</v>
      </c>
    </row>
    <row r="216" spans="1:24" ht="10.5" hidden="1" customHeight="1" x14ac:dyDescent="0.25">
      <c r="A216" s="20">
        <v>46030</v>
      </c>
      <c r="B216" s="21" t="str">
        <f t="shared" si="3"/>
        <v>08/01/2026NL300035</v>
      </c>
      <c r="C216" s="22" t="s">
        <v>486</v>
      </c>
      <c r="D216" s="22" t="s">
        <v>17</v>
      </c>
      <c r="E216" s="22" t="s">
        <v>431</v>
      </c>
      <c r="F216" s="21" t="s">
        <v>432</v>
      </c>
      <c r="G216" s="21" t="s">
        <v>433</v>
      </c>
      <c r="H216" s="21" t="s">
        <v>487</v>
      </c>
      <c r="I216" s="21" t="s">
        <v>383</v>
      </c>
      <c r="J216" s="21" t="s">
        <v>448</v>
      </c>
      <c r="K216" s="21" t="s">
        <v>442</v>
      </c>
      <c r="L216" s="23">
        <v>0.2</v>
      </c>
      <c r="M216" s="24">
        <v>25000</v>
      </c>
      <c r="N216" s="24">
        <v>0</v>
      </c>
      <c r="O216" s="25">
        <v>5000</v>
      </c>
      <c r="P216" s="25">
        <v>0</v>
      </c>
      <c r="Q216" s="24">
        <v>25000</v>
      </c>
      <c r="R216" s="21" t="s">
        <v>436</v>
      </c>
      <c r="S216" s="21" t="s">
        <v>437</v>
      </c>
      <c r="T216" s="21" t="s">
        <v>17</v>
      </c>
      <c r="U216" s="21" t="s">
        <v>438</v>
      </c>
      <c r="V216" s="21" t="s">
        <v>17</v>
      </c>
      <c r="W216" s="21" t="s">
        <v>439</v>
      </c>
      <c r="X216" s="21" t="s">
        <v>439</v>
      </c>
    </row>
    <row r="217" spans="1:24" ht="10.5" hidden="1" customHeight="1" x14ac:dyDescent="0.25">
      <c r="A217" s="20">
        <v>46030</v>
      </c>
      <c r="B217" s="21" t="str">
        <f t="shared" si="3"/>
        <v>08/01/2026NL300036</v>
      </c>
      <c r="C217" s="22" t="s">
        <v>486</v>
      </c>
      <c r="D217" s="22" t="s">
        <v>17</v>
      </c>
      <c r="E217" s="22" t="s">
        <v>431</v>
      </c>
      <c r="F217" s="21" t="s">
        <v>432</v>
      </c>
      <c r="G217" s="21" t="s">
        <v>433</v>
      </c>
      <c r="H217" s="21" t="s">
        <v>487</v>
      </c>
      <c r="I217" s="21" t="s">
        <v>380</v>
      </c>
      <c r="J217" s="21" t="s">
        <v>96</v>
      </c>
      <c r="K217" s="21" t="s">
        <v>442</v>
      </c>
      <c r="L217" s="23">
        <v>1</v>
      </c>
      <c r="M217" s="24">
        <v>47000</v>
      </c>
      <c r="N217" s="24">
        <v>0</v>
      </c>
      <c r="O217" s="25">
        <v>47000</v>
      </c>
      <c r="P217" s="25">
        <v>0</v>
      </c>
      <c r="Q217" s="24">
        <v>47000</v>
      </c>
      <c r="R217" s="21" t="s">
        <v>436</v>
      </c>
      <c r="S217" s="21" t="s">
        <v>437</v>
      </c>
      <c r="T217" s="21" t="s">
        <v>17</v>
      </c>
      <c r="U217" s="21" t="s">
        <v>438</v>
      </c>
      <c r="V217" s="21" t="s">
        <v>17</v>
      </c>
      <c r="W217" s="21" t="s">
        <v>439</v>
      </c>
      <c r="X217" s="21" t="s">
        <v>439</v>
      </c>
    </row>
    <row r="218" spans="1:24" ht="10.5" hidden="1" customHeight="1" x14ac:dyDescent="0.25">
      <c r="A218" s="20">
        <v>46030</v>
      </c>
      <c r="B218" s="21" t="str">
        <f t="shared" si="3"/>
        <v>08/01/2026NL300054</v>
      </c>
      <c r="C218" s="22" t="s">
        <v>486</v>
      </c>
      <c r="D218" s="22" t="s">
        <v>17</v>
      </c>
      <c r="E218" s="22" t="s">
        <v>431</v>
      </c>
      <c r="F218" s="21" t="s">
        <v>432</v>
      </c>
      <c r="G218" s="21" t="s">
        <v>433</v>
      </c>
      <c r="H218" s="21" t="s">
        <v>487</v>
      </c>
      <c r="I218" s="21" t="s">
        <v>216</v>
      </c>
      <c r="J218" s="21" t="s">
        <v>451</v>
      </c>
      <c r="K218" s="21" t="s">
        <v>442</v>
      </c>
      <c r="L218" s="23">
        <v>1</v>
      </c>
      <c r="M218" s="24">
        <v>38000</v>
      </c>
      <c r="N218" s="24">
        <v>0</v>
      </c>
      <c r="O218" s="25">
        <v>38000</v>
      </c>
      <c r="P218" s="25">
        <v>0</v>
      </c>
      <c r="Q218" s="24">
        <v>38000</v>
      </c>
      <c r="R218" s="21" t="s">
        <v>436</v>
      </c>
      <c r="S218" s="21" t="s">
        <v>437</v>
      </c>
      <c r="T218" s="21" t="s">
        <v>17</v>
      </c>
      <c r="U218" s="21" t="s">
        <v>438</v>
      </c>
      <c r="V218" s="21" t="s">
        <v>17</v>
      </c>
      <c r="W218" s="21" t="s">
        <v>439</v>
      </c>
      <c r="X218" s="21" t="s">
        <v>439</v>
      </c>
    </row>
    <row r="219" spans="1:24" ht="10.5" hidden="1" customHeight="1" x14ac:dyDescent="0.25">
      <c r="A219" s="20">
        <v>46030</v>
      </c>
      <c r="B219" s="21" t="str">
        <f t="shared" si="3"/>
        <v>08/01/2026NL300070</v>
      </c>
      <c r="C219" s="22" t="s">
        <v>486</v>
      </c>
      <c r="D219" s="22" t="s">
        <v>17</v>
      </c>
      <c r="E219" s="22" t="s">
        <v>431</v>
      </c>
      <c r="F219" s="21" t="s">
        <v>432</v>
      </c>
      <c r="G219" s="21" t="s">
        <v>433</v>
      </c>
      <c r="H219" s="21" t="s">
        <v>487</v>
      </c>
      <c r="I219" s="21" t="s">
        <v>345</v>
      </c>
      <c r="J219" s="21" t="s">
        <v>465</v>
      </c>
      <c r="K219" s="21" t="s">
        <v>442</v>
      </c>
      <c r="L219" s="23">
        <v>0.3</v>
      </c>
      <c r="M219" s="24">
        <v>23000</v>
      </c>
      <c r="N219" s="24">
        <v>0</v>
      </c>
      <c r="O219" s="25">
        <v>6900</v>
      </c>
      <c r="P219" s="25">
        <v>0</v>
      </c>
      <c r="Q219" s="24">
        <v>23000</v>
      </c>
      <c r="R219" s="21" t="s">
        <v>436</v>
      </c>
      <c r="S219" s="21" t="s">
        <v>437</v>
      </c>
      <c r="T219" s="21" t="s">
        <v>17</v>
      </c>
      <c r="U219" s="21" t="s">
        <v>438</v>
      </c>
      <c r="V219" s="21" t="s">
        <v>17</v>
      </c>
      <c r="W219" s="21" t="s">
        <v>439</v>
      </c>
      <c r="X219" s="21" t="s">
        <v>439</v>
      </c>
    </row>
    <row r="220" spans="1:24" ht="10.5" hidden="1" customHeight="1" x14ac:dyDescent="0.25">
      <c r="A220" s="20">
        <v>46030</v>
      </c>
      <c r="B220" s="21" t="str">
        <f t="shared" si="3"/>
        <v>08/01/2026NL300088</v>
      </c>
      <c r="C220" s="22" t="s">
        <v>486</v>
      </c>
      <c r="D220" s="22" t="s">
        <v>17</v>
      </c>
      <c r="E220" s="22" t="s">
        <v>431</v>
      </c>
      <c r="F220" s="21" t="s">
        <v>432</v>
      </c>
      <c r="G220" s="21" t="s">
        <v>433</v>
      </c>
      <c r="H220" s="21" t="s">
        <v>487</v>
      </c>
      <c r="I220" s="21" t="s">
        <v>254</v>
      </c>
      <c r="J220" s="21" t="s">
        <v>15</v>
      </c>
      <c r="K220" s="21" t="s">
        <v>442</v>
      </c>
      <c r="L220" s="23">
        <v>5</v>
      </c>
      <c r="M220" s="24">
        <v>27000</v>
      </c>
      <c r="N220" s="24">
        <v>0</v>
      </c>
      <c r="O220" s="25">
        <v>135000</v>
      </c>
      <c r="P220" s="25">
        <v>0</v>
      </c>
      <c r="Q220" s="24">
        <v>27000</v>
      </c>
      <c r="R220" s="21" t="s">
        <v>436</v>
      </c>
      <c r="S220" s="21" t="s">
        <v>437</v>
      </c>
      <c r="T220" s="21" t="s">
        <v>17</v>
      </c>
      <c r="U220" s="21" t="s">
        <v>438</v>
      </c>
      <c r="V220" s="21" t="s">
        <v>17</v>
      </c>
      <c r="W220" s="21" t="s">
        <v>439</v>
      </c>
      <c r="X220" s="21" t="s">
        <v>439</v>
      </c>
    </row>
    <row r="221" spans="1:24" ht="10.5" hidden="1" customHeight="1" x14ac:dyDescent="0.25">
      <c r="A221" s="20">
        <v>46030</v>
      </c>
      <c r="B221" s="21" t="str">
        <f t="shared" si="3"/>
        <v>08/01/2026NL300092</v>
      </c>
      <c r="C221" s="22" t="s">
        <v>486</v>
      </c>
      <c r="D221" s="22" t="s">
        <v>17</v>
      </c>
      <c r="E221" s="22" t="s">
        <v>431</v>
      </c>
      <c r="F221" s="21" t="s">
        <v>432</v>
      </c>
      <c r="G221" s="21" t="s">
        <v>433</v>
      </c>
      <c r="H221" s="21" t="s">
        <v>487</v>
      </c>
      <c r="I221" s="21" t="s">
        <v>329</v>
      </c>
      <c r="J221" s="21" t="s">
        <v>74</v>
      </c>
      <c r="K221" s="21" t="s">
        <v>442</v>
      </c>
      <c r="L221" s="23">
        <v>0.6</v>
      </c>
      <c r="M221" s="24">
        <v>90000</v>
      </c>
      <c r="N221" s="24">
        <v>0</v>
      </c>
      <c r="O221" s="25">
        <v>54000</v>
      </c>
      <c r="P221" s="25">
        <v>0</v>
      </c>
      <c r="Q221" s="24">
        <v>90000</v>
      </c>
      <c r="R221" s="21" t="s">
        <v>436</v>
      </c>
      <c r="S221" s="21" t="s">
        <v>437</v>
      </c>
      <c r="T221" s="21" t="s">
        <v>17</v>
      </c>
      <c r="U221" s="21" t="s">
        <v>438</v>
      </c>
      <c r="V221" s="21" t="s">
        <v>17</v>
      </c>
      <c r="W221" s="21" t="s">
        <v>439</v>
      </c>
      <c r="X221" s="21" t="s">
        <v>439</v>
      </c>
    </row>
    <row r="222" spans="1:24" ht="10.5" hidden="1" customHeight="1" x14ac:dyDescent="0.25">
      <c r="A222" s="20">
        <v>46030</v>
      </c>
      <c r="B222" s="21" t="str">
        <f t="shared" si="3"/>
        <v>08/01/2026NL300094</v>
      </c>
      <c r="C222" s="22" t="s">
        <v>486</v>
      </c>
      <c r="D222" s="22" t="s">
        <v>17</v>
      </c>
      <c r="E222" s="22" t="s">
        <v>431</v>
      </c>
      <c r="F222" s="21" t="s">
        <v>432</v>
      </c>
      <c r="G222" s="21" t="s">
        <v>433</v>
      </c>
      <c r="H222" s="21" t="s">
        <v>487</v>
      </c>
      <c r="I222" s="21" t="s">
        <v>257</v>
      </c>
      <c r="J222" s="21" t="s">
        <v>454</v>
      </c>
      <c r="K222" s="21" t="s">
        <v>442</v>
      </c>
      <c r="L222" s="23">
        <v>0.8</v>
      </c>
      <c r="M222" s="24">
        <v>80000</v>
      </c>
      <c r="N222" s="24">
        <v>0</v>
      </c>
      <c r="O222" s="25">
        <v>64000</v>
      </c>
      <c r="P222" s="25">
        <v>0</v>
      </c>
      <c r="Q222" s="24">
        <v>80000</v>
      </c>
      <c r="R222" s="21" t="s">
        <v>436</v>
      </c>
      <c r="S222" s="21" t="s">
        <v>437</v>
      </c>
      <c r="T222" s="21" t="s">
        <v>17</v>
      </c>
      <c r="U222" s="21" t="s">
        <v>438</v>
      </c>
      <c r="V222" s="21" t="s">
        <v>17</v>
      </c>
      <c r="W222" s="21" t="s">
        <v>439</v>
      </c>
      <c r="X222" s="21" t="s">
        <v>439</v>
      </c>
    </row>
    <row r="223" spans="1:24" ht="10.5" hidden="1" customHeight="1" x14ac:dyDescent="0.25">
      <c r="A223" s="20">
        <v>46030</v>
      </c>
      <c r="B223" s="21" t="str">
        <f t="shared" si="3"/>
        <v>08/01/2026NL300096</v>
      </c>
      <c r="C223" s="22" t="s">
        <v>486</v>
      </c>
      <c r="D223" s="22" t="s">
        <v>17</v>
      </c>
      <c r="E223" s="22" t="s">
        <v>431</v>
      </c>
      <c r="F223" s="21" t="s">
        <v>432</v>
      </c>
      <c r="G223" s="21" t="s">
        <v>433</v>
      </c>
      <c r="H223" s="21" t="s">
        <v>487</v>
      </c>
      <c r="I223" s="21" t="s">
        <v>258</v>
      </c>
      <c r="J223" s="21" t="s">
        <v>45</v>
      </c>
      <c r="K223" s="21" t="s">
        <v>442</v>
      </c>
      <c r="L223" s="23">
        <v>2.7</v>
      </c>
      <c r="M223" s="24">
        <v>45000</v>
      </c>
      <c r="N223" s="24">
        <v>0</v>
      </c>
      <c r="O223" s="25">
        <v>121500</v>
      </c>
      <c r="P223" s="25">
        <v>0</v>
      </c>
      <c r="Q223" s="24">
        <v>45000</v>
      </c>
      <c r="R223" s="21" t="s">
        <v>436</v>
      </c>
      <c r="S223" s="21" t="s">
        <v>437</v>
      </c>
      <c r="T223" s="21" t="s">
        <v>17</v>
      </c>
      <c r="U223" s="21" t="s">
        <v>438</v>
      </c>
      <c r="V223" s="21" t="s">
        <v>17</v>
      </c>
      <c r="W223" s="21" t="s">
        <v>439</v>
      </c>
      <c r="X223" s="21" t="s">
        <v>439</v>
      </c>
    </row>
    <row r="224" spans="1:24" ht="10.5" hidden="1" customHeight="1" x14ac:dyDescent="0.25">
      <c r="A224" s="20">
        <v>46030</v>
      </c>
      <c r="B224" s="21" t="str">
        <f t="shared" si="3"/>
        <v>08/01/2026NL300113</v>
      </c>
      <c r="C224" s="22" t="s">
        <v>486</v>
      </c>
      <c r="D224" s="22" t="s">
        <v>17</v>
      </c>
      <c r="E224" s="22" t="s">
        <v>431</v>
      </c>
      <c r="F224" s="21" t="s">
        <v>432</v>
      </c>
      <c r="G224" s="21" t="s">
        <v>433</v>
      </c>
      <c r="H224" s="21" t="s">
        <v>487</v>
      </c>
      <c r="I224" s="21" t="s">
        <v>271</v>
      </c>
      <c r="J224" s="21" t="s">
        <v>103</v>
      </c>
      <c r="K224" s="21" t="s">
        <v>442</v>
      </c>
      <c r="L224" s="23">
        <v>0.4</v>
      </c>
      <c r="M224" s="24">
        <v>145000</v>
      </c>
      <c r="N224" s="24">
        <v>0</v>
      </c>
      <c r="O224" s="25">
        <v>58000</v>
      </c>
      <c r="P224" s="25">
        <v>0</v>
      </c>
      <c r="Q224" s="24">
        <v>145000</v>
      </c>
      <c r="R224" s="21" t="s">
        <v>436</v>
      </c>
      <c r="S224" s="21" t="s">
        <v>437</v>
      </c>
      <c r="T224" s="21" t="s">
        <v>17</v>
      </c>
      <c r="U224" s="21" t="s">
        <v>438</v>
      </c>
      <c r="V224" s="21" t="s">
        <v>17</v>
      </c>
      <c r="W224" s="21" t="s">
        <v>439</v>
      </c>
      <c r="X224" s="21" t="s">
        <v>439</v>
      </c>
    </row>
    <row r="225" spans="1:24" ht="10.5" hidden="1" customHeight="1" x14ac:dyDescent="0.25">
      <c r="A225" s="20">
        <v>46030</v>
      </c>
      <c r="B225" s="21" t="str">
        <f t="shared" si="3"/>
        <v>08/01/2026NL300116</v>
      </c>
      <c r="C225" s="22" t="s">
        <v>486</v>
      </c>
      <c r="D225" s="22" t="s">
        <v>17</v>
      </c>
      <c r="E225" s="22" t="s">
        <v>431</v>
      </c>
      <c r="F225" s="21" t="s">
        <v>432</v>
      </c>
      <c r="G225" s="21" t="s">
        <v>433</v>
      </c>
      <c r="H225" s="21" t="s">
        <v>487</v>
      </c>
      <c r="I225" s="21" t="s">
        <v>315</v>
      </c>
      <c r="J225" s="21" t="s">
        <v>456</v>
      </c>
      <c r="K225" s="21" t="s">
        <v>442</v>
      </c>
      <c r="L225" s="23">
        <v>0.2</v>
      </c>
      <c r="M225" s="24">
        <v>148000</v>
      </c>
      <c r="N225" s="24">
        <v>0</v>
      </c>
      <c r="O225" s="25">
        <v>29600</v>
      </c>
      <c r="P225" s="25">
        <v>0</v>
      </c>
      <c r="Q225" s="24">
        <v>148000</v>
      </c>
      <c r="R225" s="21" t="s">
        <v>436</v>
      </c>
      <c r="S225" s="21" t="s">
        <v>437</v>
      </c>
      <c r="T225" s="21" t="s">
        <v>17</v>
      </c>
      <c r="U225" s="21" t="s">
        <v>438</v>
      </c>
      <c r="V225" s="21" t="s">
        <v>17</v>
      </c>
      <c r="W225" s="21" t="s">
        <v>439</v>
      </c>
      <c r="X225" s="21" t="s">
        <v>439</v>
      </c>
    </row>
    <row r="226" spans="1:24" ht="10.5" hidden="1" customHeight="1" x14ac:dyDescent="0.25">
      <c r="A226" s="20">
        <v>46030</v>
      </c>
      <c r="B226" s="21" t="str">
        <f t="shared" si="3"/>
        <v>08/01/2026NL300132</v>
      </c>
      <c r="C226" s="22" t="s">
        <v>486</v>
      </c>
      <c r="D226" s="22" t="s">
        <v>17</v>
      </c>
      <c r="E226" s="22" t="s">
        <v>431</v>
      </c>
      <c r="F226" s="21" t="s">
        <v>432</v>
      </c>
      <c r="G226" s="21" t="s">
        <v>433</v>
      </c>
      <c r="H226" s="21" t="s">
        <v>487</v>
      </c>
      <c r="I226" s="21" t="s">
        <v>285</v>
      </c>
      <c r="J226" s="21" t="s">
        <v>82</v>
      </c>
      <c r="K226" s="21" t="s">
        <v>442</v>
      </c>
      <c r="L226" s="23">
        <v>1</v>
      </c>
      <c r="M226" s="24">
        <v>12000</v>
      </c>
      <c r="N226" s="24">
        <v>0</v>
      </c>
      <c r="O226" s="25">
        <v>12000</v>
      </c>
      <c r="P226" s="25">
        <v>0</v>
      </c>
      <c r="Q226" s="24">
        <v>12000</v>
      </c>
      <c r="R226" s="21" t="s">
        <v>436</v>
      </c>
      <c r="S226" s="21" t="s">
        <v>437</v>
      </c>
      <c r="T226" s="21" t="s">
        <v>17</v>
      </c>
      <c r="U226" s="21" t="s">
        <v>438</v>
      </c>
      <c r="V226" s="21" t="s">
        <v>17</v>
      </c>
      <c r="W226" s="21" t="s">
        <v>439</v>
      </c>
      <c r="X226" s="21" t="s">
        <v>439</v>
      </c>
    </row>
    <row r="227" spans="1:24" ht="10.5" hidden="1" customHeight="1" x14ac:dyDescent="0.25">
      <c r="A227" s="20">
        <v>46030</v>
      </c>
      <c r="B227" s="21" t="str">
        <f t="shared" si="3"/>
        <v>08/01/2026NL300139</v>
      </c>
      <c r="C227" s="22" t="s">
        <v>486</v>
      </c>
      <c r="D227" s="22" t="s">
        <v>17</v>
      </c>
      <c r="E227" s="22" t="s">
        <v>431</v>
      </c>
      <c r="F227" s="21" t="s">
        <v>432</v>
      </c>
      <c r="G227" s="21" t="s">
        <v>433</v>
      </c>
      <c r="H227" s="21" t="s">
        <v>487</v>
      </c>
      <c r="I227" s="21" t="s">
        <v>348</v>
      </c>
      <c r="J227" s="21" t="s">
        <v>84</v>
      </c>
      <c r="K227" s="21" t="s">
        <v>442</v>
      </c>
      <c r="L227" s="23">
        <v>0.1</v>
      </c>
      <c r="M227" s="24">
        <v>42000</v>
      </c>
      <c r="N227" s="24">
        <v>0</v>
      </c>
      <c r="O227" s="25">
        <v>4200</v>
      </c>
      <c r="P227" s="25">
        <v>0</v>
      </c>
      <c r="Q227" s="24">
        <v>42000</v>
      </c>
      <c r="R227" s="21" t="s">
        <v>436</v>
      </c>
      <c r="S227" s="21" t="s">
        <v>437</v>
      </c>
      <c r="T227" s="21" t="s">
        <v>17</v>
      </c>
      <c r="U227" s="21" t="s">
        <v>438</v>
      </c>
      <c r="V227" s="21" t="s">
        <v>17</v>
      </c>
      <c r="W227" s="21" t="s">
        <v>439</v>
      </c>
      <c r="X227" s="21" t="s">
        <v>439</v>
      </c>
    </row>
    <row r="228" spans="1:24" ht="10.5" hidden="1" customHeight="1" x14ac:dyDescent="0.25">
      <c r="A228" s="20">
        <v>46030</v>
      </c>
      <c r="B228" s="21" t="str">
        <f t="shared" si="3"/>
        <v>08/01/2026NL300147</v>
      </c>
      <c r="C228" s="22" t="s">
        <v>486</v>
      </c>
      <c r="D228" s="22" t="s">
        <v>17</v>
      </c>
      <c r="E228" s="22" t="s">
        <v>431</v>
      </c>
      <c r="F228" s="21" t="s">
        <v>432</v>
      </c>
      <c r="G228" s="21" t="s">
        <v>433</v>
      </c>
      <c r="H228" s="21" t="s">
        <v>487</v>
      </c>
      <c r="I228" s="21" t="s">
        <v>300</v>
      </c>
      <c r="J228" s="21" t="s">
        <v>459</v>
      </c>
      <c r="K228" s="21" t="s">
        <v>442</v>
      </c>
      <c r="L228" s="23">
        <v>2.6</v>
      </c>
      <c r="M228" s="24">
        <v>62000</v>
      </c>
      <c r="N228" s="24">
        <v>0</v>
      </c>
      <c r="O228" s="25">
        <v>161200</v>
      </c>
      <c r="P228" s="25">
        <v>0</v>
      </c>
      <c r="Q228" s="24">
        <v>62000</v>
      </c>
      <c r="R228" s="21" t="s">
        <v>436</v>
      </c>
      <c r="S228" s="21" t="s">
        <v>437</v>
      </c>
      <c r="T228" s="21" t="s">
        <v>17</v>
      </c>
      <c r="U228" s="21" t="s">
        <v>438</v>
      </c>
      <c r="V228" s="21" t="s">
        <v>17</v>
      </c>
      <c r="W228" s="21" t="s">
        <v>439</v>
      </c>
      <c r="X228" s="21" t="s">
        <v>439</v>
      </c>
    </row>
    <row r="229" spans="1:24" ht="10.5" hidden="1" customHeight="1" x14ac:dyDescent="0.25">
      <c r="A229" s="20">
        <v>46030</v>
      </c>
      <c r="B229" s="21" t="str">
        <f t="shared" si="3"/>
        <v>08/01/2026NL300119</v>
      </c>
      <c r="C229" s="22" t="s">
        <v>486</v>
      </c>
      <c r="D229" s="22" t="s">
        <v>17</v>
      </c>
      <c r="E229" s="22" t="s">
        <v>431</v>
      </c>
      <c r="F229" s="21" t="s">
        <v>432</v>
      </c>
      <c r="G229" s="21" t="s">
        <v>433</v>
      </c>
      <c r="H229" s="21" t="s">
        <v>487</v>
      </c>
      <c r="I229" s="21" t="s">
        <v>310</v>
      </c>
      <c r="J229" s="21" t="s">
        <v>460</v>
      </c>
      <c r="K229" s="21" t="s">
        <v>442</v>
      </c>
      <c r="L229" s="23">
        <v>1.3</v>
      </c>
      <c r="M229" s="24">
        <v>21000</v>
      </c>
      <c r="N229" s="24">
        <v>0</v>
      </c>
      <c r="O229" s="25">
        <v>27300</v>
      </c>
      <c r="P229" s="25">
        <v>0</v>
      </c>
      <c r="Q229" s="24">
        <v>21000</v>
      </c>
      <c r="R229" s="21" t="s">
        <v>436</v>
      </c>
      <c r="S229" s="21" t="s">
        <v>437</v>
      </c>
      <c r="T229" s="21" t="s">
        <v>17</v>
      </c>
      <c r="U229" s="21" t="s">
        <v>438</v>
      </c>
      <c r="V229" s="21" t="s">
        <v>17</v>
      </c>
      <c r="W229" s="21" t="s">
        <v>439</v>
      </c>
      <c r="X229" s="21" t="s">
        <v>439</v>
      </c>
    </row>
    <row r="230" spans="1:24" ht="10.5" hidden="1" customHeight="1" x14ac:dyDescent="0.25">
      <c r="A230" s="20">
        <v>46030</v>
      </c>
      <c r="B230" s="21" t="str">
        <f t="shared" si="3"/>
        <v>08/01/2026NL300140</v>
      </c>
      <c r="C230" s="22" t="s">
        <v>486</v>
      </c>
      <c r="D230" s="22" t="s">
        <v>17</v>
      </c>
      <c r="E230" s="22" t="s">
        <v>431</v>
      </c>
      <c r="F230" s="21" t="s">
        <v>432</v>
      </c>
      <c r="G230" s="21" t="s">
        <v>433</v>
      </c>
      <c r="H230" s="21" t="s">
        <v>487</v>
      </c>
      <c r="I230" s="21" t="s">
        <v>282</v>
      </c>
      <c r="J230" s="21" t="s">
        <v>461</v>
      </c>
      <c r="K230" s="21" t="s">
        <v>442</v>
      </c>
      <c r="L230" s="23">
        <v>0.3</v>
      </c>
      <c r="M230" s="24">
        <v>36000</v>
      </c>
      <c r="N230" s="24">
        <v>0</v>
      </c>
      <c r="O230" s="25">
        <v>10800</v>
      </c>
      <c r="P230" s="25">
        <v>0</v>
      </c>
      <c r="Q230" s="24">
        <v>36000</v>
      </c>
      <c r="R230" s="21" t="s">
        <v>436</v>
      </c>
      <c r="S230" s="21" t="s">
        <v>437</v>
      </c>
      <c r="T230" s="21" t="s">
        <v>17</v>
      </c>
      <c r="U230" s="21" t="s">
        <v>438</v>
      </c>
      <c r="V230" s="21" t="s">
        <v>17</v>
      </c>
      <c r="W230" s="21" t="s">
        <v>439</v>
      </c>
      <c r="X230" s="21" t="s">
        <v>439</v>
      </c>
    </row>
    <row r="231" spans="1:24" ht="10.5" hidden="1" customHeight="1" x14ac:dyDescent="0.25">
      <c r="A231" s="20">
        <v>46030</v>
      </c>
      <c r="B231" s="21" t="str">
        <f t="shared" si="3"/>
        <v>08/01/2026NL600004</v>
      </c>
      <c r="C231" s="22" t="s">
        <v>486</v>
      </c>
      <c r="D231" s="22" t="s">
        <v>17</v>
      </c>
      <c r="E231" s="22" t="s">
        <v>431</v>
      </c>
      <c r="F231" s="21" t="s">
        <v>432</v>
      </c>
      <c r="G231" s="21" t="s">
        <v>433</v>
      </c>
      <c r="H231" s="21" t="s">
        <v>487</v>
      </c>
      <c r="I231" s="21" t="s">
        <v>225</v>
      </c>
      <c r="J231" s="21" t="s">
        <v>37</v>
      </c>
      <c r="K231" s="21" t="s">
        <v>442</v>
      </c>
      <c r="L231" s="23">
        <v>15</v>
      </c>
      <c r="M231" s="24">
        <v>18000</v>
      </c>
      <c r="N231" s="24">
        <v>0</v>
      </c>
      <c r="O231" s="25">
        <v>270000</v>
      </c>
      <c r="P231" s="25">
        <v>0</v>
      </c>
      <c r="Q231" s="24">
        <v>18000</v>
      </c>
      <c r="R231" s="21" t="s">
        <v>436</v>
      </c>
      <c r="S231" s="21" t="s">
        <v>437</v>
      </c>
      <c r="T231" s="21" t="s">
        <v>17</v>
      </c>
      <c r="U231" s="21" t="s">
        <v>438</v>
      </c>
      <c r="V231" s="21" t="s">
        <v>17</v>
      </c>
      <c r="W231" s="21" t="s">
        <v>439</v>
      </c>
      <c r="X231" s="21" t="s">
        <v>439</v>
      </c>
    </row>
    <row r="232" spans="1:24" ht="10.5" hidden="1" customHeight="1" x14ac:dyDescent="0.25">
      <c r="A232" s="20">
        <v>46030</v>
      </c>
      <c r="B232" s="21" t="str">
        <f t="shared" si="3"/>
        <v>08/01/2026NL300029</v>
      </c>
      <c r="C232" s="22" t="s">
        <v>486</v>
      </c>
      <c r="D232" s="22" t="s">
        <v>17</v>
      </c>
      <c r="E232" s="22" t="s">
        <v>431</v>
      </c>
      <c r="F232" s="21" t="s">
        <v>432</v>
      </c>
      <c r="G232" s="21" t="s">
        <v>433</v>
      </c>
      <c r="H232" s="21" t="s">
        <v>487</v>
      </c>
      <c r="I232" s="21" t="s">
        <v>213</v>
      </c>
      <c r="J232" s="21" t="s">
        <v>469</v>
      </c>
      <c r="K232" s="21" t="s">
        <v>442</v>
      </c>
      <c r="L232" s="23">
        <v>2</v>
      </c>
      <c r="M232" s="24">
        <v>22000</v>
      </c>
      <c r="N232" s="24">
        <v>0</v>
      </c>
      <c r="O232" s="25">
        <v>44000</v>
      </c>
      <c r="P232" s="25">
        <v>0</v>
      </c>
      <c r="Q232" s="24">
        <v>22000</v>
      </c>
      <c r="R232" s="21" t="s">
        <v>436</v>
      </c>
      <c r="S232" s="21" t="s">
        <v>437</v>
      </c>
      <c r="T232" s="21" t="s">
        <v>17</v>
      </c>
      <c r="U232" s="21" t="s">
        <v>438</v>
      </c>
      <c r="V232" s="21" t="s">
        <v>17</v>
      </c>
      <c r="W232" s="21" t="s">
        <v>439</v>
      </c>
      <c r="X232" s="21" t="s">
        <v>439</v>
      </c>
    </row>
    <row r="233" spans="1:24" ht="10.5" hidden="1" customHeight="1" x14ac:dyDescent="0.25">
      <c r="A233" s="20">
        <v>46030</v>
      </c>
      <c r="B233" s="21" t="str">
        <f t="shared" si="3"/>
        <v>08/01/2026NL300062</v>
      </c>
      <c r="C233" s="22" t="s">
        <v>486</v>
      </c>
      <c r="D233" s="22" t="s">
        <v>17</v>
      </c>
      <c r="E233" s="22" t="s">
        <v>431</v>
      </c>
      <c r="F233" s="21" t="s">
        <v>432</v>
      </c>
      <c r="G233" s="21" t="s">
        <v>433</v>
      </c>
      <c r="H233" s="21" t="s">
        <v>487</v>
      </c>
      <c r="I233" s="21" t="s">
        <v>236</v>
      </c>
      <c r="J233" s="21" t="s">
        <v>482</v>
      </c>
      <c r="K233" s="21" t="s">
        <v>442</v>
      </c>
      <c r="L233" s="23">
        <v>0.1</v>
      </c>
      <c r="M233" s="24">
        <v>65000</v>
      </c>
      <c r="N233" s="24">
        <v>0</v>
      </c>
      <c r="O233" s="25">
        <v>6500</v>
      </c>
      <c r="P233" s="25">
        <v>0</v>
      </c>
      <c r="Q233" s="24">
        <v>65000</v>
      </c>
      <c r="R233" s="21" t="s">
        <v>436</v>
      </c>
      <c r="S233" s="21" t="s">
        <v>437</v>
      </c>
      <c r="T233" s="21" t="s">
        <v>17</v>
      </c>
      <c r="U233" s="21" t="s">
        <v>438</v>
      </c>
      <c r="V233" s="21" t="s">
        <v>17</v>
      </c>
      <c r="W233" s="21" t="s">
        <v>439</v>
      </c>
      <c r="X233" s="21" t="s">
        <v>439</v>
      </c>
    </row>
    <row r="234" spans="1:24" ht="10.5" hidden="1" customHeight="1" x14ac:dyDescent="0.25">
      <c r="A234" s="20">
        <v>46030</v>
      </c>
      <c r="B234" s="21" t="str">
        <f t="shared" si="3"/>
        <v>08/01/2026NL300125</v>
      </c>
      <c r="C234" s="22" t="s">
        <v>486</v>
      </c>
      <c r="D234" s="22" t="s">
        <v>17</v>
      </c>
      <c r="E234" s="22" t="s">
        <v>431</v>
      </c>
      <c r="F234" s="21" t="s">
        <v>432</v>
      </c>
      <c r="G234" s="21" t="s">
        <v>433</v>
      </c>
      <c r="H234" s="21" t="s">
        <v>487</v>
      </c>
      <c r="I234" s="21" t="s">
        <v>337</v>
      </c>
      <c r="J234" s="21" t="s">
        <v>146</v>
      </c>
      <c r="K234" s="21" t="s">
        <v>442</v>
      </c>
      <c r="L234" s="23">
        <v>0.5</v>
      </c>
      <c r="M234" s="24">
        <v>42000</v>
      </c>
      <c r="N234" s="24">
        <v>0</v>
      </c>
      <c r="O234" s="25">
        <v>21000</v>
      </c>
      <c r="P234" s="25">
        <v>0</v>
      </c>
      <c r="Q234" s="24">
        <v>42000</v>
      </c>
      <c r="R234" s="21" t="s">
        <v>436</v>
      </c>
      <c r="S234" s="21" t="s">
        <v>437</v>
      </c>
      <c r="T234" s="21" t="s">
        <v>17</v>
      </c>
      <c r="U234" s="21" t="s">
        <v>438</v>
      </c>
      <c r="V234" s="21" t="s">
        <v>17</v>
      </c>
      <c r="W234" s="21" t="s">
        <v>439</v>
      </c>
      <c r="X234" s="21" t="s">
        <v>439</v>
      </c>
    </row>
    <row r="235" spans="1:24" ht="10.5" hidden="1" customHeight="1" x14ac:dyDescent="0.25">
      <c r="A235" s="20">
        <v>46030</v>
      </c>
      <c r="B235" s="21" t="str">
        <f t="shared" si="3"/>
        <v>08/01/2026NL600067</v>
      </c>
      <c r="C235" s="22" t="s">
        <v>486</v>
      </c>
      <c r="D235" s="22" t="s">
        <v>17</v>
      </c>
      <c r="E235" s="22" t="s">
        <v>431</v>
      </c>
      <c r="F235" s="21" t="s">
        <v>432</v>
      </c>
      <c r="G235" s="21" t="s">
        <v>433</v>
      </c>
      <c r="H235" s="21" t="s">
        <v>487</v>
      </c>
      <c r="I235" s="21" t="s">
        <v>376</v>
      </c>
      <c r="J235" s="21" t="s">
        <v>60</v>
      </c>
      <c r="K235" s="21" t="s">
        <v>442</v>
      </c>
      <c r="L235" s="23">
        <v>0.3</v>
      </c>
      <c r="M235" s="24">
        <v>75000</v>
      </c>
      <c r="N235" s="24">
        <v>0</v>
      </c>
      <c r="O235" s="25">
        <v>22500</v>
      </c>
      <c r="P235" s="25">
        <v>0</v>
      </c>
      <c r="Q235" s="24">
        <v>75000</v>
      </c>
      <c r="R235" s="21" t="s">
        <v>436</v>
      </c>
      <c r="S235" s="21" t="s">
        <v>437</v>
      </c>
      <c r="T235" s="21" t="s">
        <v>17</v>
      </c>
      <c r="U235" s="21" t="s">
        <v>438</v>
      </c>
      <c r="V235" s="21" t="s">
        <v>17</v>
      </c>
      <c r="W235" s="21" t="s">
        <v>439</v>
      </c>
      <c r="X235" s="21" t="s">
        <v>439</v>
      </c>
    </row>
    <row r="236" spans="1:24" ht="10.5" hidden="1" customHeight="1" x14ac:dyDescent="0.25">
      <c r="A236" s="20">
        <v>46030</v>
      </c>
      <c r="B236" s="21" t="str">
        <f t="shared" si="3"/>
        <v>08/01/2026NL300184</v>
      </c>
      <c r="C236" s="22" t="s">
        <v>486</v>
      </c>
      <c r="D236" s="22" t="s">
        <v>17</v>
      </c>
      <c r="E236" s="22" t="s">
        <v>431</v>
      </c>
      <c r="F236" s="21" t="s">
        <v>432</v>
      </c>
      <c r="G236" s="21" t="s">
        <v>433</v>
      </c>
      <c r="H236" s="21" t="s">
        <v>487</v>
      </c>
      <c r="I236" s="21" t="s">
        <v>368</v>
      </c>
      <c r="J236" s="21" t="s">
        <v>462</v>
      </c>
      <c r="K236" s="21" t="s">
        <v>442</v>
      </c>
      <c r="L236" s="23">
        <v>0.5</v>
      </c>
      <c r="M236" s="24">
        <v>18000</v>
      </c>
      <c r="N236" s="24">
        <v>0</v>
      </c>
      <c r="O236" s="25">
        <v>9000</v>
      </c>
      <c r="P236" s="25">
        <v>0</v>
      </c>
      <c r="Q236" s="24">
        <v>18000</v>
      </c>
      <c r="R236" s="21" t="s">
        <v>436</v>
      </c>
      <c r="S236" s="21" t="s">
        <v>437</v>
      </c>
      <c r="T236" s="21" t="s">
        <v>17</v>
      </c>
      <c r="U236" s="21" t="s">
        <v>438</v>
      </c>
      <c r="V236" s="21" t="s">
        <v>17</v>
      </c>
      <c r="W236" s="21" t="s">
        <v>439</v>
      </c>
      <c r="X236" s="21" t="s">
        <v>439</v>
      </c>
    </row>
    <row r="237" spans="1:24" ht="10.5" hidden="1" customHeight="1" x14ac:dyDescent="0.25">
      <c r="A237" s="20">
        <v>46031</v>
      </c>
      <c r="B237" s="21" t="str">
        <f t="shared" si="3"/>
        <v>09/01/2026NL600004</v>
      </c>
      <c r="C237" s="22" t="s">
        <v>489</v>
      </c>
      <c r="D237" s="22" t="s">
        <v>17</v>
      </c>
      <c r="E237" s="22" t="s">
        <v>431</v>
      </c>
      <c r="F237" s="21" t="s">
        <v>432</v>
      </c>
      <c r="G237" s="21" t="s">
        <v>433</v>
      </c>
      <c r="H237" s="21" t="s">
        <v>490</v>
      </c>
      <c r="I237" s="21" t="s">
        <v>225</v>
      </c>
      <c r="J237" s="21" t="s">
        <v>37</v>
      </c>
      <c r="K237" s="21" t="s">
        <v>442</v>
      </c>
      <c r="L237" s="23">
        <v>11</v>
      </c>
      <c r="M237" s="24">
        <v>18000</v>
      </c>
      <c r="N237" s="24">
        <v>0</v>
      </c>
      <c r="O237" s="25">
        <v>198000</v>
      </c>
      <c r="P237" s="25">
        <v>0</v>
      </c>
      <c r="Q237" s="24">
        <v>18000</v>
      </c>
      <c r="R237" s="21" t="s">
        <v>436</v>
      </c>
      <c r="S237" s="21" t="s">
        <v>437</v>
      </c>
      <c r="T237" s="21" t="s">
        <v>17</v>
      </c>
      <c r="U237" s="21" t="s">
        <v>438</v>
      </c>
      <c r="V237" s="21" t="s">
        <v>17</v>
      </c>
      <c r="W237" s="21" t="s">
        <v>439</v>
      </c>
      <c r="X237" s="21" t="s">
        <v>439</v>
      </c>
    </row>
    <row r="238" spans="1:24" ht="10.5" hidden="1" customHeight="1" x14ac:dyDescent="0.25">
      <c r="A238" s="20">
        <v>46031</v>
      </c>
      <c r="B238" s="21" t="str">
        <f t="shared" si="3"/>
        <v>09/01/2026NL300131</v>
      </c>
      <c r="C238" s="22" t="s">
        <v>489</v>
      </c>
      <c r="D238" s="22" t="s">
        <v>17</v>
      </c>
      <c r="E238" s="22" t="s">
        <v>431</v>
      </c>
      <c r="F238" s="21" t="s">
        <v>432</v>
      </c>
      <c r="G238" s="21" t="s">
        <v>433</v>
      </c>
      <c r="H238" s="21" t="s">
        <v>490</v>
      </c>
      <c r="I238" s="21" t="s">
        <v>340</v>
      </c>
      <c r="J238" s="21" t="s">
        <v>88</v>
      </c>
      <c r="K238" s="21" t="s">
        <v>442</v>
      </c>
      <c r="L238" s="23">
        <v>0.2</v>
      </c>
      <c r="M238" s="24">
        <v>220000</v>
      </c>
      <c r="N238" s="24">
        <v>0</v>
      </c>
      <c r="O238" s="25">
        <v>44000</v>
      </c>
      <c r="P238" s="25">
        <v>0</v>
      </c>
      <c r="Q238" s="24">
        <v>220000</v>
      </c>
      <c r="R238" s="21" t="s">
        <v>436</v>
      </c>
      <c r="S238" s="21" t="s">
        <v>437</v>
      </c>
      <c r="T238" s="21" t="s">
        <v>17</v>
      </c>
      <c r="U238" s="21" t="s">
        <v>438</v>
      </c>
      <c r="V238" s="21" t="s">
        <v>17</v>
      </c>
      <c r="W238" s="21" t="s">
        <v>439</v>
      </c>
      <c r="X238" s="21" t="s">
        <v>439</v>
      </c>
    </row>
    <row r="239" spans="1:24" ht="10.5" hidden="1" customHeight="1" x14ac:dyDescent="0.25">
      <c r="A239" s="20">
        <v>46031</v>
      </c>
      <c r="B239" s="21" t="str">
        <f t="shared" si="3"/>
        <v>09/01/2026NL300062</v>
      </c>
      <c r="C239" s="22" t="s">
        <v>489</v>
      </c>
      <c r="D239" s="22" t="s">
        <v>17</v>
      </c>
      <c r="E239" s="22" t="s">
        <v>431</v>
      </c>
      <c r="F239" s="21" t="s">
        <v>432</v>
      </c>
      <c r="G239" s="21" t="s">
        <v>433</v>
      </c>
      <c r="H239" s="21" t="s">
        <v>490</v>
      </c>
      <c r="I239" s="21" t="s">
        <v>236</v>
      </c>
      <c r="J239" s="21" t="s">
        <v>482</v>
      </c>
      <c r="K239" s="21" t="s">
        <v>442</v>
      </c>
      <c r="L239" s="23">
        <v>0.1</v>
      </c>
      <c r="M239" s="24">
        <v>65000</v>
      </c>
      <c r="N239" s="24">
        <v>0</v>
      </c>
      <c r="O239" s="25">
        <v>6500</v>
      </c>
      <c r="P239" s="25">
        <v>0</v>
      </c>
      <c r="Q239" s="24">
        <v>65000</v>
      </c>
      <c r="R239" s="21" t="s">
        <v>436</v>
      </c>
      <c r="S239" s="21" t="s">
        <v>437</v>
      </c>
      <c r="T239" s="21" t="s">
        <v>17</v>
      </c>
      <c r="U239" s="21" t="s">
        <v>438</v>
      </c>
      <c r="V239" s="21" t="s">
        <v>17</v>
      </c>
      <c r="W239" s="21" t="s">
        <v>439</v>
      </c>
      <c r="X239" s="21" t="s">
        <v>439</v>
      </c>
    </row>
    <row r="240" spans="1:24" ht="10.5" hidden="1" customHeight="1" x14ac:dyDescent="0.25">
      <c r="A240" s="20">
        <v>46031</v>
      </c>
      <c r="B240" s="21" t="str">
        <f t="shared" si="3"/>
        <v>09/01/2026NL300125</v>
      </c>
      <c r="C240" s="22" t="s">
        <v>489</v>
      </c>
      <c r="D240" s="22" t="s">
        <v>17</v>
      </c>
      <c r="E240" s="22" t="s">
        <v>431</v>
      </c>
      <c r="F240" s="21" t="s">
        <v>432</v>
      </c>
      <c r="G240" s="21" t="s">
        <v>433</v>
      </c>
      <c r="H240" s="21" t="s">
        <v>490</v>
      </c>
      <c r="I240" s="21" t="s">
        <v>337</v>
      </c>
      <c r="J240" s="21" t="s">
        <v>146</v>
      </c>
      <c r="K240" s="21" t="s">
        <v>442</v>
      </c>
      <c r="L240" s="23">
        <v>0.5</v>
      </c>
      <c r="M240" s="24">
        <v>42000</v>
      </c>
      <c r="N240" s="24">
        <v>0</v>
      </c>
      <c r="O240" s="25">
        <v>21000</v>
      </c>
      <c r="P240" s="25">
        <v>0</v>
      </c>
      <c r="Q240" s="24">
        <v>42000</v>
      </c>
      <c r="R240" s="21" t="s">
        <v>436</v>
      </c>
      <c r="S240" s="21" t="s">
        <v>437</v>
      </c>
      <c r="T240" s="21" t="s">
        <v>17</v>
      </c>
      <c r="U240" s="21" t="s">
        <v>438</v>
      </c>
      <c r="V240" s="21" t="s">
        <v>17</v>
      </c>
      <c r="W240" s="21" t="s">
        <v>439</v>
      </c>
      <c r="X240" s="21" t="s">
        <v>439</v>
      </c>
    </row>
    <row r="241" spans="1:24" ht="10.5" hidden="1" customHeight="1" x14ac:dyDescent="0.25">
      <c r="A241" s="20">
        <v>46031</v>
      </c>
      <c r="B241" s="21" t="str">
        <f t="shared" si="3"/>
        <v>09/01/2026NL300142</v>
      </c>
      <c r="C241" s="22" t="s">
        <v>489</v>
      </c>
      <c r="D241" s="22" t="s">
        <v>17</v>
      </c>
      <c r="E241" s="22" t="s">
        <v>431</v>
      </c>
      <c r="F241" s="21" t="s">
        <v>432</v>
      </c>
      <c r="G241" s="21" t="s">
        <v>433</v>
      </c>
      <c r="H241" s="21" t="s">
        <v>490</v>
      </c>
      <c r="I241" s="21" t="s">
        <v>317</v>
      </c>
      <c r="J241" s="21" t="s">
        <v>441</v>
      </c>
      <c r="K241" s="21" t="s">
        <v>442</v>
      </c>
      <c r="L241" s="23">
        <v>2</v>
      </c>
      <c r="M241" s="24">
        <v>50000</v>
      </c>
      <c r="N241" s="24">
        <v>0</v>
      </c>
      <c r="O241" s="25">
        <v>100000</v>
      </c>
      <c r="P241" s="25">
        <v>0</v>
      </c>
      <c r="Q241" s="24">
        <v>50000</v>
      </c>
      <c r="R241" s="21" t="s">
        <v>436</v>
      </c>
      <c r="S241" s="21" t="s">
        <v>437</v>
      </c>
      <c r="T241" s="21" t="s">
        <v>17</v>
      </c>
      <c r="U241" s="21" t="s">
        <v>438</v>
      </c>
      <c r="V241" s="21" t="s">
        <v>17</v>
      </c>
      <c r="W241" s="21" t="s">
        <v>439</v>
      </c>
      <c r="X241" s="21" t="s">
        <v>439</v>
      </c>
    </row>
    <row r="242" spans="1:24" ht="10.5" hidden="1" customHeight="1" x14ac:dyDescent="0.25">
      <c r="A242" s="20">
        <v>46031</v>
      </c>
      <c r="B242" s="21" t="str">
        <f t="shared" si="3"/>
        <v>09/01/2026NL300007</v>
      </c>
      <c r="C242" s="22" t="s">
        <v>489</v>
      </c>
      <c r="D242" s="22" t="s">
        <v>17</v>
      </c>
      <c r="E242" s="22" t="s">
        <v>431</v>
      </c>
      <c r="F242" s="21" t="s">
        <v>432</v>
      </c>
      <c r="G242" s="21" t="s">
        <v>433</v>
      </c>
      <c r="H242" s="21" t="s">
        <v>490</v>
      </c>
      <c r="I242" s="21" t="s">
        <v>309</v>
      </c>
      <c r="J242" s="21" t="s">
        <v>444</v>
      </c>
      <c r="K242" s="21" t="s">
        <v>442</v>
      </c>
      <c r="L242" s="23">
        <v>2.1</v>
      </c>
      <c r="M242" s="24">
        <v>30000</v>
      </c>
      <c r="N242" s="24">
        <v>0</v>
      </c>
      <c r="O242" s="25">
        <v>63000</v>
      </c>
      <c r="P242" s="25">
        <v>0</v>
      </c>
      <c r="Q242" s="24">
        <v>30000</v>
      </c>
      <c r="R242" s="21" t="s">
        <v>436</v>
      </c>
      <c r="S242" s="21" t="s">
        <v>437</v>
      </c>
      <c r="T242" s="21" t="s">
        <v>17</v>
      </c>
      <c r="U242" s="21" t="s">
        <v>438</v>
      </c>
      <c r="V242" s="21" t="s">
        <v>17</v>
      </c>
      <c r="W242" s="21" t="s">
        <v>439</v>
      </c>
      <c r="X242" s="21" t="s">
        <v>439</v>
      </c>
    </row>
    <row r="243" spans="1:24" ht="10.5" hidden="1" customHeight="1" x14ac:dyDescent="0.25">
      <c r="A243" s="20">
        <v>46031</v>
      </c>
      <c r="B243" s="21" t="str">
        <f t="shared" si="3"/>
        <v>09/01/2026NL300008</v>
      </c>
      <c r="C243" s="22" t="s">
        <v>489</v>
      </c>
      <c r="D243" s="22" t="s">
        <v>17</v>
      </c>
      <c r="E243" s="22" t="s">
        <v>431</v>
      </c>
      <c r="F243" s="21" t="s">
        <v>432</v>
      </c>
      <c r="G243" s="21" t="s">
        <v>433</v>
      </c>
      <c r="H243" s="21" t="s">
        <v>490</v>
      </c>
      <c r="I243" s="21" t="s">
        <v>320</v>
      </c>
      <c r="J243" s="21" t="s">
        <v>445</v>
      </c>
      <c r="K243" s="21" t="s">
        <v>442</v>
      </c>
      <c r="L243" s="23">
        <v>4</v>
      </c>
      <c r="M243" s="24">
        <v>40000</v>
      </c>
      <c r="N243" s="24">
        <v>0</v>
      </c>
      <c r="O243" s="25">
        <v>160000</v>
      </c>
      <c r="P243" s="25">
        <v>0</v>
      </c>
      <c r="Q243" s="24">
        <v>40000</v>
      </c>
      <c r="R243" s="21" t="s">
        <v>436</v>
      </c>
      <c r="S243" s="21" t="s">
        <v>437</v>
      </c>
      <c r="T243" s="21" t="s">
        <v>17</v>
      </c>
      <c r="U243" s="21" t="s">
        <v>438</v>
      </c>
      <c r="V243" s="21" t="s">
        <v>17</v>
      </c>
      <c r="W243" s="21" t="s">
        <v>439</v>
      </c>
      <c r="X243" s="21" t="s">
        <v>439</v>
      </c>
    </row>
    <row r="244" spans="1:24" ht="10.5" hidden="1" customHeight="1" x14ac:dyDescent="0.25">
      <c r="A244" s="20">
        <v>46031</v>
      </c>
      <c r="B244" s="21" t="str">
        <f t="shared" si="3"/>
        <v>09/01/2026NL300028</v>
      </c>
      <c r="C244" s="22" t="s">
        <v>489</v>
      </c>
      <c r="D244" s="22" t="s">
        <v>17</v>
      </c>
      <c r="E244" s="22" t="s">
        <v>431</v>
      </c>
      <c r="F244" s="21" t="s">
        <v>432</v>
      </c>
      <c r="G244" s="21" t="s">
        <v>433</v>
      </c>
      <c r="H244" s="21" t="s">
        <v>490</v>
      </c>
      <c r="I244" s="21" t="s">
        <v>325</v>
      </c>
      <c r="J244" s="21" t="s">
        <v>27</v>
      </c>
      <c r="K244" s="21" t="s">
        <v>442</v>
      </c>
      <c r="L244" s="23">
        <v>0.3</v>
      </c>
      <c r="M244" s="24">
        <v>75000</v>
      </c>
      <c r="N244" s="24">
        <v>0</v>
      </c>
      <c r="O244" s="25">
        <v>22500</v>
      </c>
      <c r="P244" s="25">
        <v>0</v>
      </c>
      <c r="Q244" s="24">
        <v>75000</v>
      </c>
      <c r="R244" s="21" t="s">
        <v>436</v>
      </c>
      <c r="S244" s="21" t="s">
        <v>437</v>
      </c>
      <c r="T244" s="21" t="s">
        <v>17</v>
      </c>
      <c r="U244" s="21" t="s">
        <v>438</v>
      </c>
      <c r="V244" s="21" t="s">
        <v>17</v>
      </c>
      <c r="W244" s="21" t="s">
        <v>439</v>
      </c>
      <c r="X244" s="21" t="s">
        <v>439</v>
      </c>
    </row>
    <row r="245" spans="1:24" ht="10.5" hidden="1" customHeight="1" x14ac:dyDescent="0.25">
      <c r="A245" s="20">
        <v>46031</v>
      </c>
      <c r="B245" s="21" t="str">
        <f t="shared" si="3"/>
        <v>09/01/2026NL300038</v>
      </c>
      <c r="C245" s="22" t="s">
        <v>489</v>
      </c>
      <c r="D245" s="22" t="s">
        <v>17</v>
      </c>
      <c r="E245" s="22" t="s">
        <v>431</v>
      </c>
      <c r="F245" s="21" t="s">
        <v>432</v>
      </c>
      <c r="G245" s="21" t="s">
        <v>433</v>
      </c>
      <c r="H245" s="21" t="s">
        <v>490</v>
      </c>
      <c r="I245" s="21" t="s">
        <v>217</v>
      </c>
      <c r="J245" s="21" t="s">
        <v>35</v>
      </c>
      <c r="K245" s="21" t="s">
        <v>442</v>
      </c>
      <c r="L245" s="23">
        <v>2</v>
      </c>
      <c r="M245" s="24">
        <v>32000</v>
      </c>
      <c r="N245" s="24">
        <v>0</v>
      </c>
      <c r="O245" s="25">
        <v>64000</v>
      </c>
      <c r="P245" s="25">
        <v>0</v>
      </c>
      <c r="Q245" s="24">
        <v>32000</v>
      </c>
      <c r="R245" s="21" t="s">
        <v>436</v>
      </c>
      <c r="S245" s="21" t="s">
        <v>437</v>
      </c>
      <c r="T245" s="21" t="s">
        <v>17</v>
      </c>
      <c r="U245" s="21" t="s">
        <v>438</v>
      </c>
      <c r="V245" s="21" t="s">
        <v>17</v>
      </c>
      <c r="W245" s="21" t="s">
        <v>439</v>
      </c>
      <c r="X245" s="21" t="s">
        <v>439</v>
      </c>
    </row>
    <row r="246" spans="1:24" ht="10.5" hidden="1" customHeight="1" x14ac:dyDescent="0.25">
      <c r="A246" s="20">
        <v>46031</v>
      </c>
      <c r="B246" s="21" t="str">
        <f t="shared" si="3"/>
        <v>09/01/2026NL300041</v>
      </c>
      <c r="C246" s="22" t="s">
        <v>489</v>
      </c>
      <c r="D246" s="22" t="s">
        <v>17</v>
      </c>
      <c r="E246" s="22" t="s">
        <v>431</v>
      </c>
      <c r="F246" s="21" t="s">
        <v>432</v>
      </c>
      <c r="G246" s="21" t="s">
        <v>433</v>
      </c>
      <c r="H246" s="21" t="s">
        <v>490</v>
      </c>
      <c r="I246" s="21" t="s">
        <v>222</v>
      </c>
      <c r="J246" s="21" t="s">
        <v>449</v>
      </c>
      <c r="K246" s="21" t="s">
        <v>450</v>
      </c>
      <c r="L246" s="23">
        <v>9</v>
      </c>
      <c r="M246" s="24">
        <v>15000</v>
      </c>
      <c r="N246" s="24">
        <v>0</v>
      </c>
      <c r="O246" s="25">
        <v>135000</v>
      </c>
      <c r="P246" s="25">
        <v>0</v>
      </c>
      <c r="Q246" s="24">
        <v>15000</v>
      </c>
      <c r="R246" s="21" t="s">
        <v>436</v>
      </c>
      <c r="S246" s="21" t="s">
        <v>437</v>
      </c>
      <c r="T246" s="21" t="s">
        <v>17</v>
      </c>
      <c r="U246" s="21" t="s">
        <v>438</v>
      </c>
      <c r="V246" s="21" t="s">
        <v>17</v>
      </c>
      <c r="W246" s="21" t="s">
        <v>439</v>
      </c>
      <c r="X246" s="21" t="s">
        <v>439</v>
      </c>
    </row>
    <row r="247" spans="1:24" ht="10.5" hidden="1" customHeight="1" x14ac:dyDescent="0.25">
      <c r="A247" s="20">
        <v>46031</v>
      </c>
      <c r="B247" s="21" t="str">
        <f t="shared" si="3"/>
        <v>09/01/2026NL300054</v>
      </c>
      <c r="C247" s="22" t="s">
        <v>489</v>
      </c>
      <c r="D247" s="22" t="s">
        <v>17</v>
      </c>
      <c r="E247" s="22" t="s">
        <v>431</v>
      </c>
      <c r="F247" s="21" t="s">
        <v>432</v>
      </c>
      <c r="G247" s="21" t="s">
        <v>433</v>
      </c>
      <c r="H247" s="21" t="s">
        <v>490</v>
      </c>
      <c r="I247" s="21" t="s">
        <v>216</v>
      </c>
      <c r="J247" s="21" t="s">
        <v>451</v>
      </c>
      <c r="K247" s="21" t="s">
        <v>442</v>
      </c>
      <c r="L247" s="23">
        <v>1</v>
      </c>
      <c r="M247" s="24">
        <v>38000</v>
      </c>
      <c r="N247" s="24">
        <v>0</v>
      </c>
      <c r="O247" s="25">
        <v>38000</v>
      </c>
      <c r="P247" s="25">
        <v>0</v>
      </c>
      <c r="Q247" s="24">
        <v>38000</v>
      </c>
      <c r="R247" s="21" t="s">
        <v>436</v>
      </c>
      <c r="S247" s="21" t="s">
        <v>437</v>
      </c>
      <c r="T247" s="21" t="s">
        <v>17</v>
      </c>
      <c r="U247" s="21" t="s">
        <v>438</v>
      </c>
      <c r="V247" s="21" t="s">
        <v>17</v>
      </c>
      <c r="W247" s="21" t="s">
        <v>439</v>
      </c>
      <c r="X247" s="21" t="s">
        <v>439</v>
      </c>
    </row>
    <row r="248" spans="1:24" ht="10.5" hidden="1" customHeight="1" x14ac:dyDescent="0.25">
      <c r="A248" s="20">
        <v>46031</v>
      </c>
      <c r="B248" s="21" t="str">
        <f t="shared" si="3"/>
        <v>09/01/2026NL300055</v>
      </c>
      <c r="C248" s="22" t="s">
        <v>489</v>
      </c>
      <c r="D248" s="22" t="s">
        <v>17</v>
      </c>
      <c r="E248" s="22" t="s">
        <v>431</v>
      </c>
      <c r="F248" s="21" t="s">
        <v>432</v>
      </c>
      <c r="G248" s="21" t="s">
        <v>433</v>
      </c>
      <c r="H248" s="21" t="s">
        <v>490</v>
      </c>
      <c r="I248" s="21" t="s">
        <v>230</v>
      </c>
      <c r="J248" s="21" t="s">
        <v>452</v>
      </c>
      <c r="K248" s="21" t="s">
        <v>442</v>
      </c>
      <c r="L248" s="23">
        <v>0.2</v>
      </c>
      <c r="M248" s="24">
        <v>80000</v>
      </c>
      <c r="N248" s="24">
        <v>0</v>
      </c>
      <c r="O248" s="25">
        <v>16000</v>
      </c>
      <c r="P248" s="25">
        <v>0</v>
      </c>
      <c r="Q248" s="24">
        <v>80000</v>
      </c>
      <c r="R248" s="21" t="s">
        <v>436</v>
      </c>
      <c r="S248" s="21" t="s">
        <v>437</v>
      </c>
      <c r="T248" s="21" t="s">
        <v>17</v>
      </c>
      <c r="U248" s="21" t="s">
        <v>438</v>
      </c>
      <c r="V248" s="21" t="s">
        <v>17</v>
      </c>
      <c r="W248" s="21" t="s">
        <v>439</v>
      </c>
      <c r="X248" s="21" t="s">
        <v>439</v>
      </c>
    </row>
    <row r="249" spans="1:24" ht="10.5" hidden="1" customHeight="1" x14ac:dyDescent="0.25">
      <c r="A249" s="20">
        <v>46031</v>
      </c>
      <c r="B249" s="21" t="str">
        <f t="shared" si="3"/>
        <v>09/01/2026NL300058</v>
      </c>
      <c r="C249" s="22" t="s">
        <v>489</v>
      </c>
      <c r="D249" s="22" t="s">
        <v>17</v>
      </c>
      <c r="E249" s="22" t="s">
        <v>431</v>
      </c>
      <c r="F249" s="21" t="s">
        <v>432</v>
      </c>
      <c r="G249" s="21" t="s">
        <v>433</v>
      </c>
      <c r="H249" s="21" t="s">
        <v>490</v>
      </c>
      <c r="I249" s="21" t="s">
        <v>228</v>
      </c>
      <c r="J249" s="21" t="s">
        <v>39</v>
      </c>
      <c r="K249" s="21" t="s">
        <v>442</v>
      </c>
      <c r="L249" s="23">
        <v>1.2</v>
      </c>
      <c r="M249" s="24">
        <v>55000</v>
      </c>
      <c r="N249" s="24">
        <v>0</v>
      </c>
      <c r="O249" s="25">
        <v>66000</v>
      </c>
      <c r="P249" s="25">
        <v>0</v>
      </c>
      <c r="Q249" s="24">
        <v>55000</v>
      </c>
      <c r="R249" s="21" t="s">
        <v>436</v>
      </c>
      <c r="S249" s="21" t="s">
        <v>437</v>
      </c>
      <c r="T249" s="21" t="s">
        <v>17</v>
      </c>
      <c r="U249" s="21" t="s">
        <v>438</v>
      </c>
      <c r="V249" s="21" t="s">
        <v>17</v>
      </c>
      <c r="W249" s="21" t="s">
        <v>439</v>
      </c>
      <c r="X249" s="21" t="s">
        <v>439</v>
      </c>
    </row>
    <row r="250" spans="1:24" ht="10.5" hidden="1" customHeight="1" x14ac:dyDescent="0.25">
      <c r="A250" s="20">
        <v>46031</v>
      </c>
      <c r="B250" s="21" t="str">
        <f t="shared" si="3"/>
        <v>09/01/2026NL300085</v>
      </c>
      <c r="C250" s="22" t="s">
        <v>489</v>
      </c>
      <c r="D250" s="22" t="s">
        <v>17</v>
      </c>
      <c r="E250" s="22" t="s">
        <v>431</v>
      </c>
      <c r="F250" s="21" t="s">
        <v>432</v>
      </c>
      <c r="G250" s="21" t="s">
        <v>433</v>
      </c>
      <c r="H250" s="21" t="s">
        <v>490</v>
      </c>
      <c r="I250" s="21" t="s">
        <v>263</v>
      </c>
      <c r="J250" s="21" t="s">
        <v>453</v>
      </c>
      <c r="K250" s="21" t="s">
        <v>442</v>
      </c>
      <c r="L250" s="23">
        <v>2</v>
      </c>
      <c r="M250" s="24">
        <v>45000</v>
      </c>
      <c r="N250" s="24">
        <v>0</v>
      </c>
      <c r="O250" s="25">
        <v>90000</v>
      </c>
      <c r="P250" s="25">
        <v>0</v>
      </c>
      <c r="Q250" s="24">
        <v>45000</v>
      </c>
      <c r="R250" s="21" t="s">
        <v>436</v>
      </c>
      <c r="S250" s="21" t="s">
        <v>437</v>
      </c>
      <c r="T250" s="21" t="s">
        <v>17</v>
      </c>
      <c r="U250" s="21" t="s">
        <v>438</v>
      </c>
      <c r="V250" s="21" t="s">
        <v>17</v>
      </c>
      <c r="W250" s="21" t="s">
        <v>439</v>
      </c>
      <c r="X250" s="21" t="s">
        <v>439</v>
      </c>
    </row>
    <row r="251" spans="1:24" ht="10.5" hidden="1" customHeight="1" x14ac:dyDescent="0.25">
      <c r="A251" s="20">
        <v>46031</v>
      </c>
      <c r="B251" s="21" t="str">
        <f t="shared" si="3"/>
        <v>09/01/2026NL300092</v>
      </c>
      <c r="C251" s="22" t="s">
        <v>489</v>
      </c>
      <c r="D251" s="22" t="s">
        <v>17</v>
      </c>
      <c r="E251" s="22" t="s">
        <v>431</v>
      </c>
      <c r="F251" s="21" t="s">
        <v>432</v>
      </c>
      <c r="G251" s="21" t="s">
        <v>433</v>
      </c>
      <c r="H251" s="21" t="s">
        <v>490</v>
      </c>
      <c r="I251" s="21" t="s">
        <v>329</v>
      </c>
      <c r="J251" s="21" t="s">
        <v>74</v>
      </c>
      <c r="K251" s="21" t="s">
        <v>442</v>
      </c>
      <c r="L251" s="23">
        <v>0.8</v>
      </c>
      <c r="M251" s="24">
        <v>90000</v>
      </c>
      <c r="N251" s="24">
        <v>0</v>
      </c>
      <c r="O251" s="25">
        <v>72000</v>
      </c>
      <c r="P251" s="25">
        <v>0</v>
      </c>
      <c r="Q251" s="24">
        <v>90000</v>
      </c>
      <c r="R251" s="21" t="s">
        <v>436</v>
      </c>
      <c r="S251" s="21" t="s">
        <v>437</v>
      </c>
      <c r="T251" s="21" t="s">
        <v>17</v>
      </c>
      <c r="U251" s="21" t="s">
        <v>438</v>
      </c>
      <c r="V251" s="21" t="s">
        <v>17</v>
      </c>
      <c r="W251" s="21" t="s">
        <v>439</v>
      </c>
      <c r="X251" s="21" t="s">
        <v>439</v>
      </c>
    </row>
    <row r="252" spans="1:24" ht="10.5" hidden="1" customHeight="1" x14ac:dyDescent="0.25">
      <c r="A252" s="20">
        <v>46031</v>
      </c>
      <c r="B252" s="21" t="str">
        <f t="shared" si="3"/>
        <v>09/01/2026NL300101</v>
      </c>
      <c r="C252" s="22" t="s">
        <v>489</v>
      </c>
      <c r="D252" s="22" t="s">
        <v>17</v>
      </c>
      <c r="E252" s="22" t="s">
        <v>431</v>
      </c>
      <c r="F252" s="21" t="s">
        <v>432</v>
      </c>
      <c r="G252" s="21" t="s">
        <v>433</v>
      </c>
      <c r="H252" s="21" t="s">
        <v>490</v>
      </c>
      <c r="I252" s="21" t="s">
        <v>343</v>
      </c>
      <c r="J252" s="21" t="s">
        <v>480</v>
      </c>
      <c r="K252" s="21" t="s">
        <v>442</v>
      </c>
      <c r="L252" s="23">
        <v>0.4</v>
      </c>
      <c r="M252" s="24">
        <v>195000</v>
      </c>
      <c r="N252" s="24">
        <v>0</v>
      </c>
      <c r="O252" s="25">
        <v>78000</v>
      </c>
      <c r="P252" s="25">
        <v>0</v>
      </c>
      <c r="Q252" s="24">
        <v>195000</v>
      </c>
      <c r="R252" s="21" t="s">
        <v>436</v>
      </c>
      <c r="S252" s="21" t="s">
        <v>437</v>
      </c>
      <c r="T252" s="21" t="s">
        <v>17</v>
      </c>
      <c r="U252" s="21" t="s">
        <v>438</v>
      </c>
      <c r="V252" s="21" t="s">
        <v>17</v>
      </c>
      <c r="W252" s="21" t="s">
        <v>439</v>
      </c>
      <c r="X252" s="21" t="s">
        <v>439</v>
      </c>
    </row>
    <row r="253" spans="1:24" ht="10.5" hidden="1" customHeight="1" x14ac:dyDescent="0.25">
      <c r="A253" s="20">
        <v>46031</v>
      </c>
      <c r="B253" s="21" t="str">
        <f t="shared" si="3"/>
        <v>09/01/2026NL300116</v>
      </c>
      <c r="C253" s="22" t="s">
        <v>489</v>
      </c>
      <c r="D253" s="22" t="s">
        <v>17</v>
      </c>
      <c r="E253" s="22" t="s">
        <v>431</v>
      </c>
      <c r="F253" s="21" t="s">
        <v>432</v>
      </c>
      <c r="G253" s="21" t="s">
        <v>433</v>
      </c>
      <c r="H253" s="21" t="s">
        <v>490</v>
      </c>
      <c r="I253" s="21" t="s">
        <v>315</v>
      </c>
      <c r="J253" s="21" t="s">
        <v>456</v>
      </c>
      <c r="K253" s="21" t="s">
        <v>442</v>
      </c>
      <c r="L253" s="23">
        <v>0.2</v>
      </c>
      <c r="M253" s="24">
        <v>148000</v>
      </c>
      <c r="N253" s="24">
        <v>0</v>
      </c>
      <c r="O253" s="25">
        <v>29600</v>
      </c>
      <c r="P253" s="25">
        <v>0</v>
      </c>
      <c r="Q253" s="24">
        <v>148000</v>
      </c>
      <c r="R253" s="21" t="s">
        <v>436</v>
      </c>
      <c r="S253" s="21" t="s">
        <v>437</v>
      </c>
      <c r="T253" s="21" t="s">
        <v>17</v>
      </c>
      <c r="U253" s="21" t="s">
        <v>438</v>
      </c>
      <c r="V253" s="21" t="s">
        <v>17</v>
      </c>
      <c r="W253" s="21" t="s">
        <v>439</v>
      </c>
      <c r="X253" s="21" t="s">
        <v>439</v>
      </c>
    </row>
    <row r="254" spans="1:24" ht="10.5" hidden="1" customHeight="1" x14ac:dyDescent="0.25">
      <c r="A254" s="20">
        <v>46031</v>
      </c>
      <c r="B254" s="21" t="str">
        <f t="shared" si="3"/>
        <v>09/01/2026NL300137</v>
      </c>
      <c r="C254" s="22" t="s">
        <v>489</v>
      </c>
      <c r="D254" s="22" t="s">
        <v>17</v>
      </c>
      <c r="E254" s="22" t="s">
        <v>431</v>
      </c>
      <c r="F254" s="21" t="s">
        <v>432</v>
      </c>
      <c r="G254" s="21" t="s">
        <v>433</v>
      </c>
      <c r="H254" s="21" t="s">
        <v>490</v>
      </c>
      <c r="I254" s="21" t="s">
        <v>196</v>
      </c>
      <c r="J254" s="21" t="s">
        <v>458</v>
      </c>
      <c r="K254" s="21" t="s">
        <v>442</v>
      </c>
      <c r="L254" s="23">
        <v>1.7</v>
      </c>
      <c r="M254" s="24">
        <v>52000</v>
      </c>
      <c r="N254" s="24">
        <v>0</v>
      </c>
      <c r="O254" s="25">
        <v>88400</v>
      </c>
      <c r="P254" s="25">
        <v>0</v>
      </c>
      <c r="Q254" s="24">
        <v>52000</v>
      </c>
      <c r="R254" s="21" t="s">
        <v>436</v>
      </c>
      <c r="S254" s="21" t="s">
        <v>437</v>
      </c>
      <c r="T254" s="21" t="s">
        <v>17</v>
      </c>
      <c r="U254" s="21" t="s">
        <v>438</v>
      </c>
      <c r="V254" s="21" t="s">
        <v>17</v>
      </c>
      <c r="W254" s="21" t="s">
        <v>439</v>
      </c>
      <c r="X254" s="21" t="s">
        <v>439</v>
      </c>
    </row>
    <row r="255" spans="1:24" ht="10.5" hidden="1" customHeight="1" x14ac:dyDescent="0.25">
      <c r="A255" s="20">
        <v>46031</v>
      </c>
      <c r="B255" s="21" t="str">
        <f t="shared" si="3"/>
        <v>09/01/2026NL300147</v>
      </c>
      <c r="C255" s="22" t="s">
        <v>489</v>
      </c>
      <c r="D255" s="22" t="s">
        <v>17</v>
      </c>
      <c r="E255" s="22" t="s">
        <v>431</v>
      </c>
      <c r="F255" s="21" t="s">
        <v>432</v>
      </c>
      <c r="G255" s="21" t="s">
        <v>433</v>
      </c>
      <c r="H255" s="21" t="s">
        <v>490</v>
      </c>
      <c r="I255" s="21" t="s">
        <v>300</v>
      </c>
      <c r="J255" s="21" t="s">
        <v>459</v>
      </c>
      <c r="K255" s="21" t="s">
        <v>442</v>
      </c>
      <c r="L255" s="23">
        <v>1.2</v>
      </c>
      <c r="M255" s="24">
        <v>62000</v>
      </c>
      <c r="N255" s="24">
        <v>0</v>
      </c>
      <c r="O255" s="25">
        <v>74400</v>
      </c>
      <c r="P255" s="25">
        <v>0</v>
      </c>
      <c r="Q255" s="24">
        <v>62000</v>
      </c>
      <c r="R255" s="21" t="s">
        <v>436</v>
      </c>
      <c r="S255" s="21" t="s">
        <v>437</v>
      </c>
      <c r="T255" s="21" t="s">
        <v>17</v>
      </c>
      <c r="U255" s="21" t="s">
        <v>438</v>
      </c>
      <c r="V255" s="21" t="s">
        <v>17</v>
      </c>
      <c r="W255" s="21" t="s">
        <v>439</v>
      </c>
      <c r="X255" s="21" t="s">
        <v>439</v>
      </c>
    </row>
    <row r="256" spans="1:24" ht="10.5" hidden="1" customHeight="1" x14ac:dyDescent="0.25">
      <c r="A256" s="20">
        <v>46031</v>
      </c>
      <c r="B256" s="21" t="str">
        <f t="shared" si="3"/>
        <v>09/01/2026NL300189</v>
      </c>
      <c r="C256" s="22" t="s">
        <v>489</v>
      </c>
      <c r="D256" s="22" t="s">
        <v>17</v>
      </c>
      <c r="E256" s="22" t="s">
        <v>431</v>
      </c>
      <c r="F256" s="21" t="s">
        <v>432</v>
      </c>
      <c r="G256" s="21" t="s">
        <v>433</v>
      </c>
      <c r="H256" s="21" t="s">
        <v>490</v>
      </c>
      <c r="I256" s="21" t="s">
        <v>378</v>
      </c>
      <c r="J256" s="21" t="s">
        <v>19</v>
      </c>
      <c r="K256" s="21" t="s">
        <v>442</v>
      </c>
      <c r="L256" s="23">
        <v>3</v>
      </c>
      <c r="M256" s="24">
        <v>15000</v>
      </c>
      <c r="N256" s="24">
        <v>0</v>
      </c>
      <c r="O256" s="25">
        <v>45000</v>
      </c>
      <c r="P256" s="25">
        <v>0</v>
      </c>
      <c r="Q256" s="24">
        <v>15000</v>
      </c>
      <c r="R256" s="21" t="s">
        <v>436</v>
      </c>
      <c r="S256" s="21" t="s">
        <v>437</v>
      </c>
      <c r="T256" s="21" t="s">
        <v>17</v>
      </c>
      <c r="U256" s="21" t="s">
        <v>438</v>
      </c>
      <c r="V256" s="21" t="s">
        <v>17</v>
      </c>
      <c r="W256" s="21" t="s">
        <v>439</v>
      </c>
      <c r="X256" s="21" t="s">
        <v>439</v>
      </c>
    </row>
    <row r="257" spans="1:24" ht="10.5" hidden="1" customHeight="1" x14ac:dyDescent="0.25">
      <c r="A257" s="20">
        <v>46031</v>
      </c>
      <c r="B257" s="21" t="str">
        <f t="shared" si="3"/>
        <v>09/01/2026NL100279</v>
      </c>
      <c r="C257" s="22" t="s">
        <v>489</v>
      </c>
      <c r="D257" s="22" t="s">
        <v>17</v>
      </c>
      <c r="E257" s="22" t="s">
        <v>431</v>
      </c>
      <c r="F257" s="21" t="s">
        <v>432</v>
      </c>
      <c r="G257" s="21" t="s">
        <v>433</v>
      </c>
      <c r="H257" s="21" t="s">
        <v>490</v>
      </c>
      <c r="I257" s="21" t="s">
        <v>403</v>
      </c>
      <c r="J257" s="21" t="s">
        <v>440</v>
      </c>
      <c r="K257" s="21" t="s">
        <v>108</v>
      </c>
      <c r="L257" s="23">
        <v>50</v>
      </c>
      <c r="M257" s="24">
        <v>9000</v>
      </c>
      <c r="N257" s="24">
        <v>0</v>
      </c>
      <c r="O257" s="25">
        <v>450000</v>
      </c>
      <c r="P257" s="25">
        <v>0</v>
      </c>
      <c r="Q257" s="24">
        <v>9000</v>
      </c>
      <c r="R257" s="21" t="s">
        <v>436</v>
      </c>
      <c r="S257" s="21" t="s">
        <v>437</v>
      </c>
      <c r="T257" s="21" t="s">
        <v>17</v>
      </c>
      <c r="U257" s="21" t="s">
        <v>438</v>
      </c>
      <c r="V257" s="21" t="s">
        <v>17</v>
      </c>
      <c r="W257" s="21" t="s">
        <v>439</v>
      </c>
      <c r="X257" s="21" t="s">
        <v>439</v>
      </c>
    </row>
    <row r="258" spans="1:24" ht="10.5" hidden="1" customHeight="1" x14ac:dyDescent="0.25">
      <c r="A258" s="20">
        <v>46032</v>
      </c>
      <c r="B258" s="21" t="str">
        <f>""&amp;DAY(A258)&amp;"/01/2026"&amp;I258</f>
        <v>10/01/2026NL600004</v>
      </c>
      <c r="C258" s="22" t="s">
        <v>491</v>
      </c>
      <c r="D258" s="22" t="s">
        <v>17</v>
      </c>
      <c r="E258" s="22" t="s">
        <v>431</v>
      </c>
      <c r="F258" s="21" t="s">
        <v>432</v>
      </c>
      <c r="G258" s="21" t="s">
        <v>433</v>
      </c>
      <c r="H258" s="21" t="s">
        <v>492</v>
      </c>
      <c r="I258" s="21" t="s">
        <v>225</v>
      </c>
      <c r="J258" s="21" t="s">
        <v>37</v>
      </c>
      <c r="K258" s="21" t="s">
        <v>442</v>
      </c>
      <c r="L258" s="23">
        <v>18.5</v>
      </c>
      <c r="M258" s="24">
        <v>18000</v>
      </c>
      <c r="N258" s="24">
        <v>0</v>
      </c>
      <c r="O258" s="25">
        <v>333000</v>
      </c>
      <c r="P258" s="25">
        <v>0</v>
      </c>
      <c r="Q258" s="24">
        <v>18000</v>
      </c>
      <c r="R258" s="21" t="s">
        <v>436</v>
      </c>
      <c r="S258" s="21" t="s">
        <v>437</v>
      </c>
      <c r="T258" s="21" t="s">
        <v>17</v>
      </c>
      <c r="U258" s="21" t="s">
        <v>438</v>
      </c>
      <c r="V258" s="21" t="s">
        <v>17</v>
      </c>
      <c r="W258" s="21" t="s">
        <v>439</v>
      </c>
      <c r="X258" s="21" t="s">
        <v>439</v>
      </c>
    </row>
    <row r="259" spans="1:24" ht="10.5" hidden="1" customHeight="1" x14ac:dyDescent="0.25">
      <c r="A259" s="20">
        <v>46032</v>
      </c>
      <c r="B259" s="21" t="str">
        <f t="shared" ref="B259:B322" si="4">""&amp;DAY(A259)&amp;"/01/2026"&amp;I259</f>
        <v>10/01/2026NL600068</v>
      </c>
      <c r="C259" s="22" t="s">
        <v>491</v>
      </c>
      <c r="D259" s="22" t="s">
        <v>17</v>
      </c>
      <c r="E259" s="22" t="s">
        <v>431</v>
      </c>
      <c r="F259" s="21" t="s">
        <v>432</v>
      </c>
      <c r="G259" s="21" t="s">
        <v>433</v>
      </c>
      <c r="H259" s="21" t="s">
        <v>492</v>
      </c>
      <c r="I259" s="21" t="s">
        <v>377</v>
      </c>
      <c r="J259" s="21" t="s">
        <v>94</v>
      </c>
      <c r="K259" s="21" t="s">
        <v>442</v>
      </c>
      <c r="L259" s="23">
        <v>0.3</v>
      </c>
      <c r="M259" s="24">
        <v>95000</v>
      </c>
      <c r="N259" s="24">
        <v>0</v>
      </c>
      <c r="O259" s="25">
        <v>28500</v>
      </c>
      <c r="P259" s="25">
        <v>0</v>
      </c>
      <c r="Q259" s="24">
        <v>95000</v>
      </c>
      <c r="R259" s="21" t="s">
        <v>436</v>
      </c>
      <c r="S259" s="21" t="s">
        <v>437</v>
      </c>
      <c r="T259" s="21" t="s">
        <v>17</v>
      </c>
      <c r="U259" s="21" t="s">
        <v>438</v>
      </c>
      <c r="V259" s="21" t="s">
        <v>17</v>
      </c>
      <c r="W259" s="21" t="s">
        <v>439</v>
      </c>
      <c r="X259" s="21" t="s">
        <v>439</v>
      </c>
    </row>
    <row r="260" spans="1:24" ht="10.5" hidden="1" customHeight="1" x14ac:dyDescent="0.25">
      <c r="A260" s="20">
        <v>46032</v>
      </c>
      <c r="B260" s="21" t="str">
        <f t="shared" si="4"/>
        <v>10/01/2026NL300131</v>
      </c>
      <c r="C260" s="22" t="s">
        <v>491</v>
      </c>
      <c r="D260" s="22" t="s">
        <v>17</v>
      </c>
      <c r="E260" s="22" t="s">
        <v>431</v>
      </c>
      <c r="F260" s="21" t="s">
        <v>432</v>
      </c>
      <c r="G260" s="21" t="s">
        <v>433</v>
      </c>
      <c r="H260" s="21" t="s">
        <v>492</v>
      </c>
      <c r="I260" s="21" t="s">
        <v>340</v>
      </c>
      <c r="J260" s="21" t="s">
        <v>88</v>
      </c>
      <c r="K260" s="21" t="s">
        <v>442</v>
      </c>
      <c r="L260" s="23">
        <v>0.3</v>
      </c>
      <c r="M260" s="24">
        <v>220000</v>
      </c>
      <c r="N260" s="24">
        <v>0</v>
      </c>
      <c r="O260" s="25">
        <v>66000</v>
      </c>
      <c r="P260" s="25">
        <v>0</v>
      </c>
      <c r="Q260" s="24">
        <v>220000</v>
      </c>
      <c r="R260" s="21" t="s">
        <v>436</v>
      </c>
      <c r="S260" s="21" t="s">
        <v>437</v>
      </c>
      <c r="T260" s="21" t="s">
        <v>17</v>
      </c>
      <c r="U260" s="21" t="s">
        <v>438</v>
      </c>
      <c r="V260" s="21" t="s">
        <v>17</v>
      </c>
      <c r="W260" s="21" t="s">
        <v>439</v>
      </c>
      <c r="X260" s="21" t="s">
        <v>439</v>
      </c>
    </row>
    <row r="261" spans="1:24" ht="10.5" hidden="1" customHeight="1" x14ac:dyDescent="0.25">
      <c r="A261" s="20">
        <v>46032</v>
      </c>
      <c r="B261" s="21" t="str">
        <f t="shared" si="4"/>
        <v>10/01/2026NL300030</v>
      </c>
      <c r="C261" s="22" t="s">
        <v>491</v>
      </c>
      <c r="D261" s="22" t="s">
        <v>17</v>
      </c>
      <c r="E261" s="22" t="s">
        <v>431</v>
      </c>
      <c r="F261" s="21" t="s">
        <v>432</v>
      </c>
      <c r="G261" s="21" t="s">
        <v>433</v>
      </c>
      <c r="H261" s="21" t="s">
        <v>492</v>
      </c>
      <c r="I261" s="21" t="s">
        <v>313</v>
      </c>
      <c r="J261" s="21" t="s">
        <v>470</v>
      </c>
      <c r="K261" s="21" t="s">
        <v>442</v>
      </c>
      <c r="L261" s="23">
        <v>1.2</v>
      </c>
      <c r="M261" s="24">
        <v>34000</v>
      </c>
      <c r="N261" s="24">
        <v>0</v>
      </c>
      <c r="O261" s="25">
        <v>40800</v>
      </c>
      <c r="P261" s="25">
        <v>0</v>
      </c>
      <c r="Q261" s="24">
        <v>34000</v>
      </c>
      <c r="R261" s="21" t="s">
        <v>436</v>
      </c>
      <c r="S261" s="21" t="s">
        <v>437</v>
      </c>
      <c r="T261" s="21" t="s">
        <v>17</v>
      </c>
      <c r="U261" s="21" t="s">
        <v>438</v>
      </c>
      <c r="V261" s="21" t="s">
        <v>17</v>
      </c>
      <c r="W261" s="21" t="s">
        <v>439</v>
      </c>
      <c r="X261" s="21" t="s">
        <v>439</v>
      </c>
    </row>
    <row r="262" spans="1:24" ht="10.5" hidden="1" customHeight="1" x14ac:dyDescent="0.25">
      <c r="A262" s="20">
        <v>46032</v>
      </c>
      <c r="B262" s="21" t="str">
        <f t="shared" si="4"/>
        <v>10/01/2026NL300062</v>
      </c>
      <c r="C262" s="22" t="s">
        <v>491</v>
      </c>
      <c r="D262" s="22" t="s">
        <v>17</v>
      </c>
      <c r="E262" s="22" t="s">
        <v>431</v>
      </c>
      <c r="F262" s="21" t="s">
        <v>432</v>
      </c>
      <c r="G262" s="21" t="s">
        <v>433</v>
      </c>
      <c r="H262" s="21" t="s">
        <v>492</v>
      </c>
      <c r="I262" s="21" t="s">
        <v>236</v>
      </c>
      <c r="J262" s="21" t="s">
        <v>482</v>
      </c>
      <c r="K262" s="21" t="s">
        <v>442</v>
      </c>
      <c r="L262" s="23">
        <v>0.1</v>
      </c>
      <c r="M262" s="24">
        <v>65000</v>
      </c>
      <c r="N262" s="24">
        <v>0</v>
      </c>
      <c r="O262" s="25">
        <v>6500</v>
      </c>
      <c r="P262" s="25">
        <v>0</v>
      </c>
      <c r="Q262" s="24">
        <v>65000</v>
      </c>
      <c r="R262" s="21" t="s">
        <v>436</v>
      </c>
      <c r="S262" s="21" t="s">
        <v>437</v>
      </c>
      <c r="T262" s="21" t="s">
        <v>17</v>
      </c>
      <c r="U262" s="21" t="s">
        <v>438</v>
      </c>
      <c r="V262" s="21" t="s">
        <v>17</v>
      </c>
      <c r="W262" s="21" t="s">
        <v>439</v>
      </c>
      <c r="X262" s="21" t="s">
        <v>439</v>
      </c>
    </row>
    <row r="263" spans="1:24" ht="10.5" hidden="1" customHeight="1" x14ac:dyDescent="0.25">
      <c r="A263" s="20">
        <v>46032</v>
      </c>
      <c r="B263" s="21" t="str">
        <f t="shared" si="4"/>
        <v>10/01/2026NL300125</v>
      </c>
      <c r="C263" s="22" t="s">
        <v>491</v>
      </c>
      <c r="D263" s="22" t="s">
        <v>17</v>
      </c>
      <c r="E263" s="22" t="s">
        <v>431</v>
      </c>
      <c r="F263" s="21" t="s">
        <v>432</v>
      </c>
      <c r="G263" s="21" t="s">
        <v>433</v>
      </c>
      <c r="H263" s="21" t="s">
        <v>492</v>
      </c>
      <c r="I263" s="21" t="s">
        <v>337</v>
      </c>
      <c r="J263" s="21" t="s">
        <v>146</v>
      </c>
      <c r="K263" s="21" t="s">
        <v>442</v>
      </c>
      <c r="L263" s="23">
        <v>0.5</v>
      </c>
      <c r="M263" s="24">
        <v>42000</v>
      </c>
      <c r="N263" s="24">
        <v>0</v>
      </c>
      <c r="O263" s="25">
        <v>21000</v>
      </c>
      <c r="P263" s="25">
        <v>0</v>
      </c>
      <c r="Q263" s="24">
        <v>42000</v>
      </c>
      <c r="R263" s="21" t="s">
        <v>436</v>
      </c>
      <c r="S263" s="21" t="s">
        <v>437</v>
      </c>
      <c r="T263" s="21" t="s">
        <v>17</v>
      </c>
      <c r="U263" s="21" t="s">
        <v>438</v>
      </c>
      <c r="V263" s="21" t="s">
        <v>17</v>
      </c>
      <c r="W263" s="21" t="s">
        <v>439</v>
      </c>
      <c r="X263" s="21" t="s">
        <v>439</v>
      </c>
    </row>
    <row r="264" spans="1:24" ht="10.5" hidden="1" customHeight="1" x14ac:dyDescent="0.25">
      <c r="A264" s="20">
        <v>46032</v>
      </c>
      <c r="B264" s="21" t="str">
        <f t="shared" si="4"/>
        <v>10/01/2026NL600067</v>
      </c>
      <c r="C264" s="22" t="s">
        <v>491</v>
      </c>
      <c r="D264" s="22" t="s">
        <v>17</v>
      </c>
      <c r="E264" s="22" t="s">
        <v>431</v>
      </c>
      <c r="F264" s="21" t="s">
        <v>432</v>
      </c>
      <c r="G264" s="21" t="s">
        <v>433</v>
      </c>
      <c r="H264" s="21" t="s">
        <v>492</v>
      </c>
      <c r="I264" s="21" t="s">
        <v>376</v>
      </c>
      <c r="J264" s="21" t="s">
        <v>60</v>
      </c>
      <c r="K264" s="21" t="s">
        <v>442</v>
      </c>
      <c r="L264" s="23">
        <v>0.8</v>
      </c>
      <c r="M264" s="24">
        <v>75000</v>
      </c>
      <c r="N264" s="24">
        <v>0</v>
      </c>
      <c r="O264" s="25">
        <v>60000</v>
      </c>
      <c r="P264" s="25">
        <v>0</v>
      </c>
      <c r="Q264" s="24">
        <v>75000</v>
      </c>
      <c r="R264" s="21" t="s">
        <v>436</v>
      </c>
      <c r="S264" s="21" t="s">
        <v>437</v>
      </c>
      <c r="T264" s="21" t="s">
        <v>17</v>
      </c>
      <c r="U264" s="21" t="s">
        <v>438</v>
      </c>
      <c r="V264" s="21" t="s">
        <v>17</v>
      </c>
      <c r="W264" s="21" t="s">
        <v>439</v>
      </c>
      <c r="X264" s="21" t="s">
        <v>439</v>
      </c>
    </row>
    <row r="265" spans="1:24" ht="10.5" hidden="1" customHeight="1" x14ac:dyDescent="0.25">
      <c r="A265" s="20">
        <v>46032</v>
      </c>
      <c r="B265" s="21" t="str">
        <f t="shared" si="4"/>
        <v>10/01/2026NL300184</v>
      </c>
      <c r="C265" s="22" t="s">
        <v>491</v>
      </c>
      <c r="D265" s="22" t="s">
        <v>17</v>
      </c>
      <c r="E265" s="22" t="s">
        <v>431</v>
      </c>
      <c r="F265" s="21" t="s">
        <v>432</v>
      </c>
      <c r="G265" s="21" t="s">
        <v>433</v>
      </c>
      <c r="H265" s="21" t="s">
        <v>492</v>
      </c>
      <c r="I265" s="21" t="s">
        <v>368</v>
      </c>
      <c r="J265" s="21" t="s">
        <v>462</v>
      </c>
      <c r="K265" s="21" t="s">
        <v>442</v>
      </c>
      <c r="L265" s="23">
        <v>0.3</v>
      </c>
      <c r="M265" s="24">
        <v>18000</v>
      </c>
      <c r="N265" s="24">
        <v>0</v>
      </c>
      <c r="O265" s="25">
        <v>5400</v>
      </c>
      <c r="P265" s="25">
        <v>0</v>
      </c>
      <c r="Q265" s="24">
        <v>18000</v>
      </c>
      <c r="R265" s="21" t="s">
        <v>436</v>
      </c>
      <c r="S265" s="21" t="s">
        <v>437</v>
      </c>
      <c r="T265" s="21" t="s">
        <v>17</v>
      </c>
      <c r="U265" s="21" t="s">
        <v>438</v>
      </c>
      <c r="V265" s="21" t="s">
        <v>17</v>
      </c>
      <c r="W265" s="21" t="s">
        <v>439</v>
      </c>
      <c r="X265" s="21" t="s">
        <v>439</v>
      </c>
    </row>
    <row r="266" spans="1:24" ht="10.5" hidden="1" customHeight="1" x14ac:dyDescent="0.25">
      <c r="A266" s="20">
        <v>46032</v>
      </c>
      <c r="B266" s="21" t="str">
        <f t="shared" si="4"/>
        <v>10/01/2026NL100101</v>
      </c>
      <c r="C266" s="22" t="s">
        <v>491</v>
      </c>
      <c r="D266" s="22" t="s">
        <v>17</v>
      </c>
      <c r="E266" s="22" t="s">
        <v>431</v>
      </c>
      <c r="F266" s="21" t="s">
        <v>432</v>
      </c>
      <c r="G266" s="21" t="s">
        <v>433</v>
      </c>
      <c r="H266" s="21" t="s">
        <v>492</v>
      </c>
      <c r="I266" s="21" t="s">
        <v>344</v>
      </c>
      <c r="J266" s="21" t="s">
        <v>107</v>
      </c>
      <c r="K266" s="21" t="s">
        <v>435</v>
      </c>
      <c r="L266" s="23">
        <v>47</v>
      </c>
      <c r="M266" s="24">
        <v>5000</v>
      </c>
      <c r="N266" s="24">
        <v>0</v>
      </c>
      <c r="O266" s="25">
        <v>235000</v>
      </c>
      <c r="P266" s="25">
        <v>0</v>
      </c>
      <c r="Q266" s="24">
        <v>5000</v>
      </c>
      <c r="R266" s="21" t="s">
        <v>436</v>
      </c>
      <c r="S266" s="21" t="s">
        <v>437</v>
      </c>
      <c r="T266" s="21" t="s">
        <v>17</v>
      </c>
      <c r="U266" s="21" t="s">
        <v>438</v>
      </c>
      <c r="V266" s="21" t="s">
        <v>17</v>
      </c>
      <c r="W266" s="21" t="s">
        <v>439</v>
      </c>
      <c r="X266" s="21" t="s">
        <v>439</v>
      </c>
    </row>
    <row r="267" spans="1:24" ht="10.5" hidden="1" customHeight="1" x14ac:dyDescent="0.25">
      <c r="A267" s="20">
        <v>46032</v>
      </c>
      <c r="B267" s="21" t="str">
        <f t="shared" si="4"/>
        <v>10/01/2026NL300097</v>
      </c>
      <c r="C267" s="22" t="s">
        <v>491</v>
      </c>
      <c r="D267" s="22" t="s">
        <v>17</v>
      </c>
      <c r="E267" s="22" t="s">
        <v>431</v>
      </c>
      <c r="F267" s="21" t="s">
        <v>432</v>
      </c>
      <c r="G267" s="21" t="s">
        <v>433</v>
      </c>
      <c r="H267" s="21" t="s">
        <v>492</v>
      </c>
      <c r="I267" s="21" t="s">
        <v>331</v>
      </c>
      <c r="J267" s="21" t="s">
        <v>443</v>
      </c>
      <c r="K267" s="21" t="s">
        <v>442</v>
      </c>
      <c r="L267" s="23">
        <v>0.5</v>
      </c>
      <c r="M267" s="24">
        <v>90000</v>
      </c>
      <c r="N267" s="24">
        <v>0</v>
      </c>
      <c r="O267" s="25">
        <v>45000</v>
      </c>
      <c r="P267" s="25">
        <v>0</v>
      </c>
      <c r="Q267" s="24">
        <v>90000</v>
      </c>
      <c r="R267" s="21" t="s">
        <v>436</v>
      </c>
      <c r="S267" s="21" t="s">
        <v>437</v>
      </c>
      <c r="T267" s="21" t="s">
        <v>17</v>
      </c>
      <c r="U267" s="21" t="s">
        <v>438</v>
      </c>
      <c r="V267" s="21" t="s">
        <v>17</v>
      </c>
      <c r="W267" s="21" t="s">
        <v>439</v>
      </c>
      <c r="X267" s="21" t="s">
        <v>439</v>
      </c>
    </row>
    <row r="268" spans="1:24" ht="10.5" hidden="1" customHeight="1" x14ac:dyDescent="0.25">
      <c r="A268" s="20">
        <v>46032</v>
      </c>
      <c r="B268" s="21" t="str">
        <f t="shared" si="4"/>
        <v>10/01/2026NL300007</v>
      </c>
      <c r="C268" s="22" t="s">
        <v>491</v>
      </c>
      <c r="D268" s="22" t="s">
        <v>17</v>
      </c>
      <c r="E268" s="22" t="s">
        <v>431</v>
      </c>
      <c r="F268" s="21" t="s">
        <v>432</v>
      </c>
      <c r="G268" s="21" t="s">
        <v>433</v>
      </c>
      <c r="H268" s="21" t="s">
        <v>492</v>
      </c>
      <c r="I268" s="21" t="s">
        <v>309</v>
      </c>
      <c r="J268" s="21" t="s">
        <v>444</v>
      </c>
      <c r="K268" s="21" t="s">
        <v>442</v>
      </c>
      <c r="L268" s="23">
        <v>4.0999999999999996</v>
      </c>
      <c r="M268" s="24">
        <v>30000</v>
      </c>
      <c r="N268" s="24">
        <v>0</v>
      </c>
      <c r="O268" s="25">
        <v>123000</v>
      </c>
      <c r="P268" s="25">
        <v>0</v>
      </c>
      <c r="Q268" s="24">
        <v>30000</v>
      </c>
      <c r="R268" s="21" t="s">
        <v>436</v>
      </c>
      <c r="S268" s="21" t="s">
        <v>437</v>
      </c>
      <c r="T268" s="21" t="s">
        <v>17</v>
      </c>
      <c r="U268" s="21" t="s">
        <v>438</v>
      </c>
      <c r="V268" s="21" t="s">
        <v>17</v>
      </c>
      <c r="W268" s="21" t="s">
        <v>439</v>
      </c>
      <c r="X268" s="21" t="s">
        <v>439</v>
      </c>
    </row>
    <row r="269" spans="1:24" ht="10.5" hidden="1" customHeight="1" x14ac:dyDescent="0.25">
      <c r="A269" s="20">
        <v>46032</v>
      </c>
      <c r="B269" s="21" t="str">
        <f t="shared" si="4"/>
        <v>10/01/2026NL300008</v>
      </c>
      <c r="C269" s="22" t="s">
        <v>491</v>
      </c>
      <c r="D269" s="22" t="s">
        <v>17</v>
      </c>
      <c r="E269" s="22" t="s">
        <v>431</v>
      </c>
      <c r="F269" s="21" t="s">
        <v>432</v>
      </c>
      <c r="G269" s="21" t="s">
        <v>433</v>
      </c>
      <c r="H269" s="21" t="s">
        <v>492</v>
      </c>
      <c r="I269" s="21" t="s">
        <v>320</v>
      </c>
      <c r="J269" s="21" t="s">
        <v>445</v>
      </c>
      <c r="K269" s="21" t="s">
        <v>442</v>
      </c>
      <c r="L269" s="23">
        <v>4</v>
      </c>
      <c r="M269" s="24">
        <v>40000</v>
      </c>
      <c r="N269" s="24">
        <v>0</v>
      </c>
      <c r="O269" s="25">
        <v>160000</v>
      </c>
      <c r="P269" s="25">
        <v>0</v>
      </c>
      <c r="Q269" s="24">
        <v>40000</v>
      </c>
      <c r="R269" s="21" t="s">
        <v>436</v>
      </c>
      <c r="S269" s="21" t="s">
        <v>437</v>
      </c>
      <c r="T269" s="21" t="s">
        <v>17</v>
      </c>
      <c r="U269" s="21" t="s">
        <v>438</v>
      </c>
      <c r="V269" s="21" t="s">
        <v>17</v>
      </c>
      <c r="W269" s="21" t="s">
        <v>439</v>
      </c>
      <c r="X269" s="21" t="s">
        <v>439</v>
      </c>
    </row>
    <row r="270" spans="1:24" ht="10.5" hidden="1" customHeight="1" x14ac:dyDescent="0.25">
      <c r="A270" s="20">
        <v>46032</v>
      </c>
      <c r="B270" s="21" t="str">
        <f t="shared" si="4"/>
        <v>10/01/2026NL300020</v>
      </c>
      <c r="C270" s="22" t="s">
        <v>491</v>
      </c>
      <c r="D270" s="22" t="s">
        <v>17</v>
      </c>
      <c r="E270" s="22" t="s">
        <v>431</v>
      </c>
      <c r="F270" s="21" t="s">
        <v>432</v>
      </c>
      <c r="G270" s="21" t="s">
        <v>433</v>
      </c>
      <c r="H270" s="21" t="s">
        <v>492</v>
      </c>
      <c r="I270" s="21" t="s">
        <v>326</v>
      </c>
      <c r="J270" s="21" t="s">
        <v>446</v>
      </c>
      <c r="K270" s="21" t="s">
        <v>442</v>
      </c>
      <c r="L270" s="23">
        <v>1</v>
      </c>
      <c r="M270" s="24">
        <v>30000</v>
      </c>
      <c r="N270" s="24">
        <v>0</v>
      </c>
      <c r="O270" s="25">
        <v>30000</v>
      </c>
      <c r="P270" s="25">
        <v>0</v>
      </c>
      <c r="Q270" s="24">
        <v>30000</v>
      </c>
      <c r="R270" s="21" t="s">
        <v>436</v>
      </c>
      <c r="S270" s="21" t="s">
        <v>437</v>
      </c>
      <c r="T270" s="21" t="s">
        <v>17</v>
      </c>
      <c r="U270" s="21" t="s">
        <v>438</v>
      </c>
      <c r="V270" s="21" t="s">
        <v>17</v>
      </c>
      <c r="W270" s="21" t="s">
        <v>439</v>
      </c>
      <c r="X270" s="21" t="s">
        <v>439</v>
      </c>
    </row>
    <row r="271" spans="1:24" ht="10.5" hidden="1" customHeight="1" x14ac:dyDescent="0.25">
      <c r="A271" s="20">
        <v>46032</v>
      </c>
      <c r="B271" s="21" t="str">
        <f t="shared" si="4"/>
        <v>10/01/2026NL300025</v>
      </c>
      <c r="C271" s="22" t="s">
        <v>491</v>
      </c>
      <c r="D271" s="22" t="s">
        <v>17</v>
      </c>
      <c r="E271" s="22" t="s">
        <v>431</v>
      </c>
      <c r="F271" s="21" t="s">
        <v>432</v>
      </c>
      <c r="G271" s="21" t="s">
        <v>433</v>
      </c>
      <c r="H271" s="21" t="s">
        <v>492</v>
      </c>
      <c r="I271" s="21" t="s">
        <v>211</v>
      </c>
      <c r="J271" s="21" t="s">
        <v>447</v>
      </c>
      <c r="K271" s="21" t="s">
        <v>442</v>
      </c>
      <c r="L271" s="23">
        <v>0.9</v>
      </c>
      <c r="M271" s="24">
        <v>44000</v>
      </c>
      <c r="N271" s="24">
        <v>0</v>
      </c>
      <c r="O271" s="25">
        <v>39600</v>
      </c>
      <c r="P271" s="25">
        <v>0</v>
      </c>
      <c r="Q271" s="24">
        <v>44000</v>
      </c>
      <c r="R271" s="21" t="s">
        <v>436</v>
      </c>
      <c r="S271" s="21" t="s">
        <v>437</v>
      </c>
      <c r="T271" s="21" t="s">
        <v>17</v>
      </c>
      <c r="U271" s="21" t="s">
        <v>438</v>
      </c>
      <c r="V271" s="21" t="s">
        <v>17</v>
      </c>
      <c r="W271" s="21" t="s">
        <v>439</v>
      </c>
      <c r="X271" s="21" t="s">
        <v>439</v>
      </c>
    </row>
    <row r="272" spans="1:24" ht="10.5" hidden="1" customHeight="1" x14ac:dyDescent="0.25">
      <c r="A272" s="20">
        <v>46032</v>
      </c>
      <c r="B272" s="21" t="str">
        <f t="shared" si="4"/>
        <v>10/01/2026NL300035</v>
      </c>
      <c r="C272" s="22" t="s">
        <v>491</v>
      </c>
      <c r="D272" s="22" t="s">
        <v>17</v>
      </c>
      <c r="E272" s="22" t="s">
        <v>431</v>
      </c>
      <c r="F272" s="21" t="s">
        <v>432</v>
      </c>
      <c r="G272" s="21" t="s">
        <v>433</v>
      </c>
      <c r="H272" s="21" t="s">
        <v>492</v>
      </c>
      <c r="I272" s="21" t="s">
        <v>383</v>
      </c>
      <c r="J272" s="21" t="s">
        <v>448</v>
      </c>
      <c r="K272" s="21" t="s">
        <v>442</v>
      </c>
      <c r="L272" s="23">
        <v>0.2</v>
      </c>
      <c r="M272" s="24">
        <v>25000</v>
      </c>
      <c r="N272" s="24">
        <v>0</v>
      </c>
      <c r="O272" s="25">
        <v>5000</v>
      </c>
      <c r="P272" s="25">
        <v>0</v>
      </c>
      <c r="Q272" s="24">
        <v>25000</v>
      </c>
      <c r="R272" s="21" t="s">
        <v>436</v>
      </c>
      <c r="S272" s="21" t="s">
        <v>437</v>
      </c>
      <c r="T272" s="21" t="s">
        <v>17</v>
      </c>
      <c r="U272" s="21" t="s">
        <v>438</v>
      </c>
      <c r="V272" s="21" t="s">
        <v>17</v>
      </c>
      <c r="W272" s="21" t="s">
        <v>439</v>
      </c>
      <c r="X272" s="21" t="s">
        <v>439</v>
      </c>
    </row>
    <row r="273" spans="1:24" ht="10.5" hidden="1" customHeight="1" x14ac:dyDescent="0.25">
      <c r="A273" s="20">
        <v>46032</v>
      </c>
      <c r="B273" s="21" t="str">
        <f t="shared" si="4"/>
        <v>10/01/2026NL300036</v>
      </c>
      <c r="C273" s="22" t="s">
        <v>491</v>
      </c>
      <c r="D273" s="22" t="s">
        <v>17</v>
      </c>
      <c r="E273" s="22" t="s">
        <v>431</v>
      </c>
      <c r="F273" s="21" t="s">
        <v>432</v>
      </c>
      <c r="G273" s="21" t="s">
        <v>433</v>
      </c>
      <c r="H273" s="21" t="s">
        <v>492</v>
      </c>
      <c r="I273" s="21" t="s">
        <v>380</v>
      </c>
      <c r="J273" s="21" t="s">
        <v>96</v>
      </c>
      <c r="K273" s="21" t="s">
        <v>442</v>
      </c>
      <c r="L273" s="23">
        <v>1</v>
      </c>
      <c r="M273" s="24">
        <v>47000</v>
      </c>
      <c r="N273" s="24">
        <v>0</v>
      </c>
      <c r="O273" s="25">
        <v>47000</v>
      </c>
      <c r="P273" s="25">
        <v>0</v>
      </c>
      <c r="Q273" s="24">
        <v>47000</v>
      </c>
      <c r="R273" s="21" t="s">
        <v>436</v>
      </c>
      <c r="S273" s="21" t="s">
        <v>437</v>
      </c>
      <c r="T273" s="21" t="s">
        <v>17</v>
      </c>
      <c r="U273" s="21" t="s">
        <v>438</v>
      </c>
      <c r="V273" s="21" t="s">
        <v>17</v>
      </c>
      <c r="W273" s="21" t="s">
        <v>439</v>
      </c>
      <c r="X273" s="21" t="s">
        <v>439</v>
      </c>
    </row>
    <row r="274" spans="1:24" ht="10.5" hidden="1" customHeight="1" x14ac:dyDescent="0.25">
      <c r="A274" s="20">
        <v>46032</v>
      </c>
      <c r="B274" s="21" t="str">
        <f t="shared" si="4"/>
        <v>10/01/2026NL300038</v>
      </c>
      <c r="C274" s="22" t="s">
        <v>491</v>
      </c>
      <c r="D274" s="22" t="s">
        <v>17</v>
      </c>
      <c r="E274" s="22" t="s">
        <v>431</v>
      </c>
      <c r="F274" s="21" t="s">
        <v>432</v>
      </c>
      <c r="G274" s="21" t="s">
        <v>433</v>
      </c>
      <c r="H274" s="21" t="s">
        <v>492</v>
      </c>
      <c r="I274" s="21" t="s">
        <v>217</v>
      </c>
      <c r="J274" s="21" t="s">
        <v>35</v>
      </c>
      <c r="K274" s="21" t="s">
        <v>442</v>
      </c>
      <c r="L274" s="23">
        <v>2</v>
      </c>
      <c r="M274" s="24">
        <v>32000</v>
      </c>
      <c r="N274" s="24">
        <v>0</v>
      </c>
      <c r="O274" s="25">
        <v>64000</v>
      </c>
      <c r="P274" s="25">
        <v>0</v>
      </c>
      <c r="Q274" s="24">
        <v>32000</v>
      </c>
      <c r="R274" s="21" t="s">
        <v>436</v>
      </c>
      <c r="S274" s="21" t="s">
        <v>437</v>
      </c>
      <c r="T274" s="21" t="s">
        <v>17</v>
      </c>
      <c r="U274" s="21" t="s">
        <v>438</v>
      </c>
      <c r="V274" s="21" t="s">
        <v>17</v>
      </c>
      <c r="W274" s="21" t="s">
        <v>439</v>
      </c>
      <c r="X274" s="21" t="s">
        <v>439</v>
      </c>
    </row>
    <row r="275" spans="1:24" ht="10.5" hidden="1" customHeight="1" x14ac:dyDescent="0.25">
      <c r="A275" s="20">
        <v>46032</v>
      </c>
      <c r="B275" s="21" t="str">
        <f t="shared" si="4"/>
        <v>10/01/2026NL300054</v>
      </c>
      <c r="C275" s="22" t="s">
        <v>491</v>
      </c>
      <c r="D275" s="22" t="s">
        <v>17</v>
      </c>
      <c r="E275" s="22" t="s">
        <v>431</v>
      </c>
      <c r="F275" s="21" t="s">
        <v>432</v>
      </c>
      <c r="G275" s="21" t="s">
        <v>433</v>
      </c>
      <c r="H275" s="21" t="s">
        <v>492</v>
      </c>
      <c r="I275" s="21" t="s">
        <v>216</v>
      </c>
      <c r="J275" s="21" t="s">
        <v>451</v>
      </c>
      <c r="K275" s="21" t="s">
        <v>442</v>
      </c>
      <c r="L275" s="23">
        <v>1</v>
      </c>
      <c r="M275" s="24">
        <v>38000</v>
      </c>
      <c r="N275" s="24">
        <v>0</v>
      </c>
      <c r="O275" s="25">
        <v>38000</v>
      </c>
      <c r="P275" s="25">
        <v>0</v>
      </c>
      <c r="Q275" s="24">
        <v>38000</v>
      </c>
      <c r="R275" s="21" t="s">
        <v>436</v>
      </c>
      <c r="S275" s="21" t="s">
        <v>437</v>
      </c>
      <c r="T275" s="21" t="s">
        <v>17</v>
      </c>
      <c r="U275" s="21" t="s">
        <v>438</v>
      </c>
      <c r="V275" s="21" t="s">
        <v>17</v>
      </c>
      <c r="W275" s="21" t="s">
        <v>439</v>
      </c>
      <c r="X275" s="21" t="s">
        <v>439</v>
      </c>
    </row>
    <row r="276" spans="1:24" ht="10.5" hidden="1" customHeight="1" x14ac:dyDescent="0.25">
      <c r="A276" s="20">
        <v>46032</v>
      </c>
      <c r="B276" s="21" t="str">
        <f t="shared" si="4"/>
        <v>10/01/2026NL300058</v>
      </c>
      <c r="C276" s="22" t="s">
        <v>491</v>
      </c>
      <c r="D276" s="22" t="s">
        <v>17</v>
      </c>
      <c r="E276" s="22" t="s">
        <v>431</v>
      </c>
      <c r="F276" s="21" t="s">
        <v>432</v>
      </c>
      <c r="G276" s="21" t="s">
        <v>433</v>
      </c>
      <c r="H276" s="21" t="s">
        <v>492</v>
      </c>
      <c r="I276" s="21" t="s">
        <v>228</v>
      </c>
      <c r="J276" s="21" t="s">
        <v>39</v>
      </c>
      <c r="K276" s="21" t="s">
        <v>442</v>
      </c>
      <c r="L276" s="23">
        <v>2</v>
      </c>
      <c r="M276" s="24">
        <v>55000</v>
      </c>
      <c r="N276" s="24">
        <v>0</v>
      </c>
      <c r="O276" s="25">
        <v>110000</v>
      </c>
      <c r="P276" s="25">
        <v>0</v>
      </c>
      <c r="Q276" s="24">
        <v>55000</v>
      </c>
      <c r="R276" s="21" t="s">
        <v>436</v>
      </c>
      <c r="S276" s="21" t="s">
        <v>437</v>
      </c>
      <c r="T276" s="21" t="s">
        <v>17</v>
      </c>
      <c r="U276" s="21" t="s">
        <v>438</v>
      </c>
      <c r="V276" s="21" t="s">
        <v>17</v>
      </c>
      <c r="W276" s="21" t="s">
        <v>439</v>
      </c>
      <c r="X276" s="21" t="s">
        <v>439</v>
      </c>
    </row>
    <row r="277" spans="1:24" ht="10.5" hidden="1" customHeight="1" x14ac:dyDescent="0.25">
      <c r="A277" s="20">
        <v>46032</v>
      </c>
      <c r="B277" s="21" t="str">
        <f t="shared" si="4"/>
        <v>10/01/2026NL300059</v>
      </c>
      <c r="C277" s="22" t="s">
        <v>491</v>
      </c>
      <c r="D277" s="22" t="s">
        <v>17</v>
      </c>
      <c r="E277" s="22" t="s">
        <v>431</v>
      </c>
      <c r="F277" s="21" t="s">
        <v>432</v>
      </c>
      <c r="G277" s="21" t="s">
        <v>433</v>
      </c>
      <c r="H277" s="21" t="s">
        <v>492</v>
      </c>
      <c r="I277" s="21" t="s">
        <v>229</v>
      </c>
      <c r="J277" s="21" t="s">
        <v>114</v>
      </c>
      <c r="K277" s="21" t="s">
        <v>442</v>
      </c>
      <c r="L277" s="23">
        <v>0.5</v>
      </c>
      <c r="M277" s="24">
        <v>13000</v>
      </c>
      <c r="N277" s="24">
        <v>0</v>
      </c>
      <c r="O277" s="25">
        <v>6500</v>
      </c>
      <c r="P277" s="25">
        <v>0</v>
      </c>
      <c r="Q277" s="24">
        <v>13000</v>
      </c>
      <c r="R277" s="21" t="s">
        <v>436</v>
      </c>
      <c r="S277" s="21" t="s">
        <v>437</v>
      </c>
      <c r="T277" s="21" t="s">
        <v>17</v>
      </c>
      <c r="U277" s="21" t="s">
        <v>438</v>
      </c>
      <c r="V277" s="21" t="s">
        <v>17</v>
      </c>
      <c r="W277" s="21" t="s">
        <v>439</v>
      </c>
      <c r="X277" s="21" t="s">
        <v>439</v>
      </c>
    </row>
    <row r="278" spans="1:24" ht="10.5" hidden="1" customHeight="1" x14ac:dyDescent="0.25">
      <c r="A278" s="20">
        <v>46032</v>
      </c>
      <c r="B278" s="21" t="str">
        <f t="shared" si="4"/>
        <v>10/01/2026NL300070</v>
      </c>
      <c r="C278" s="22" t="s">
        <v>491</v>
      </c>
      <c r="D278" s="22" t="s">
        <v>17</v>
      </c>
      <c r="E278" s="22" t="s">
        <v>431</v>
      </c>
      <c r="F278" s="21" t="s">
        <v>432</v>
      </c>
      <c r="G278" s="21" t="s">
        <v>433</v>
      </c>
      <c r="H278" s="21" t="s">
        <v>492</v>
      </c>
      <c r="I278" s="21" t="s">
        <v>345</v>
      </c>
      <c r="J278" s="21" t="s">
        <v>465</v>
      </c>
      <c r="K278" s="21" t="s">
        <v>442</v>
      </c>
      <c r="L278" s="23">
        <v>0.7</v>
      </c>
      <c r="M278" s="24">
        <v>23000</v>
      </c>
      <c r="N278" s="24">
        <v>0</v>
      </c>
      <c r="O278" s="25">
        <v>16100</v>
      </c>
      <c r="P278" s="25">
        <v>0</v>
      </c>
      <c r="Q278" s="24">
        <v>23000</v>
      </c>
      <c r="R278" s="21" t="s">
        <v>436</v>
      </c>
      <c r="S278" s="21" t="s">
        <v>437</v>
      </c>
      <c r="T278" s="21" t="s">
        <v>17</v>
      </c>
      <c r="U278" s="21" t="s">
        <v>438</v>
      </c>
      <c r="V278" s="21" t="s">
        <v>17</v>
      </c>
      <c r="W278" s="21" t="s">
        <v>439</v>
      </c>
      <c r="X278" s="21" t="s">
        <v>439</v>
      </c>
    </row>
    <row r="279" spans="1:24" ht="10.5" hidden="1" customHeight="1" x14ac:dyDescent="0.25">
      <c r="A279" s="20">
        <v>46032</v>
      </c>
      <c r="B279" s="21" t="str">
        <f t="shared" si="4"/>
        <v>10/01/2026NL300085</v>
      </c>
      <c r="C279" s="22" t="s">
        <v>491</v>
      </c>
      <c r="D279" s="22" t="s">
        <v>17</v>
      </c>
      <c r="E279" s="22" t="s">
        <v>431</v>
      </c>
      <c r="F279" s="21" t="s">
        <v>432</v>
      </c>
      <c r="G279" s="21" t="s">
        <v>433</v>
      </c>
      <c r="H279" s="21" t="s">
        <v>492</v>
      </c>
      <c r="I279" s="21" t="s">
        <v>263</v>
      </c>
      <c r="J279" s="21" t="s">
        <v>453</v>
      </c>
      <c r="K279" s="21" t="s">
        <v>442</v>
      </c>
      <c r="L279" s="23">
        <v>1</v>
      </c>
      <c r="M279" s="24">
        <v>45000</v>
      </c>
      <c r="N279" s="24">
        <v>0</v>
      </c>
      <c r="O279" s="25">
        <v>45000</v>
      </c>
      <c r="P279" s="25">
        <v>0</v>
      </c>
      <c r="Q279" s="24">
        <v>45000</v>
      </c>
      <c r="R279" s="21" t="s">
        <v>436</v>
      </c>
      <c r="S279" s="21" t="s">
        <v>437</v>
      </c>
      <c r="T279" s="21" t="s">
        <v>17</v>
      </c>
      <c r="U279" s="21" t="s">
        <v>438</v>
      </c>
      <c r="V279" s="21" t="s">
        <v>17</v>
      </c>
      <c r="W279" s="21" t="s">
        <v>439</v>
      </c>
      <c r="X279" s="21" t="s">
        <v>439</v>
      </c>
    </row>
    <row r="280" spans="1:24" ht="10.5" hidden="1" customHeight="1" x14ac:dyDescent="0.25">
      <c r="A280" s="20">
        <v>46032</v>
      </c>
      <c r="B280" s="21" t="str">
        <f t="shared" si="4"/>
        <v>10/01/2026NL300088</v>
      </c>
      <c r="C280" s="22" t="s">
        <v>491</v>
      </c>
      <c r="D280" s="22" t="s">
        <v>17</v>
      </c>
      <c r="E280" s="22" t="s">
        <v>431</v>
      </c>
      <c r="F280" s="21" t="s">
        <v>432</v>
      </c>
      <c r="G280" s="21" t="s">
        <v>433</v>
      </c>
      <c r="H280" s="21" t="s">
        <v>492</v>
      </c>
      <c r="I280" s="21" t="s">
        <v>254</v>
      </c>
      <c r="J280" s="21" t="s">
        <v>15</v>
      </c>
      <c r="K280" s="21" t="s">
        <v>442</v>
      </c>
      <c r="L280" s="23">
        <v>5</v>
      </c>
      <c r="M280" s="24">
        <v>27000</v>
      </c>
      <c r="N280" s="24">
        <v>0</v>
      </c>
      <c r="O280" s="25">
        <v>135000</v>
      </c>
      <c r="P280" s="25">
        <v>0</v>
      </c>
      <c r="Q280" s="24">
        <v>27000</v>
      </c>
      <c r="R280" s="21" t="s">
        <v>436</v>
      </c>
      <c r="S280" s="21" t="s">
        <v>437</v>
      </c>
      <c r="T280" s="21" t="s">
        <v>17</v>
      </c>
      <c r="U280" s="21" t="s">
        <v>438</v>
      </c>
      <c r="V280" s="21" t="s">
        <v>17</v>
      </c>
      <c r="W280" s="21" t="s">
        <v>439</v>
      </c>
      <c r="X280" s="21" t="s">
        <v>439</v>
      </c>
    </row>
    <row r="281" spans="1:24" ht="10.5" hidden="1" customHeight="1" x14ac:dyDescent="0.25">
      <c r="A281" s="20">
        <v>46032</v>
      </c>
      <c r="B281" s="21" t="str">
        <f t="shared" si="4"/>
        <v>10/01/2026NL300090</v>
      </c>
      <c r="C281" s="22" t="s">
        <v>491</v>
      </c>
      <c r="D281" s="22" t="s">
        <v>17</v>
      </c>
      <c r="E281" s="22" t="s">
        <v>431</v>
      </c>
      <c r="F281" s="21" t="s">
        <v>432</v>
      </c>
      <c r="G281" s="21" t="s">
        <v>433</v>
      </c>
      <c r="H281" s="21" t="s">
        <v>492</v>
      </c>
      <c r="I281" s="21" t="s">
        <v>255</v>
      </c>
      <c r="J281" s="21" t="s">
        <v>70</v>
      </c>
      <c r="K281" s="21" t="s">
        <v>442</v>
      </c>
      <c r="L281" s="23">
        <v>4.4000000000000004</v>
      </c>
      <c r="M281" s="24">
        <v>145000</v>
      </c>
      <c r="N281" s="24">
        <v>0</v>
      </c>
      <c r="O281" s="25">
        <v>638000</v>
      </c>
      <c r="P281" s="25">
        <v>0</v>
      </c>
      <c r="Q281" s="24">
        <v>145000</v>
      </c>
      <c r="R281" s="21" t="s">
        <v>436</v>
      </c>
      <c r="S281" s="21" t="s">
        <v>437</v>
      </c>
      <c r="T281" s="21" t="s">
        <v>17</v>
      </c>
      <c r="U281" s="21" t="s">
        <v>438</v>
      </c>
      <c r="V281" s="21" t="s">
        <v>17</v>
      </c>
      <c r="W281" s="21" t="s">
        <v>439</v>
      </c>
      <c r="X281" s="21" t="s">
        <v>439</v>
      </c>
    </row>
    <row r="282" spans="1:24" ht="10.5" hidden="1" customHeight="1" x14ac:dyDescent="0.25">
      <c r="A282" s="20">
        <v>46032</v>
      </c>
      <c r="B282" s="21" t="str">
        <f t="shared" si="4"/>
        <v>10/01/2026NL300092</v>
      </c>
      <c r="C282" s="22" t="s">
        <v>491</v>
      </c>
      <c r="D282" s="22" t="s">
        <v>17</v>
      </c>
      <c r="E282" s="22" t="s">
        <v>431</v>
      </c>
      <c r="F282" s="21" t="s">
        <v>432</v>
      </c>
      <c r="G282" s="21" t="s">
        <v>433</v>
      </c>
      <c r="H282" s="21" t="s">
        <v>492</v>
      </c>
      <c r="I282" s="21" t="s">
        <v>329</v>
      </c>
      <c r="J282" s="21" t="s">
        <v>74</v>
      </c>
      <c r="K282" s="21" t="s">
        <v>442</v>
      </c>
      <c r="L282" s="23">
        <v>0.8</v>
      </c>
      <c r="M282" s="24">
        <v>90000</v>
      </c>
      <c r="N282" s="24">
        <v>0</v>
      </c>
      <c r="O282" s="25">
        <v>72000</v>
      </c>
      <c r="P282" s="25">
        <v>0</v>
      </c>
      <c r="Q282" s="24">
        <v>90000</v>
      </c>
      <c r="R282" s="21" t="s">
        <v>436</v>
      </c>
      <c r="S282" s="21" t="s">
        <v>437</v>
      </c>
      <c r="T282" s="21" t="s">
        <v>17</v>
      </c>
      <c r="U282" s="21" t="s">
        <v>438</v>
      </c>
      <c r="V282" s="21" t="s">
        <v>17</v>
      </c>
      <c r="W282" s="21" t="s">
        <v>439</v>
      </c>
      <c r="X282" s="21" t="s">
        <v>439</v>
      </c>
    </row>
    <row r="283" spans="1:24" ht="10.5" hidden="1" customHeight="1" x14ac:dyDescent="0.25">
      <c r="A283" s="20">
        <v>46032</v>
      </c>
      <c r="B283" s="21" t="str">
        <f t="shared" si="4"/>
        <v>10/01/2026NL300096</v>
      </c>
      <c r="C283" s="22" t="s">
        <v>491</v>
      </c>
      <c r="D283" s="22" t="s">
        <v>17</v>
      </c>
      <c r="E283" s="22" t="s">
        <v>431</v>
      </c>
      <c r="F283" s="21" t="s">
        <v>432</v>
      </c>
      <c r="G283" s="21" t="s">
        <v>433</v>
      </c>
      <c r="H283" s="21" t="s">
        <v>492</v>
      </c>
      <c r="I283" s="21" t="s">
        <v>258</v>
      </c>
      <c r="J283" s="21" t="s">
        <v>45</v>
      </c>
      <c r="K283" s="21" t="s">
        <v>442</v>
      </c>
      <c r="L283" s="23">
        <v>4.7</v>
      </c>
      <c r="M283" s="24">
        <v>45000</v>
      </c>
      <c r="N283" s="24">
        <v>0</v>
      </c>
      <c r="O283" s="25">
        <v>211500</v>
      </c>
      <c r="P283" s="25">
        <v>0</v>
      </c>
      <c r="Q283" s="24">
        <v>45000</v>
      </c>
      <c r="R283" s="21" t="s">
        <v>436</v>
      </c>
      <c r="S283" s="21" t="s">
        <v>437</v>
      </c>
      <c r="T283" s="21" t="s">
        <v>17</v>
      </c>
      <c r="U283" s="21" t="s">
        <v>438</v>
      </c>
      <c r="V283" s="21" t="s">
        <v>17</v>
      </c>
      <c r="W283" s="21" t="s">
        <v>439</v>
      </c>
      <c r="X283" s="21" t="s">
        <v>439</v>
      </c>
    </row>
    <row r="284" spans="1:24" ht="10.5" hidden="1" customHeight="1" x14ac:dyDescent="0.25">
      <c r="A284" s="20">
        <v>46032</v>
      </c>
      <c r="B284" s="21" t="str">
        <f t="shared" si="4"/>
        <v>10/01/2026NL300107</v>
      </c>
      <c r="C284" s="22" t="s">
        <v>491</v>
      </c>
      <c r="D284" s="22" t="s">
        <v>17</v>
      </c>
      <c r="E284" s="22" t="s">
        <v>431</v>
      </c>
      <c r="F284" s="21" t="s">
        <v>432</v>
      </c>
      <c r="G284" s="21" t="s">
        <v>433</v>
      </c>
      <c r="H284" s="21" t="s">
        <v>492</v>
      </c>
      <c r="I284" s="21" t="s">
        <v>193</v>
      </c>
      <c r="J284" s="21" t="s">
        <v>455</v>
      </c>
      <c r="K284" s="21" t="s">
        <v>450</v>
      </c>
      <c r="L284" s="23">
        <v>10</v>
      </c>
      <c r="M284" s="24">
        <v>8500</v>
      </c>
      <c r="N284" s="24">
        <v>0</v>
      </c>
      <c r="O284" s="25">
        <v>85000</v>
      </c>
      <c r="P284" s="25">
        <v>0</v>
      </c>
      <c r="Q284" s="24">
        <v>8500</v>
      </c>
      <c r="R284" s="21" t="s">
        <v>436</v>
      </c>
      <c r="S284" s="21" t="s">
        <v>437</v>
      </c>
      <c r="T284" s="21" t="s">
        <v>17</v>
      </c>
      <c r="U284" s="21" t="s">
        <v>438</v>
      </c>
      <c r="V284" s="21" t="s">
        <v>17</v>
      </c>
      <c r="W284" s="21" t="s">
        <v>439</v>
      </c>
      <c r="X284" s="21" t="s">
        <v>439</v>
      </c>
    </row>
    <row r="285" spans="1:24" ht="10.5" hidden="1" customHeight="1" x14ac:dyDescent="0.25">
      <c r="A285" s="20">
        <v>46032</v>
      </c>
      <c r="B285" s="21" t="str">
        <f t="shared" si="4"/>
        <v>10/01/2026NL300113</v>
      </c>
      <c r="C285" s="22" t="s">
        <v>491</v>
      </c>
      <c r="D285" s="22" t="s">
        <v>17</v>
      </c>
      <c r="E285" s="22" t="s">
        <v>431</v>
      </c>
      <c r="F285" s="21" t="s">
        <v>432</v>
      </c>
      <c r="G285" s="21" t="s">
        <v>433</v>
      </c>
      <c r="H285" s="21" t="s">
        <v>492</v>
      </c>
      <c r="I285" s="21" t="s">
        <v>271</v>
      </c>
      <c r="J285" s="21" t="s">
        <v>103</v>
      </c>
      <c r="K285" s="21" t="s">
        <v>442</v>
      </c>
      <c r="L285" s="23">
        <v>0.8</v>
      </c>
      <c r="M285" s="24">
        <v>145000</v>
      </c>
      <c r="N285" s="24">
        <v>0</v>
      </c>
      <c r="O285" s="25">
        <v>116000</v>
      </c>
      <c r="P285" s="25">
        <v>0</v>
      </c>
      <c r="Q285" s="24">
        <v>145000</v>
      </c>
      <c r="R285" s="21" t="s">
        <v>436</v>
      </c>
      <c r="S285" s="21" t="s">
        <v>437</v>
      </c>
      <c r="T285" s="21" t="s">
        <v>17</v>
      </c>
      <c r="U285" s="21" t="s">
        <v>438</v>
      </c>
      <c r="V285" s="21" t="s">
        <v>17</v>
      </c>
      <c r="W285" s="21" t="s">
        <v>439</v>
      </c>
      <c r="X285" s="21" t="s">
        <v>439</v>
      </c>
    </row>
    <row r="286" spans="1:24" ht="10.5" hidden="1" customHeight="1" x14ac:dyDescent="0.25">
      <c r="A286" s="20">
        <v>46032</v>
      </c>
      <c r="B286" s="21" t="str">
        <f t="shared" si="4"/>
        <v>10/01/2026NL300121</v>
      </c>
      <c r="C286" s="22" t="s">
        <v>491</v>
      </c>
      <c r="D286" s="22" t="s">
        <v>17</v>
      </c>
      <c r="E286" s="22" t="s">
        <v>431</v>
      </c>
      <c r="F286" s="21" t="s">
        <v>432</v>
      </c>
      <c r="G286" s="21" t="s">
        <v>433</v>
      </c>
      <c r="H286" s="21" t="s">
        <v>492</v>
      </c>
      <c r="I286" s="21" t="s">
        <v>281</v>
      </c>
      <c r="J286" s="21" t="s">
        <v>51</v>
      </c>
      <c r="K286" s="21" t="s">
        <v>442</v>
      </c>
      <c r="L286" s="23">
        <v>0.1</v>
      </c>
      <c r="M286" s="24">
        <v>22000</v>
      </c>
      <c r="N286" s="24">
        <v>0</v>
      </c>
      <c r="O286" s="25">
        <v>2200</v>
      </c>
      <c r="P286" s="25">
        <v>0</v>
      </c>
      <c r="Q286" s="24">
        <v>22000</v>
      </c>
      <c r="R286" s="21" t="s">
        <v>436</v>
      </c>
      <c r="S286" s="21" t="s">
        <v>437</v>
      </c>
      <c r="T286" s="21" t="s">
        <v>17</v>
      </c>
      <c r="U286" s="21" t="s">
        <v>438</v>
      </c>
      <c r="V286" s="21" t="s">
        <v>17</v>
      </c>
      <c r="W286" s="21" t="s">
        <v>439</v>
      </c>
      <c r="X286" s="21" t="s">
        <v>439</v>
      </c>
    </row>
    <row r="287" spans="1:24" ht="10.5" hidden="1" customHeight="1" x14ac:dyDescent="0.25">
      <c r="A287" s="20">
        <v>46032</v>
      </c>
      <c r="B287" s="21" t="str">
        <f t="shared" si="4"/>
        <v>10/01/2026NL300126</v>
      </c>
      <c r="C287" s="22" t="s">
        <v>491</v>
      </c>
      <c r="D287" s="22" t="s">
        <v>17</v>
      </c>
      <c r="E287" s="22" t="s">
        <v>431</v>
      </c>
      <c r="F287" s="21" t="s">
        <v>432</v>
      </c>
      <c r="G287" s="21" t="s">
        <v>433</v>
      </c>
      <c r="H287" s="21" t="s">
        <v>492</v>
      </c>
      <c r="I287" s="21" t="s">
        <v>264</v>
      </c>
      <c r="J287" s="21" t="s">
        <v>457</v>
      </c>
      <c r="K287" s="21" t="s">
        <v>442</v>
      </c>
      <c r="L287" s="23">
        <v>0.1</v>
      </c>
      <c r="M287" s="24">
        <v>70000</v>
      </c>
      <c r="N287" s="24">
        <v>0</v>
      </c>
      <c r="O287" s="25">
        <v>7000</v>
      </c>
      <c r="P287" s="25">
        <v>0</v>
      </c>
      <c r="Q287" s="24">
        <v>70000</v>
      </c>
      <c r="R287" s="21" t="s">
        <v>436</v>
      </c>
      <c r="S287" s="21" t="s">
        <v>437</v>
      </c>
      <c r="T287" s="21" t="s">
        <v>17</v>
      </c>
      <c r="U287" s="21" t="s">
        <v>438</v>
      </c>
      <c r="V287" s="21" t="s">
        <v>17</v>
      </c>
      <c r="W287" s="21" t="s">
        <v>439</v>
      </c>
      <c r="X287" s="21" t="s">
        <v>439</v>
      </c>
    </row>
    <row r="288" spans="1:24" ht="10.5" hidden="1" customHeight="1" x14ac:dyDescent="0.25">
      <c r="A288" s="20">
        <v>46032</v>
      </c>
      <c r="B288" s="21" t="str">
        <f t="shared" si="4"/>
        <v>10/01/2026NL300137</v>
      </c>
      <c r="C288" s="22" t="s">
        <v>491</v>
      </c>
      <c r="D288" s="22" t="s">
        <v>17</v>
      </c>
      <c r="E288" s="22" t="s">
        <v>431</v>
      </c>
      <c r="F288" s="21" t="s">
        <v>432</v>
      </c>
      <c r="G288" s="21" t="s">
        <v>433</v>
      </c>
      <c r="H288" s="21" t="s">
        <v>492</v>
      </c>
      <c r="I288" s="21" t="s">
        <v>196</v>
      </c>
      <c r="J288" s="21" t="s">
        <v>458</v>
      </c>
      <c r="K288" s="21" t="s">
        <v>442</v>
      </c>
      <c r="L288" s="23">
        <v>2.5</v>
      </c>
      <c r="M288" s="24">
        <v>52000</v>
      </c>
      <c r="N288" s="24">
        <v>0</v>
      </c>
      <c r="O288" s="25">
        <v>130000</v>
      </c>
      <c r="P288" s="25">
        <v>0</v>
      </c>
      <c r="Q288" s="24">
        <v>52000</v>
      </c>
      <c r="R288" s="21" t="s">
        <v>436</v>
      </c>
      <c r="S288" s="21" t="s">
        <v>437</v>
      </c>
      <c r="T288" s="21" t="s">
        <v>17</v>
      </c>
      <c r="U288" s="21" t="s">
        <v>438</v>
      </c>
      <c r="V288" s="21" t="s">
        <v>17</v>
      </c>
      <c r="W288" s="21" t="s">
        <v>439</v>
      </c>
      <c r="X288" s="21" t="s">
        <v>439</v>
      </c>
    </row>
    <row r="289" spans="1:24" ht="10.5" hidden="1" customHeight="1" x14ac:dyDescent="0.25">
      <c r="A289" s="20">
        <v>46032</v>
      </c>
      <c r="B289" s="21" t="str">
        <f t="shared" si="4"/>
        <v>10/01/2026NL300147</v>
      </c>
      <c r="C289" s="22" t="s">
        <v>491</v>
      </c>
      <c r="D289" s="22" t="s">
        <v>17</v>
      </c>
      <c r="E289" s="22" t="s">
        <v>431</v>
      </c>
      <c r="F289" s="21" t="s">
        <v>432</v>
      </c>
      <c r="G289" s="21" t="s">
        <v>433</v>
      </c>
      <c r="H289" s="21" t="s">
        <v>492</v>
      </c>
      <c r="I289" s="21" t="s">
        <v>300</v>
      </c>
      <c r="J289" s="21" t="s">
        <v>459</v>
      </c>
      <c r="K289" s="21" t="s">
        <v>442</v>
      </c>
      <c r="L289" s="23">
        <v>2</v>
      </c>
      <c r="M289" s="24">
        <v>62000</v>
      </c>
      <c r="N289" s="24">
        <v>0</v>
      </c>
      <c r="O289" s="25">
        <v>124000</v>
      </c>
      <c r="P289" s="25">
        <v>0</v>
      </c>
      <c r="Q289" s="24">
        <v>62000</v>
      </c>
      <c r="R289" s="21" t="s">
        <v>436</v>
      </c>
      <c r="S289" s="21" t="s">
        <v>437</v>
      </c>
      <c r="T289" s="21" t="s">
        <v>17</v>
      </c>
      <c r="U289" s="21" t="s">
        <v>438</v>
      </c>
      <c r="V289" s="21" t="s">
        <v>17</v>
      </c>
      <c r="W289" s="21" t="s">
        <v>439</v>
      </c>
      <c r="X289" s="21" t="s">
        <v>439</v>
      </c>
    </row>
    <row r="290" spans="1:24" ht="10.5" hidden="1" customHeight="1" x14ac:dyDescent="0.25">
      <c r="A290" s="20">
        <v>46032</v>
      </c>
      <c r="B290" s="21" t="str">
        <f t="shared" si="4"/>
        <v>10/01/2026NL300119</v>
      </c>
      <c r="C290" s="22" t="s">
        <v>491</v>
      </c>
      <c r="D290" s="22" t="s">
        <v>17</v>
      </c>
      <c r="E290" s="22" t="s">
        <v>431</v>
      </c>
      <c r="F290" s="21" t="s">
        <v>432</v>
      </c>
      <c r="G290" s="21" t="s">
        <v>433</v>
      </c>
      <c r="H290" s="21" t="s">
        <v>492</v>
      </c>
      <c r="I290" s="21" t="s">
        <v>310</v>
      </c>
      <c r="J290" s="21" t="s">
        <v>460</v>
      </c>
      <c r="K290" s="21" t="s">
        <v>442</v>
      </c>
      <c r="L290" s="23">
        <v>1</v>
      </c>
      <c r="M290" s="24">
        <v>21000</v>
      </c>
      <c r="N290" s="24">
        <v>0</v>
      </c>
      <c r="O290" s="25">
        <v>21000</v>
      </c>
      <c r="P290" s="25">
        <v>0</v>
      </c>
      <c r="Q290" s="24">
        <v>21000</v>
      </c>
      <c r="R290" s="21" t="s">
        <v>436</v>
      </c>
      <c r="S290" s="21" t="s">
        <v>437</v>
      </c>
      <c r="T290" s="21" t="s">
        <v>17</v>
      </c>
      <c r="U290" s="21" t="s">
        <v>438</v>
      </c>
      <c r="V290" s="21" t="s">
        <v>17</v>
      </c>
      <c r="W290" s="21" t="s">
        <v>439</v>
      </c>
      <c r="X290" s="21" t="s">
        <v>439</v>
      </c>
    </row>
    <row r="291" spans="1:24" ht="10.5" hidden="1" customHeight="1" x14ac:dyDescent="0.25">
      <c r="A291" s="20">
        <v>46032</v>
      </c>
      <c r="B291" s="21" t="str">
        <f t="shared" si="4"/>
        <v>10/01/2026NL300140</v>
      </c>
      <c r="C291" s="22" t="s">
        <v>491</v>
      </c>
      <c r="D291" s="22" t="s">
        <v>17</v>
      </c>
      <c r="E291" s="22" t="s">
        <v>431</v>
      </c>
      <c r="F291" s="21" t="s">
        <v>432</v>
      </c>
      <c r="G291" s="21" t="s">
        <v>433</v>
      </c>
      <c r="H291" s="21" t="s">
        <v>492</v>
      </c>
      <c r="I291" s="21" t="s">
        <v>282</v>
      </c>
      <c r="J291" s="21" t="s">
        <v>461</v>
      </c>
      <c r="K291" s="21" t="s">
        <v>442</v>
      </c>
      <c r="L291" s="23">
        <v>0.5</v>
      </c>
      <c r="M291" s="24">
        <v>36000</v>
      </c>
      <c r="N291" s="24">
        <v>0</v>
      </c>
      <c r="O291" s="25">
        <v>18000</v>
      </c>
      <c r="P291" s="25">
        <v>0</v>
      </c>
      <c r="Q291" s="24">
        <v>36000</v>
      </c>
      <c r="R291" s="21" t="s">
        <v>436</v>
      </c>
      <c r="S291" s="21" t="s">
        <v>437</v>
      </c>
      <c r="T291" s="21" t="s">
        <v>17</v>
      </c>
      <c r="U291" s="21" t="s">
        <v>438</v>
      </c>
      <c r="V291" s="21" t="s">
        <v>17</v>
      </c>
      <c r="W291" s="21" t="s">
        <v>439</v>
      </c>
      <c r="X291" s="21" t="s">
        <v>439</v>
      </c>
    </row>
    <row r="292" spans="1:24" ht="10.5" hidden="1" customHeight="1" x14ac:dyDescent="0.25">
      <c r="A292" s="20">
        <v>46033</v>
      </c>
      <c r="B292" s="21" t="str">
        <f t="shared" si="4"/>
        <v>11/01/2026NL300097</v>
      </c>
      <c r="C292" s="22" t="s">
        <v>493</v>
      </c>
      <c r="D292" s="22" t="s">
        <v>17</v>
      </c>
      <c r="E292" s="22" t="s">
        <v>431</v>
      </c>
      <c r="F292" s="21" t="s">
        <v>432</v>
      </c>
      <c r="G292" s="21" t="s">
        <v>433</v>
      </c>
      <c r="H292" s="21" t="s">
        <v>494</v>
      </c>
      <c r="I292" s="21" t="s">
        <v>331</v>
      </c>
      <c r="J292" s="21" t="s">
        <v>443</v>
      </c>
      <c r="K292" s="21" t="s">
        <v>442</v>
      </c>
      <c r="L292" s="23">
        <v>0.5</v>
      </c>
      <c r="M292" s="24">
        <v>90000</v>
      </c>
      <c r="N292" s="24">
        <v>0</v>
      </c>
      <c r="O292" s="25">
        <v>45000</v>
      </c>
      <c r="P292" s="25">
        <v>0</v>
      </c>
      <c r="Q292" s="24">
        <v>90000</v>
      </c>
      <c r="R292" s="21" t="s">
        <v>436</v>
      </c>
      <c r="S292" s="21" t="s">
        <v>437</v>
      </c>
      <c r="T292" s="21" t="s">
        <v>17</v>
      </c>
      <c r="U292" s="21" t="s">
        <v>438</v>
      </c>
      <c r="V292" s="21" t="s">
        <v>17</v>
      </c>
      <c r="W292" s="21" t="s">
        <v>439</v>
      </c>
      <c r="X292" s="21" t="s">
        <v>439</v>
      </c>
    </row>
    <row r="293" spans="1:24" ht="10.5" hidden="1" customHeight="1" x14ac:dyDescent="0.25">
      <c r="A293" s="20">
        <v>46033</v>
      </c>
      <c r="B293" s="21" t="str">
        <f t="shared" si="4"/>
        <v>11/01/2026NL300007</v>
      </c>
      <c r="C293" s="22" t="s">
        <v>493</v>
      </c>
      <c r="D293" s="22" t="s">
        <v>17</v>
      </c>
      <c r="E293" s="22" t="s">
        <v>431</v>
      </c>
      <c r="F293" s="21" t="s">
        <v>432</v>
      </c>
      <c r="G293" s="21" t="s">
        <v>433</v>
      </c>
      <c r="H293" s="21" t="s">
        <v>494</v>
      </c>
      <c r="I293" s="21" t="s">
        <v>309</v>
      </c>
      <c r="J293" s="21" t="s">
        <v>444</v>
      </c>
      <c r="K293" s="21" t="s">
        <v>442</v>
      </c>
      <c r="L293" s="23">
        <v>5.3</v>
      </c>
      <c r="M293" s="24">
        <v>30000</v>
      </c>
      <c r="N293" s="24">
        <v>0</v>
      </c>
      <c r="O293" s="25">
        <v>159000</v>
      </c>
      <c r="P293" s="25">
        <v>0</v>
      </c>
      <c r="Q293" s="24">
        <v>30000</v>
      </c>
      <c r="R293" s="21" t="s">
        <v>436</v>
      </c>
      <c r="S293" s="21" t="s">
        <v>437</v>
      </c>
      <c r="T293" s="21" t="s">
        <v>17</v>
      </c>
      <c r="U293" s="21" t="s">
        <v>438</v>
      </c>
      <c r="V293" s="21" t="s">
        <v>17</v>
      </c>
      <c r="W293" s="21" t="s">
        <v>439</v>
      </c>
      <c r="X293" s="21" t="s">
        <v>439</v>
      </c>
    </row>
    <row r="294" spans="1:24" ht="10.5" hidden="1" customHeight="1" x14ac:dyDescent="0.25">
      <c r="A294" s="20">
        <v>46033</v>
      </c>
      <c r="B294" s="21" t="str">
        <f t="shared" si="4"/>
        <v>11/01/2026NL300008</v>
      </c>
      <c r="C294" s="22" t="s">
        <v>493</v>
      </c>
      <c r="D294" s="22" t="s">
        <v>17</v>
      </c>
      <c r="E294" s="22" t="s">
        <v>431</v>
      </c>
      <c r="F294" s="21" t="s">
        <v>432</v>
      </c>
      <c r="G294" s="21" t="s">
        <v>433</v>
      </c>
      <c r="H294" s="21" t="s">
        <v>494</v>
      </c>
      <c r="I294" s="21" t="s">
        <v>320</v>
      </c>
      <c r="J294" s="21" t="s">
        <v>445</v>
      </c>
      <c r="K294" s="21" t="s">
        <v>442</v>
      </c>
      <c r="L294" s="23">
        <v>4.0999999999999996</v>
      </c>
      <c r="M294" s="24">
        <v>40000</v>
      </c>
      <c r="N294" s="24">
        <v>0</v>
      </c>
      <c r="O294" s="25">
        <v>164000</v>
      </c>
      <c r="P294" s="25">
        <v>0</v>
      </c>
      <c r="Q294" s="24">
        <v>40000</v>
      </c>
      <c r="R294" s="21" t="s">
        <v>436</v>
      </c>
      <c r="S294" s="21" t="s">
        <v>437</v>
      </c>
      <c r="T294" s="21" t="s">
        <v>17</v>
      </c>
      <c r="U294" s="21" t="s">
        <v>438</v>
      </c>
      <c r="V294" s="21" t="s">
        <v>17</v>
      </c>
      <c r="W294" s="21" t="s">
        <v>439</v>
      </c>
      <c r="X294" s="21" t="s">
        <v>439</v>
      </c>
    </row>
    <row r="295" spans="1:24" ht="10.5" hidden="1" customHeight="1" x14ac:dyDescent="0.25">
      <c r="A295" s="20">
        <v>46033</v>
      </c>
      <c r="B295" s="21" t="str">
        <f t="shared" si="4"/>
        <v>11/01/2026NL300020</v>
      </c>
      <c r="C295" s="22" t="s">
        <v>493</v>
      </c>
      <c r="D295" s="22" t="s">
        <v>17</v>
      </c>
      <c r="E295" s="22" t="s">
        <v>431</v>
      </c>
      <c r="F295" s="21" t="s">
        <v>432</v>
      </c>
      <c r="G295" s="21" t="s">
        <v>433</v>
      </c>
      <c r="H295" s="21" t="s">
        <v>494</v>
      </c>
      <c r="I295" s="21" t="s">
        <v>326</v>
      </c>
      <c r="J295" s="21" t="s">
        <v>446</v>
      </c>
      <c r="K295" s="21" t="s">
        <v>442</v>
      </c>
      <c r="L295" s="23">
        <v>1</v>
      </c>
      <c r="M295" s="24">
        <v>30000</v>
      </c>
      <c r="N295" s="24">
        <v>0</v>
      </c>
      <c r="O295" s="25">
        <v>30000</v>
      </c>
      <c r="P295" s="25">
        <v>0</v>
      </c>
      <c r="Q295" s="24">
        <v>30000</v>
      </c>
      <c r="R295" s="21" t="s">
        <v>436</v>
      </c>
      <c r="S295" s="21" t="s">
        <v>437</v>
      </c>
      <c r="T295" s="21" t="s">
        <v>17</v>
      </c>
      <c r="U295" s="21" t="s">
        <v>438</v>
      </c>
      <c r="V295" s="21" t="s">
        <v>17</v>
      </c>
      <c r="W295" s="21" t="s">
        <v>439</v>
      </c>
      <c r="X295" s="21" t="s">
        <v>439</v>
      </c>
    </row>
    <row r="296" spans="1:24" ht="10.5" hidden="1" customHeight="1" x14ac:dyDescent="0.25">
      <c r="A296" s="20">
        <v>46033</v>
      </c>
      <c r="B296" s="21" t="str">
        <f t="shared" si="4"/>
        <v>11/01/2026NL300025</v>
      </c>
      <c r="C296" s="22" t="s">
        <v>493</v>
      </c>
      <c r="D296" s="22" t="s">
        <v>17</v>
      </c>
      <c r="E296" s="22" t="s">
        <v>431</v>
      </c>
      <c r="F296" s="21" t="s">
        <v>432</v>
      </c>
      <c r="G296" s="21" t="s">
        <v>433</v>
      </c>
      <c r="H296" s="21" t="s">
        <v>494</v>
      </c>
      <c r="I296" s="21" t="s">
        <v>211</v>
      </c>
      <c r="J296" s="21" t="s">
        <v>447</v>
      </c>
      <c r="K296" s="21" t="s">
        <v>442</v>
      </c>
      <c r="L296" s="23">
        <v>0.6</v>
      </c>
      <c r="M296" s="24">
        <v>44000</v>
      </c>
      <c r="N296" s="24">
        <v>0</v>
      </c>
      <c r="O296" s="25">
        <v>26400</v>
      </c>
      <c r="P296" s="25">
        <v>0</v>
      </c>
      <c r="Q296" s="24">
        <v>44000</v>
      </c>
      <c r="R296" s="21" t="s">
        <v>436</v>
      </c>
      <c r="S296" s="21" t="s">
        <v>437</v>
      </c>
      <c r="T296" s="21" t="s">
        <v>17</v>
      </c>
      <c r="U296" s="21" t="s">
        <v>438</v>
      </c>
      <c r="V296" s="21" t="s">
        <v>17</v>
      </c>
      <c r="W296" s="21" t="s">
        <v>439</v>
      </c>
      <c r="X296" s="21" t="s">
        <v>439</v>
      </c>
    </row>
    <row r="297" spans="1:24" ht="10.5" hidden="1" customHeight="1" x14ac:dyDescent="0.25">
      <c r="A297" s="20">
        <v>46033</v>
      </c>
      <c r="B297" s="21" t="str">
        <f t="shared" si="4"/>
        <v>11/01/2026NL300036</v>
      </c>
      <c r="C297" s="22" t="s">
        <v>493</v>
      </c>
      <c r="D297" s="22" t="s">
        <v>17</v>
      </c>
      <c r="E297" s="22" t="s">
        <v>431</v>
      </c>
      <c r="F297" s="21" t="s">
        <v>432</v>
      </c>
      <c r="G297" s="21" t="s">
        <v>433</v>
      </c>
      <c r="H297" s="21" t="s">
        <v>494</v>
      </c>
      <c r="I297" s="21" t="s">
        <v>380</v>
      </c>
      <c r="J297" s="21" t="s">
        <v>96</v>
      </c>
      <c r="K297" s="21" t="s">
        <v>442</v>
      </c>
      <c r="L297" s="23">
        <v>1</v>
      </c>
      <c r="M297" s="24">
        <v>47000</v>
      </c>
      <c r="N297" s="24">
        <v>0</v>
      </c>
      <c r="O297" s="25">
        <v>47000</v>
      </c>
      <c r="P297" s="25">
        <v>0</v>
      </c>
      <c r="Q297" s="24">
        <v>47000</v>
      </c>
      <c r="R297" s="21" t="s">
        <v>436</v>
      </c>
      <c r="S297" s="21" t="s">
        <v>437</v>
      </c>
      <c r="T297" s="21" t="s">
        <v>17</v>
      </c>
      <c r="U297" s="21" t="s">
        <v>438</v>
      </c>
      <c r="V297" s="21" t="s">
        <v>17</v>
      </c>
      <c r="W297" s="21" t="s">
        <v>439</v>
      </c>
      <c r="X297" s="21" t="s">
        <v>439</v>
      </c>
    </row>
    <row r="298" spans="1:24" ht="10.5" hidden="1" customHeight="1" x14ac:dyDescent="0.25">
      <c r="A298" s="20">
        <v>46033</v>
      </c>
      <c r="B298" s="21" t="str">
        <f t="shared" si="4"/>
        <v>11/01/2026NL300038</v>
      </c>
      <c r="C298" s="22" t="s">
        <v>493</v>
      </c>
      <c r="D298" s="22" t="s">
        <v>17</v>
      </c>
      <c r="E298" s="22" t="s">
        <v>431</v>
      </c>
      <c r="F298" s="21" t="s">
        <v>432</v>
      </c>
      <c r="G298" s="21" t="s">
        <v>433</v>
      </c>
      <c r="H298" s="21" t="s">
        <v>494</v>
      </c>
      <c r="I298" s="21" t="s">
        <v>217</v>
      </c>
      <c r="J298" s="21" t="s">
        <v>35</v>
      </c>
      <c r="K298" s="21" t="s">
        <v>442</v>
      </c>
      <c r="L298" s="23">
        <v>2</v>
      </c>
      <c r="M298" s="24">
        <v>32000</v>
      </c>
      <c r="N298" s="24">
        <v>0</v>
      </c>
      <c r="O298" s="25">
        <v>64000</v>
      </c>
      <c r="P298" s="25">
        <v>0</v>
      </c>
      <c r="Q298" s="24">
        <v>32000</v>
      </c>
      <c r="R298" s="21" t="s">
        <v>436</v>
      </c>
      <c r="S298" s="21" t="s">
        <v>437</v>
      </c>
      <c r="T298" s="21" t="s">
        <v>17</v>
      </c>
      <c r="U298" s="21" t="s">
        <v>438</v>
      </c>
      <c r="V298" s="21" t="s">
        <v>17</v>
      </c>
      <c r="W298" s="21" t="s">
        <v>439</v>
      </c>
      <c r="X298" s="21" t="s">
        <v>439</v>
      </c>
    </row>
    <row r="299" spans="1:24" ht="10.5" hidden="1" customHeight="1" x14ac:dyDescent="0.25">
      <c r="A299" s="20">
        <v>46033</v>
      </c>
      <c r="B299" s="21" t="str">
        <f t="shared" si="4"/>
        <v>11/01/2026NL300054</v>
      </c>
      <c r="C299" s="22" t="s">
        <v>493</v>
      </c>
      <c r="D299" s="22" t="s">
        <v>17</v>
      </c>
      <c r="E299" s="22" t="s">
        <v>431</v>
      </c>
      <c r="F299" s="21" t="s">
        <v>432</v>
      </c>
      <c r="G299" s="21" t="s">
        <v>433</v>
      </c>
      <c r="H299" s="21" t="s">
        <v>494</v>
      </c>
      <c r="I299" s="21" t="s">
        <v>216</v>
      </c>
      <c r="J299" s="21" t="s">
        <v>451</v>
      </c>
      <c r="K299" s="21" t="s">
        <v>442</v>
      </c>
      <c r="L299" s="23">
        <v>1</v>
      </c>
      <c r="M299" s="24">
        <v>38000</v>
      </c>
      <c r="N299" s="24">
        <v>0</v>
      </c>
      <c r="O299" s="25">
        <v>38000</v>
      </c>
      <c r="P299" s="25">
        <v>0</v>
      </c>
      <c r="Q299" s="24">
        <v>38000</v>
      </c>
      <c r="R299" s="21" t="s">
        <v>436</v>
      </c>
      <c r="S299" s="21" t="s">
        <v>437</v>
      </c>
      <c r="T299" s="21" t="s">
        <v>17</v>
      </c>
      <c r="U299" s="21" t="s">
        <v>438</v>
      </c>
      <c r="V299" s="21" t="s">
        <v>17</v>
      </c>
      <c r="W299" s="21" t="s">
        <v>439</v>
      </c>
      <c r="X299" s="21" t="s">
        <v>439</v>
      </c>
    </row>
    <row r="300" spans="1:24" ht="10.5" hidden="1" customHeight="1" x14ac:dyDescent="0.25">
      <c r="A300" s="20">
        <v>46033</v>
      </c>
      <c r="B300" s="21" t="str">
        <f t="shared" si="4"/>
        <v>11/01/2026NL300058</v>
      </c>
      <c r="C300" s="22" t="s">
        <v>493</v>
      </c>
      <c r="D300" s="22" t="s">
        <v>17</v>
      </c>
      <c r="E300" s="22" t="s">
        <v>431</v>
      </c>
      <c r="F300" s="21" t="s">
        <v>432</v>
      </c>
      <c r="G300" s="21" t="s">
        <v>433</v>
      </c>
      <c r="H300" s="21" t="s">
        <v>494</v>
      </c>
      <c r="I300" s="21" t="s">
        <v>228</v>
      </c>
      <c r="J300" s="21" t="s">
        <v>39</v>
      </c>
      <c r="K300" s="21" t="s">
        <v>442</v>
      </c>
      <c r="L300" s="23">
        <v>2</v>
      </c>
      <c r="M300" s="24">
        <v>55000</v>
      </c>
      <c r="N300" s="24">
        <v>0</v>
      </c>
      <c r="O300" s="25">
        <v>110000</v>
      </c>
      <c r="P300" s="25">
        <v>0</v>
      </c>
      <c r="Q300" s="24">
        <v>55000</v>
      </c>
      <c r="R300" s="21" t="s">
        <v>436</v>
      </c>
      <c r="S300" s="21" t="s">
        <v>437</v>
      </c>
      <c r="T300" s="21" t="s">
        <v>17</v>
      </c>
      <c r="U300" s="21" t="s">
        <v>438</v>
      </c>
      <c r="V300" s="21" t="s">
        <v>17</v>
      </c>
      <c r="W300" s="21" t="s">
        <v>439</v>
      </c>
      <c r="X300" s="21" t="s">
        <v>439</v>
      </c>
    </row>
    <row r="301" spans="1:24" ht="10.5" hidden="1" customHeight="1" x14ac:dyDescent="0.25">
      <c r="A301" s="20">
        <v>46033</v>
      </c>
      <c r="B301" s="21" t="str">
        <f t="shared" si="4"/>
        <v>11/01/2026NL300085</v>
      </c>
      <c r="C301" s="22" t="s">
        <v>493</v>
      </c>
      <c r="D301" s="22" t="s">
        <v>17</v>
      </c>
      <c r="E301" s="22" t="s">
        <v>431</v>
      </c>
      <c r="F301" s="21" t="s">
        <v>432</v>
      </c>
      <c r="G301" s="21" t="s">
        <v>433</v>
      </c>
      <c r="H301" s="21" t="s">
        <v>494</v>
      </c>
      <c r="I301" s="21" t="s">
        <v>263</v>
      </c>
      <c r="J301" s="21" t="s">
        <v>453</v>
      </c>
      <c r="K301" s="21" t="s">
        <v>442</v>
      </c>
      <c r="L301" s="23">
        <v>2</v>
      </c>
      <c r="M301" s="24">
        <v>45000</v>
      </c>
      <c r="N301" s="24">
        <v>0</v>
      </c>
      <c r="O301" s="25">
        <v>90000</v>
      </c>
      <c r="P301" s="25">
        <v>0</v>
      </c>
      <c r="Q301" s="24">
        <v>45000</v>
      </c>
      <c r="R301" s="21" t="s">
        <v>436</v>
      </c>
      <c r="S301" s="21" t="s">
        <v>437</v>
      </c>
      <c r="T301" s="21" t="s">
        <v>17</v>
      </c>
      <c r="U301" s="21" t="s">
        <v>438</v>
      </c>
      <c r="V301" s="21" t="s">
        <v>17</v>
      </c>
      <c r="W301" s="21" t="s">
        <v>439</v>
      </c>
      <c r="X301" s="21" t="s">
        <v>439</v>
      </c>
    </row>
    <row r="302" spans="1:24" ht="10.5" hidden="1" customHeight="1" x14ac:dyDescent="0.25">
      <c r="A302" s="20">
        <v>46033</v>
      </c>
      <c r="B302" s="21" t="str">
        <f t="shared" si="4"/>
        <v>11/01/2026NL300088</v>
      </c>
      <c r="C302" s="22" t="s">
        <v>493</v>
      </c>
      <c r="D302" s="22" t="s">
        <v>17</v>
      </c>
      <c r="E302" s="22" t="s">
        <v>431</v>
      </c>
      <c r="F302" s="21" t="s">
        <v>432</v>
      </c>
      <c r="G302" s="21" t="s">
        <v>433</v>
      </c>
      <c r="H302" s="21" t="s">
        <v>494</v>
      </c>
      <c r="I302" s="21" t="s">
        <v>254</v>
      </c>
      <c r="J302" s="21" t="s">
        <v>15</v>
      </c>
      <c r="K302" s="21" t="s">
        <v>442</v>
      </c>
      <c r="L302" s="23">
        <v>2.5</v>
      </c>
      <c r="M302" s="24">
        <v>27000</v>
      </c>
      <c r="N302" s="24">
        <v>0</v>
      </c>
      <c r="O302" s="25">
        <v>67500</v>
      </c>
      <c r="P302" s="25">
        <v>0</v>
      </c>
      <c r="Q302" s="24">
        <v>27000</v>
      </c>
      <c r="R302" s="21" t="s">
        <v>436</v>
      </c>
      <c r="S302" s="21" t="s">
        <v>437</v>
      </c>
      <c r="T302" s="21" t="s">
        <v>17</v>
      </c>
      <c r="U302" s="21" t="s">
        <v>438</v>
      </c>
      <c r="V302" s="21" t="s">
        <v>17</v>
      </c>
      <c r="W302" s="21" t="s">
        <v>439</v>
      </c>
      <c r="X302" s="21" t="s">
        <v>439</v>
      </c>
    </row>
    <row r="303" spans="1:24" ht="10.5" hidden="1" customHeight="1" x14ac:dyDescent="0.25">
      <c r="A303" s="20">
        <v>46033</v>
      </c>
      <c r="B303" s="21" t="str">
        <f t="shared" si="4"/>
        <v>11/01/2026NL300090</v>
      </c>
      <c r="C303" s="22" t="s">
        <v>493</v>
      </c>
      <c r="D303" s="22" t="s">
        <v>17</v>
      </c>
      <c r="E303" s="22" t="s">
        <v>431</v>
      </c>
      <c r="F303" s="21" t="s">
        <v>432</v>
      </c>
      <c r="G303" s="21" t="s">
        <v>433</v>
      </c>
      <c r="H303" s="21" t="s">
        <v>494</v>
      </c>
      <c r="I303" s="21" t="s">
        <v>255</v>
      </c>
      <c r="J303" s="21" t="s">
        <v>70</v>
      </c>
      <c r="K303" s="21" t="s">
        <v>442</v>
      </c>
      <c r="L303" s="23">
        <v>4.7</v>
      </c>
      <c r="M303" s="24">
        <v>145000</v>
      </c>
      <c r="N303" s="24">
        <v>0</v>
      </c>
      <c r="O303" s="25">
        <v>681500</v>
      </c>
      <c r="P303" s="25">
        <v>0</v>
      </c>
      <c r="Q303" s="24">
        <v>145000</v>
      </c>
      <c r="R303" s="21" t="s">
        <v>436</v>
      </c>
      <c r="S303" s="21" t="s">
        <v>437</v>
      </c>
      <c r="T303" s="21" t="s">
        <v>17</v>
      </c>
      <c r="U303" s="21" t="s">
        <v>438</v>
      </c>
      <c r="V303" s="21" t="s">
        <v>17</v>
      </c>
      <c r="W303" s="21" t="s">
        <v>439</v>
      </c>
      <c r="X303" s="21" t="s">
        <v>439</v>
      </c>
    </row>
    <row r="304" spans="1:24" ht="10.5" hidden="1" customHeight="1" x14ac:dyDescent="0.25">
      <c r="A304" s="20">
        <v>46033</v>
      </c>
      <c r="B304" s="21" t="str">
        <f t="shared" si="4"/>
        <v>11/01/2026NL300091</v>
      </c>
      <c r="C304" s="22" t="s">
        <v>493</v>
      </c>
      <c r="D304" s="22" t="s">
        <v>17</v>
      </c>
      <c r="E304" s="22" t="s">
        <v>431</v>
      </c>
      <c r="F304" s="21" t="s">
        <v>432</v>
      </c>
      <c r="G304" s="21" t="s">
        <v>433</v>
      </c>
      <c r="H304" s="21" t="s">
        <v>494</v>
      </c>
      <c r="I304" s="21" t="s">
        <v>256</v>
      </c>
      <c r="J304" s="21" t="s">
        <v>72</v>
      </c>
      <c r="K304" s="21" t="s">
        <v>442</v>
      </c>
      <c r="L304" s="23">
        <v>2</v>
      </c>
      <c r="M304" s="24">
        <v>47000</v>
      </c>
      <c r="N304" s="24">
        <v>0</v>
      </c>
      <c r="O304" s="25">
        <v>94000</v>
      </c>
      <c r="P304" s="25">
        <v>0</v>
      </c>
      <c r="Q304" s="24">
        <v>47000</v>
      </c>
      <c r="R304" s="21" t="s">
        <v>436</v>
      </c>
      <c r="S304" s="21" t="s">
        <v>437</v>
      </c>
      <c r="T304" s="21" t="s">
        <v>17</v>
      </c>
      <c r="U304" s="21" t="s">
        <v>438</v>
      </c>
      <c r="V304" s="21" t="s">
        <v>17</v>
      </c>
      <c r="W304" s="21" t="s">
        <v>439</v>
      </c>
      <c r="X304" s="21" t="s">
        <v>439</v>
      </c>
    </row>
    <row r="305" spans="1:24" ht="10.5" hidden="1" customHeight="1" x14ac:dyDescent="0.25">
      <c r="A305" s="20">
        <v>46033</v>
      </c>
      <c r="B305" s="21" t="str">
        <f t="shared" si="4"/>
        <v>11/01/2026NL300092</v>
      </c>
      <c r="C305" s="22" t="s">
        <v>493</v>
      </c>
      <c r="D305" s="22" t="s">
        <v>17</v>
      </c>
      <c r="E305" s="22" t="s">
        <v>431</v>
      </c>
      <c r="F305" s="21" t="s">
        <v>432</v>
      </c>
      <c r="G305" s="21" t="s">
        <v>433</v>
      </c>
      <c r="H305" s="21" t="s">
        <v>494</v>
      </c>
      <c r="I305" s="21" t="s">
        <v>329</v>
      </c>
      <c r="J305" s="21" t="s">
        <v>74</v>
      </c>
      <c r="K305" s="21" t="s">
        <v>442</v>
      </c>
      <c r="L305" s="23">
        <v>0.8</v>
      </c>
      <c r="M305" s="24">
        <v>90000</v>
      </c>
      <c r="N305" s="24">
        <v>0</v>
      </c>
      <c r="O305" s="25">
        <v>72000</v>
      </c>
      <c r="P305" s="25">
        <v>0</v>
      </c>
      <c r="Q305" s="24">
        <v>90000</v>
      </c>
      <c r="R305" s="21" t="s">
        <v>436</v>
      </c>
      <c r="S305" s="21" t="s">
        <v>437</v>
      </c>
      <c r="T305" s="21" t="s">
        <v>17</v>
      </c>
      <c r="U305" s="21" t="s">
        <v>438</v>
      </c>
      <c r="V305" s="21" t="s">
        <v>17</v>
      </c>
      <c r="W305" s="21" t="s">
        <v>439</v>
      </c>
      <c r="X305" s="21" t="s">
        <v>439</v>
      </c>
    </row>
    <row r="306" spans="1:24" ht="10.5" hidden="1" customHeight="1" x14ac:dyDescent="0.25">
      <c r="A306" s="20">
        <v>46033</v>
      </c>
      <c r="B306" s="21" t="str">
        <f t="shared" si="4"/>
        <v>11/01/2026NL300096</v>
      </c>
      <c r="C306" s="22" t="s">
        <v>493</v>
      </c>
      <c r="D306" s="22" t="s">
        <v>17</v>
      </c>
      <c r="E306" s="22" t="s">
        <v>431</v>
      </c>
      <c r="F306" s="21" t="s">
        <v>432</v>
      </c>
      <c r="G306" s="21" t="s">
        <v>433</v>
      </c>
      <c r="H306" s="21" t="s">
        <v>494</v>
      </c>
      <c r="I306" s="21" t="s">
        <v>258</v>
      </c>
      <c r="J306" s="21" t="s">
        <v>45</v>
      </c>
      <c r="K306" s="21" t="s">
        <v>442</v>
      </c>
      <c r="L306" s="23">
        <v>4.7</v>
      </c>
      <c r="M306" s="24">
        <v>45000</v>
      </c>
      <c r="N306" s="24">
        <v>0</v>
      </c>
      <c r="O306" s="25">
        <v>211500</v>
      </c>
      <c r="P306" s="25">
        <v>0</v>
      </c>
      <c r="Q306" s="24">
        <v>45000</v>
      </c>
      <c r="R306" s="21" t="s">
        <v>436</v>
      </c>
      <c r="S306" s="21" t="s">
        <v>437</v>
      </c>
      <c r="T306" s="21" t="s">
        <v>17</v>
      </c>
      <c r="U306" s="21" t="s">
        <v>438</v>
      </c>
      <c r="V306" s="21" t="s">
        <v>17</v>
      </c>
      <c r="W306" s="21" t="s">
        <v>439</v>
      </c>
      <c r="X306" s="21" t="s">
        <v>439</v>
      </c>
    </row>
    <row r="307" spans="1:24" ht="10.5" hidden="1" customHeight="1" x14ac:dyDescent="0.25">
      <c r="A307" s="20">
        <v>46033</v>
      </c>
      <c r="B307" s="21" t="str">
        <f t="shared" si="4"/>
        <v>11/01/2026NL300107</v>
      </c>
      <c r="C307" s="22" t="s">
        <v>493</v>
      </c>
      <c r="D307" s="22" t="s">
        <v>17</v>
      </c>
      <c r="E307" s="22" t="s">
        <v>431</v>
      </c>
      <c r="F307" s="21" t="s">
        <v>432</v>
      </c>
      <c r="G307" s="21" t="s">
        <v>433</v>
      </c>
      <c r="H307" s="21" t="s">
        <v>494</v>
      </c>
      <c r="I307" s="21" t="s">
        <v>193</v>
      </c>
      <c r="J307" s="21" t="s">
        <v>455</v>
      </c>
      <c r="K307" s="21" t="s">
        <v>450</v>
      </c>
      <c r="L307" s="23">
        <v>10</v>
      </c>
      <c r="M307" s="24">
        <v>8500</v>
      </c>
      <c r="N307" s="24">
        <v>0</v>
      </c>
      <c r="O307" s="25">
        <v>85000</v>
      </c>
      <c r="P307" s="25">
        <v>0</v>
      </c>
      <c r="Q307" s="24">
        <v>8500</v>
      </c>
      <c r="R307" s="21" t="s">
        <v>436</v>
      </c>
      <c r="S307" s="21" t="s">
        <v>437</v>
      </c>
      <c r="T307" s="21" t="s">
        <v>17</v>
      </c>
      <c r="U307" s="21" t="s">
        <v>438</v>
      </c>
      <c r="V307" s="21" t="s">
        <v>17</v>
      </c>
      <c r="W307" s="21" t="s">
        <v>439</v>
      </c>
      <c r="X307" s="21" t="s">
        <v>439</v>
      </c>
    </row>
    <row r="308" spans="1:24" ht="10.5" hidden="1" customHeight="1" x14ac:dyDescent="0.25">
      <c r="A308" s="20">
        <v>46033</v>
      </c>
      <c r="B308" s="21" t="str">
        <f t="shared" si="4"/>
        <v>11/01/2026NL300113</v>
      </c>
      <c r="C308" s="22" t="s">
        <v>493</v>
      </c>
      <c r="D308" s="22" t="s">
        <v>17</v>
      </c>
      <c r="E308" s="22" t="s">
        <v>431</v>
      </c>
      <c r="F308" s="21" t="s">
        <v>432</v>
      </c>
      <c r="G308" s="21" t="s">
        <v>433</v>
      </c>
      <c r="H308" s="21" t="s">
        <v>494</v>
      </c>
      <c r="I308" s="21" t="s">
        <v>271</v>
      </c>
      <c r="J308" s="21" t="s">
        <v>103</v>
      </c>
      <c r="K308" s="21" t="s">
        <v>442</v>
      </c>
      <c r="L308" s="23">
        <v>1.2</v>
      </c>
      <c r="M308" s="24">
        <v>145000</v>
      </c>
      <c r="N308" s="24">
        <v>0</v>
      </c>
      <c r="O308" s="25">
        <v>174000</v>
      </c>
      <c r="P308" s="25">
        <v>0</v>
      </c>
      <c r="Q308" s="24">
        <v>145000</v>
      </c>
      <c r="R308" s="21" t="s">
        <v>436</v>
      </c>
      <c r="S308" s="21" t="s">
        <v>437</v>
      </c>
      <c r="T308" s="21" t="s">
        <v>17</v>
      </c>
      <c r="U308" s="21" t="s">
        <v>438</v>
      </c>
      <c r="V308" s="21" t="s">
        <v>17</v>
      </c>
      <c r="W308" s="21" t="s">
        <v>439</v>
      </c>
      <c r="X308" s="21" t="s">
        <v>439</v>
      </c>
    </row>
    <row r="309" spans="1:24" ht="10.5" hidden="1" customHeight="1" x14ac:dyDescent="0.25">
      <c r="A309" s="20">
        <v>46033</v>
      </c>
      <c r="B309" s="21" t="str">
        <f t="shared" si="4"/>
        <v>11/01/2026NL300116</v>
      </c>
      <c r="C309" s="22" t="s">
        <v>493</v>
      </c>
      <c r="D309" s="22" t="s">
        <v>17</v>
      </c>
      <c r="E309" s="22" t="s">
        <v>431</v>
      </c>
      <c r="F309" s="21" t="s">
        <v>432</v>
      </c>
      <c r="G309" s="21" t="s">
        <v>433</v>
      </c>
      <c r="H309" s="21" t="s">
        <v>494</v>
      </c>
      <c r="I309" s="21" t="s">
        <v>315</v>
      </c>
      <c r="J309" s="21" t="s">
        <v>456</v>
      </c>
      <c r="K309" s="21" t="s">
        <v>442</v>
      </c>
      <c r="L309" s="23">
        <v>0.2</v>
      </c>
      <c r="M309" s="24">
        <v>148000</v>
      </c>
      <c r="N309" s="24">
        <v>0</v>
      </c>
      <c r="O309" s="25">
        <v>29600</v>
      </c>
      <c r="P309" s="25">
        <v>0</v>
      </c>
      <c r="Q309" s="24">
        <v>148000</v>
      </c>
      <c r="R309" s="21" t="s">
        <v>436</v>
      </c>
      <c r="S309" s="21" t="s">
        <v>437</v>
      </c>
      <c r="T309" s="21" t="s">
        <v>17</v>
      </c>
      <c r="U309" s="21" t="s">
        <v>438</v>
      </c>
      <c r="V309" s="21" t="s">
        <v>17</v>
      </c>
      <c r="W309" s="21" t="s">
        <v>439</v>
      </c>
      <c r="X309" s="21" t="s">
        <v>439</v>
      </c>
    </row>
    <row r="310" spans="1:24" ht="10.5" hidden="1" customHeight="1" x14ac:dyDescent="0.25">
      <c r="A310" s="20">
        <v>46033</v>
      </c>
      <c r="B310" s="21" t="str">
        <f t="shared" si="4"/>
        <v>11/01/2026NL300137</v>
      </c>
      <c r="C310" s="22" t="s">
        <v>493</v>
      </c>
      <c r="D310" s="22" t="s">
        <v>17</v>
      </c>
      <c r="E310" s="22" t="s">
        <v>431</v>
      </c>
      <c r="F310" s="21" t="s">
        <v>432</v>
      </c>
      <c r="G310" s="21" t="s">
        <v>433</v>
      </c>
      <c r="H310" s="21" t="s">
        <v>494</v>
      </c>
      <c r="I310" s="21" t="s">
        <v>196</v>
      </c>
      <c r="J310" s="21" t="s">
        <v>458</v>
      </c>
      <c r="K310" s="21" t="s">
        <v>442</v>
      </c>
      <c r="L310" s="23">
        <v>3</v>
      </c>
      <c r="M310" s="24">
        <v>52000</v>
      </c>
      <c r="N310" s="24">
        <v>0</v>
      </c>
      <c r="O310" s="25">
        <v>156000</v>
      </c>
      <c r="P310" s="25">
        <v>0</v>
      </c>
      <c r="Q310" s="24">
        <v>52000</v>
      </c>
      <c r="R310" s="21" t="s">
        <v>436</v>
      </c>
      <c r="S310" s="21" t="s">
        <v>437</v>
      </c>
      <c r="T310" s="21" t="s">
        <v>17</v>
      </c>
      <c r="U310" s="21" t="s">
        <v>438</v>
      </c>
      <c r="V310" s="21" t="s">
        <v>17</v>
      </c>
      <c r="W310" s="21" t="s">
        <v>439</v>
      </c>
      <c r="X310" s="21" t="s">
        <v>439</v>
      </c>
    </row>
    <row r="311" spans="1:24" ht="10.5" hidden="1" customHeight="1" x14ac:dyDescent="0.25">
      <c r="A311" s="20">
        <v>46033</v>
      </c>
      <c r="B311" s="21" t="str">
        <f t="shared" si="4"/>
        <v>11/01/2026NL300147</v>
      </c>
      <c r="C311" s="22" t="s">
        <v>493</v>
      </c>
      <c r="D311" s="22" t="s">
        <v>17</v>
      </c>
      <c r="E311" s="22" t="s">
        <v>431</v>
      </c>
      <c r="F311" s="21" t="s">
        <v>432</v>
      </c>
      <c r="G311" s="21" t="s">
        <v>433</v>
      </c>
      <c r="H311" s="21" t="s">
        <v>494</v>
      </c>
      <c r="I311" s="21" t="s">
        <v>300</v>
      </c>
      <c r="J311" s="21" t="s">
        <v>459</v>
      </c>
      <c r="K311" s="21" t="s">
        <v>442</v>
      </c>
      <c r="L311" s="23">
        <v>2.5</v>
      </c>
      <c r="M311" s="24">
        <v>62000</v>
      </c>
      <c r="N311" s="24">
        <v>0</v>
      </c>
      <c r="O311" s="25">
        <v>155000</v>
      </c>
      <c r="P311" s="25">
        <v>0</v>
      </c>
      <c r="Q311" s="24">
        <v>62000</v>
      </c>
      <c r="R311" s="21" t="s">
        <v>436</v>
      </c>
      <c r="S311" s="21" t="s">
        <v>437</v>
      </c>
      <c r="T311" s="21" t="s">
        <v>17</v>
      </c>
      <c r="U311" s="21" t="s">
        <v>438</v>
      </c>
      <c r="V311" s="21" t="s">
        <v>17</v>
      </c>
      <c r="W311" s="21" t="s">
        <v>439</v>
      </c>
      <c r="X311" s="21" t="s">
        <v>439</v>
      </c>
    </row>
    <row r="312" spans="1:24" ht="10.5" hidden="1" customHeight="1" x14ac:dyDescent="0.25">
      <c r="A312" s="20">
        <v>46033</v>
      </c>
      <c r="B312" s="21" t="str">
        <f t="shared" si="4"/>
        <v>11/01/2026NL300119</v>
      </c>
      <c r="C312" s="22" t="s">
        <v>493</v>
      </c>
      <c r="D312" s="22" t="s">
        <v>17</v>
      </c>
      <c r="E312" s="22" t="s">
        <v>431</v>
      </c>
      <c r="F312" s="21" t="s">
        <v>432</v>
      </c>
      <c r="G312" s="21" t="s">
        <v>433</v>
      </c>
      <c r="H312" s="21" t="s">
        <v>494</v>
      </c>
      <c r="I312" s="21" t="s">
        <v>310</v>
      </c>
      <c r="J312" s="21" t="s">
        <v>460</v>
      </c>
      <c r="K312" s="21" t="s">
        <v>442</v>
      </c>
      <c r="L312" s="23">
        <v>1.6</v>
      </c>
      <c r="M312" s="24">
        <v>21000</v>
      </c>
      <c r="N312" s="24">
        <v>0</v>
      </c>
      <c r="O312" s="25">
        <v>33600</v>
      </c>
      <c r="P312" s="25">
        <v>0</v>
      </c>
      <c r="Q312" s="24">
        <v>21000</v>
      </c>
      <c r="R312" s="21" t="s">
        <v>436</v>
      </c>
      <c r="S312" s="21" t="s">
        <v>437</v>
      </c>
      <c r="T312" s="21" t="s">
        <v>17</v>
      </c>
      <c r="U312" s="21" t="s">
        <v>438</v>
      </c>
      <c r="V312" s="21" t="s">
        <v>17</v>
      </c>
      <c r="W312" s="21" t="s">
        <v>439</v>
      </c>
      <c r="X312" s="21" t="s">
        <v>439</v>
      </c>
    </row>
    <row r="313" spans="1:24" ht="10.5" hidden="1" customHeight="1" x14ac:dyDescent="0.25">
      <c r="A313" s="20">
        <v>46033</v>
      </c>
      <c r="B313" s="21" t="str">
        <f t="shared" si="4"/>
        <v>11/01/2026NL300140</v>
      </c>
      <c r="C313" s="22" t="s">
        <v>493</v>
      </c>
      <c r="D313" s="22" t="s">
        <v>17</v>
      </c>
      <c r="E313" s="22" t="s">
        <v>431</v>
      </c>
      <c r="F313" s="21" t="s">
        <v>432</v>
      </c>
      <c r="G313" s="21" t="s">
        <v>433</v>
      </c>
      <c r="H313" s="21" t="s">
        <v>494</v>
      </c>
      <c r="I313" s="21" t="s">
        <v>282</v>
      </c>
      <c r="J313" s="21" t="s">
        <v>461</v>
      </c>
      <c r="K313" s="21" t="s">
        <v>442</v>
      </c>
      <c r="L313" s="23">
        <v>0.3</v>
      </c>
      <c r="M313" s="24">
        <v>36000</v>
      </c>
      <c r="N313" s="24">
        <v>0</v>
      </c>
      <c r="O313" s="25">
        <v>10800</v>
      </c>
      <c r="P313" s="25">
        <v>0</v>
      </c>
      <c r="Q313" s="24">
        <v>36000</v>
      </c>
      <c r="R313" s="21" t="s">
        <v>436</v>
      </c>
      <c r="S313" s="21" t="s">
        <v>437</v>
      </c>
      <c r="T313" s="21" t="s">
        <v>17</v>
      </c>
      <c r="U313" s="21" t="s">
        <v>438</v>
      </c>
      <c r="V313" s="21" t="s">
        <v>17</v>
      </c>
      <c r="W313" s="21" t="s">
        <v>439</v>
      </c>
      <c r="X313" s="21" t="s">
        <v>439</v>
      </c>
    </row>
    <row r="314" spans="1:24" ht="10.5" hidden="1" customHeight="1" x14ac:dyDescent="0.25">
      <c r="A314" s="20">
        <v>46033</v>
      </c>
      <c r="B314" s="21" t="str">
        <f t="shared" si="4"/>
        <v>11/01/2026NL100101</v>
      </c>
      <c r="C314" s="22" t="s">
        <v>493</v>
      </c>
      <c r="D314" s="22" t="s">
        <v>17</v>
      </c>
      <c r="E314" s="22" t="s">
        <v>431</v>
      </c>
      <c r="F314" s="21" t="s">
        <v>432</v>
      </c>
      <c r="G314" s="21" t="s">
        <v>433</v>
      </c>
      <c r="H314" s="21" t="s">
        <v>494</v>
      </c>
      <c r="I314" s="21" t="s">
        <v>344</v>
      </c>
      <c r="J314" s="21" t="s">
        <v>107</v>
      </c>
      <c r="K314" s="21" t="s">
        <v>435</v>
      </c>
      <c r="L314" s="23">
        <v>50</v>
      </c>
      <c r="M314" s="24">
        <v>5000</v>
      </c>
      <c r="N314" s="24">
        <v>0</v>
      </c>
      <c r="O314" s="25">
        <v>250000</v>
      </c>
      <c r="P314" s="25">
        <v>0</v>
      </c>
      <c r="Q314" s="24">
        <v>5000</v>
      </c>
      <c r="R314" s="21" t="s">
        <v>436</v>
      </c>
      <c r="S314" s="21" t="s">
        <v>437</v>
      </c>
      <c r="T314" s="21" t="s">
        <v>17</v>
      </c>
      <c r="U314" s="21" t="s">
        <v>438</v>
      </c>
      <c r="V314" s="21" t="s">
        <v>17</v>
      </c>
      <c r="W314" s="21" t="s">
        <v>439</v>
      </c>
      <c r="X314" s="21" t="s">
        <v>439</v>
      </c>
    </row>
    <row r="315" spans="1:24" ht="10.5" hidden="1" customHeight="1" x14ac:dyDescent="0.25">
      <c r="A315" s="20">
        <v>46033</v>
      </c>
      <c r="B315" s="21" t="str">
        <f t="shared" si="4"/>
        <v>11/01/2026NL600004</v>
      </c>
      <c r="C315" s="22" t="s">
        <v>493</v>
      </c>
      <c r="D315" s="22" t="s">
        <v>17</v>
      </c>
      <c r="E315" s="22" t="s">
        <v>431</v>
      </c>
      <c r="F315" s="21" t="s">
        <v>432</v>
      </c>
      <c r="G315" s="21" t="s">
        <v>433</v>
      </c>
      <c r="H315" s="21" t="s">
        <v>494</v>
      </c>
      <c r="I315" s="21" t="s">
        <v>225</v>
      </c>
      <c r="J315" s="21" t="s">
        <v>37</v>
      </c>
      <c r="K315" s="21" t="s">
        <v>442</v>
      </c>
      <c r="L315" s="23">
        <v>26</v>
      </c>
      <c r="M315" s="24">
        <v>18000</v>
      </c>
      <c r="N315" s="24">
        <v>0</v>
      </c>
      <c r="O315" s="25">
        <v>468000</v>
      </c>
      <c r="P315" s="25">
        <v>0</v>
      </c>
      <c r="Q315" s="24">
        <v>18000</v>
      </c>
      <c r="R315" s="21" t="s">
        <v>436</v>
      </c>
      <c r="S315" s="21" t="s">
        <v>437</v>
      </c>
      <c r="T315" s="21" t="s">
        <v>17</v>
      </c>
      <c r="U315" s="21" t="s">
        <v>438</v>
      </c>
      <c r="V315" s="21" t="s">
        <v>17</v>
      </c>
      <c r="W315" s="21" t="s">
        <v>439</v>
      </c>
      <c r="X315" s="21" t="s">
        <v>439</v>
      </c>
    </row>
    <row r="316" spans="1:24" ht="10.5" hidden="1" customHeight="1" x14ac:dyDescent="0.25">
      <c r="A316" s="20">
        <v>46033</v>
      </c>
      <c r="B316" s="21" t="str">
        <f t="shared" si="4"/>
        <v>11/01/2026NL300029</v>
      </c>
      <c r="C316" s="22" t="s">
        <v>493</v>
      </c>
      <c r="D316" s="22" t="s">
        <v>17</v>
      </c>
      <c r="E316" s="22" t="s">
        <v>431</v>
      </c>
      <c r="F316" s="21" t="s">
        <v>432</v>
      </c>
      <c r="G316" s="21" t="s">
        <v>433</v>
      </c>
      <c r="H316" s="21" t="s">
        <v>494</v>
      </c>
      <c r="I316" s="21" t="s">
        <v>213</v>
      </c>
      <c r="J316" s="21" t="s">
        <v>469</v>
      </c>
      <c r="K316" s="21" t="s">
        <v>442</v>
      </c>
      <c r="L316" s="23">
        <v>2</v>
      </c>
      <c r="M316" s="24">
        <v>22000</v>
      </c>
      <c r="N316" s="24">
        <v>0</v>
      </c>
      <c r="O316" s="25">
        <v>44000</v>
      </c>
      <c r="P316" s="25">
        <v>0</v>
      </c>
      <c r="Q316" s="24">
        <v>22000</v>
      </c>
      <c r="R316" s="21" t="s">
        <v>436</v>
      </c>
      <c r="S316" s="21" t="s">
        <v>437</v>
      </c>
      <c r="T316" s="21" t="s">
        <v>17</v>
      </c>
      <c r="U316" s="21" t="s">
        <v>438</v>
      </c>
      <c r="V316" s="21" t="s">
        <v>17</v>
      </c>
      <c r="W316" s="21" t="s">
        <v>439</v>
      </c>
      <c r="X316" s="21" t="s">
        <v>439</v>
      </c>
    </row>
    <row r="317" spans="1:24" ht="10.5" hidden="1" customHeight="1" x14ac:dyDescent="0.25">
      <c r="A317" s="20">
        <v>46033</v>
      </c>
      <c r="B317" s="21" t="str">
        <f t="shared" si="4"/>
        <v>11/01/2026NL300062</v>
      </c>
      <c r="C317" s="22" t="s">
        <v>493</v>
      </c>
      <c r="D317" s="22" t="s">
        <v>17</v>
      </c>
      <c r="E317" s="22" t="s">
        <v>431</v>
      </c>
      <c r="F317" s="21" t="s">
        <v>432</v>
      </c>
      <c r="G317" s="21" t="s">
        <v>433</v>
      </c>
      <c r="H317" s="21" t="s">
        <v>494</v>
      </c>
      <c r="I317" s="21" t="s">
        <v>236</v>
      </c>
      <c r="J317" s="21" t="s">
        <v>482</v>
      </c>
      <c r="K317" s="21" t="s">
        <v>442</v>
      </c>
      <c r="L317" s="23">
        <v>0.1</v>
      </c>
      <c r="M317" s="24">
        <v>65000</v>
      </c>
      <c r="N317" s="24">
        <v>0</v>
      </c>
      <c r="O317" s="25">
        <v>6500</v>
      </c>
      <c r="P317" s="25">
        <v>0</v>
      </c>
      <c r="Q317" s="24">
        <v>65000</v>
      </c>
      <c r="R317" s="21" t="s">
        <v>436</v>
      </c>
      <c r="S317" s="21" t="s">
        <v>437</v>
      </c>
      <c r="T317" s="21" t="s">
        <v>17</v>
      </c>
      <c r="U317" s="21" t="s">
        <v>438</v>
      </c>
      <c r="V317" s="21" t="s">
        <v>17</v>
      </c>
      <c r="W317" s="21" t="s">
        <v>439</v>
      </c>
      <c r="X317" s="21" t="s">
        <v>439</v>
      </c>
    </row>
    <row r="318" spans="1:24" ht="10.5" hidden="1" customHeight="1" x14ac:dyDescent="0.25">
      <c r="A318" s="20">
        <v>46033</v>
      </c>
      <c r="B318" s="21" t="str">
        <f t="shared" si="4"/>
        <v>11/01/2026NL300125</v>
      </c>
      <c r="C318" s="22" t="s">
        <v>493</v>
      </c>
      <c r="D318" s="22" t="s">
        <v>17</v>
      </c>
      <c r="E318" s="22" t="s">
        <v>431</v>
      </c>
      <c r="F318" s="21" t="s">
        <v>432</v>
      </c>
      <c r="G318" s="21" t="s">
        <v>433</v>
      </c>
      <c r="H318" s="21" t="s">
        <v>494</v>
      </c>
      <c r="I318" s="21" t="s">
        <v>337</v>
      </c>
      <c r="J318" s="21" t="s">
        <v>146</v>
      </c>
      <c r="K318" s="21" t="s">
        <v>442</v>
      </c>
      <c r="L318" s="23">
        <v>0.5</v>
      </c>
      <c r="M318" s="24">
        <v>42000</v>
      </c>
      <c r="N318" s="24">
        <v>0</v>
      </c>
      <c r="O318" s="25">
        <v>21000</v>
      </c>
      <c r="P318" s="25">
        <v>0</v>
      </c>
      <c r="Q318" s="24">
        <v>42000</v>
      </c>
      <c r="R318" s="21" t="s">
        <v>436</v>
      </c>
      <c r="S318" s="21" t="s">
        <v>437</v>
      </c>
      <c r="T318" s="21" t="s">
        <v>17</v>
      </c>
      <c r="U318" s="21" t="s">
        <v>438</v>
      </c>
      <c r="V318" s="21" t="s">
        <v>17</v>
      </c>
      <c r="W318" s="21" t="s">
        <v>439</v>
      </c>
      <c r="X318" s="21" t="s">
        <v>439</v>
      </c>
    </row>
    <row r="319" spans="1:24" ht="10.5" hidden="1" customHeight="1" x14ac:dyDescent="0.25">
      <c r="A319" s="20">
        <v>46033</v>
      </c>
      <c r="B319" s="21" t="str">
        <f t="shared" si="4"/>
        <v>11/01/2026NL600067</v>
      </c>
      <c r="C319" s="22" t="s">
        <v>493</v>
      </c>
      <c r="D319" s="22" t="s">
        <v>17</v>
      </c>
      <c r="E319" s="22" t="s">
        <v>431</v>
      </c>
      <c r="F319" s="21" t="s">
        <v>432</v>
      </c>
      <c r="G319" s="21" t="s">
        <v>433</v>
      </c>
      <c r="H319" s="21" t="s">
        <v>494</v>
      </c>
      <c r="I319" s="21" t="s">
        <v>376</v>
      </c>
      <c r="J319" s="21" t="s">
        <v>60</v>
      </c>
      <c r="K319" s="21" t="s">
        <v>442</v>
      </c>
      <c r="L319" s="23">
        <v>0.3</v>
      </c>
      <c r="M319" s="24">
        <v>75000</v>
      </c>
      <c r="N319" s="24">
        <v>0</v>
      </c>
      <c r="O319" s="25">
        <v>22500</v>
      </c>
      <c r="P319" s="25">
        <v>0</v>
      </c>
      <c r="Q319" s="24">
        <v>75000</v>
      </c>
      <c r="R319" s="21" t="s">
        <v>436</v>
      </c>
      <c r="S319" s="21" t="s">
        <v>437</v>
      </c>
      <c r="T319" s="21" t="s">
        <v>17</v>
      </c>
      <c r="U319" s="21" t="s">
        <v>438</v>
      </c>
      <c r="V319" s="21" t="s">
        <v>17</v>
      </c>
      <c r="W319" s="21" t="s">
        <v>439</v>
      </c>
      <c r="X319" s="21" t="s">
        <v>439</v>
      </c>
    </row>
    <row r="320" spans="1:24" ht="10.5" hidden="1" customHeight="1" x14ac:dyDescent="0.25">
      <c r="A320" s="20">
        <v>46033</v>
      </c>
      <c r="B320" s="21" t="str">
        <f t="shared" si="4"/>
        <v>11/01/2026NL300184</v>
      </c>
      <c r="C320" s="22" t="s">
        <v>493</v>
      </c>
      <c r="D320" s="22" t="s">
        <v>17</v>
      </c>
      <c r="E320" s="22" t="s">
        <v>431</v>
      </c>
      <c r="F320" s="21" t="s">
        <v>432</v>
      </c>
      <c r="G320" s="21" t="s">
        <v>433</v>
      </c>
      <c r="H320" s="21" t="s">
        <v>494</v>
      </c>
      <c r="I320" s="21" t="s">
        <v>368</v>
      </c>
      <c r="J320" s="21" t="s">
        <v>462</v>
      </c>
      <c r="K320" s="21" t="s">
        <v>442</v>
      </c>
      <c r="L320" s="23">
        <v>0.5</v>
      </c>
      <c r="M320" s="24">
        <v>18000</v>
      </c>
      <c r="N320" s="24">
        <v>0</v>
      </c>
      <c r="O320" s="25">
        <v>9000</v>
      </c>
      <c r="P320" s="25">
        <v>0</v>
      </c>
      <c r="Q320" s="24">
        <v>18000</v>
      </c>
      <c r="R320" s="21" t="s">
        <v>436</v>
      </c>
      <c r="S320" s="21" t="s">
        <v>437</v>
      </c>
      <c r="T320" s="21" t="s">
        <v>17</v>
      </c>
      <c r="U320" s="21" t="s">
        <v>438</v>
      </c>
      <c r="V320" s="21" t="s">
        <v>17</v>
      </c>
      <c r="W320" s="21" t="s">
        <v>439</v>
      </c>
      <c r="X320" s="21" t="s">
        <v>439</v>
      </c>
    </row>
    <row r="321" spans="1:24" ht="10.5" hidden="1" customHeight="1" x14ac:dyDescent="0.25">
      <c r="A321" s="20">
        <v>46034</v>
      </c>
      <c r="B321" s="21" t="str">
        <f t="shared" si="4"/>
        <v>12/01/2026NL300035</v>
      </c>
      <c r="C321" s="22" t="s">
        <v>495</v>
      </c>
      <c r="D321" s="22" t="s">
        <v>17</v>
      </c>
      <c r="E321" s="22" t="s">
        <v>431</v>
      </c>
      <c r="F321" s="21" t="s">
        <v>432</v>
      </c>
      <c r="G321" s="21" t="s">
        <v>433</v>
      </c>
      <c r="H321" s="21" t="s">
        <v>496</v>
      </c>
      <c r="I321" s="21" t="s">
        <v>383</v>
      </c>
      <c r="J321" s="21" t="s">
        <v>448</v>
      </c>
      <c r="K321" s="21" t="s">
        <v>442</v>
      </c>
      <c r="L321" s="23">
        <v>0.2</v>
      </c>
      <c r="M321" s="24">
        <v>25000</v>
      </c>
      <c r="N321" s="24">
        <v>0</v>
      </c>
      <c r="O321" s="25">
        <v>5000</v>
      </c>
      <c r="P321" s="25">
        <v>0</v>
      </c>
      <c r="Q321" s="24">
        <v>25000</v>
      </c>
      <c r="R321" s="21" t="s">
        <v>436</v>
      </c>
      <c r="S321" s="21" t="s">
        <v>437</v>
      </c>
      <c r="T321" s="21" t="s">
        <v>17</v>
      </c>
      <c r="U321" s="21" t="s">
        <v>438</v>
      </c>
      <c r="V321" s="21" t="s">
        <v>17</v>
      </c>
      <c r="W321" s="21" t="s">
        <v>439</v>
      </c>
      <c r="X321" s="21" t="s">
        <v>439</v>
      </c>
    </row>
    <row r="322" spans="1:24" ht="10.5" hidden="1" customHeight="1" x14ac:dyDescent="0.25">
      <c r="A322" s="20">
        <v>46034</v>
      </c>
      <c r="B322" s="21" t="str">
        <f t="shared" si="4"/>
        <v>12/01/2026NL300038</v>
      </c>
      <c r="C322" s="22" t="s">
        <v>495</v>
      </c>
      <c r="D322" s="22" t="s">
        <v>17</v>
      </c>
      <c r="E322" s="22" t="s">
        <v>431</v>
      </c>
      <c r="F322" s="21" t="s">
        <v>432</v>
      </c>
      <c r="G322" s="21" t="s">
        <v>433</v>
      </c>
      <c r="H322" s="21" t="s">
        <v>496</v>
      </c>
      <c r="I322" s="21" t="s">
        <v>217</v>
      </c>
      <c r="J322" s="21" t="s">
        <v>35</v>
      </c>
      <c r="K322" s="21" t="s">
        <v>442</v>
      </c>
      <c r="L322" s="23">
        <v>0.9</v>
      </c>
      <c r="M322" s="24">
        <v>32000</v>
      </c>
      <c r="N322" s="24">
        <v>0</v>
      </c>
      <c r="O322" s="25">
        <v>28800</v>
      </c>
      <c r="P322" s="25">
        <v>0</v>
      </c>
      <c r="Q322" s="24">
        <v>32000</v>
      </c>
      <c r="R322" s="21" t="s">
        <v>436</v>
      </c>
      <c r="S322" s="21" t="s">
        <v>437</v>
      </c>
      <c r="T322" s="21" t="s">
        <v>17</v>
      </c>
      <c r="U322" s="21" t="s">
        <v>438</v>
      </c>
      <c r="V322" s="21" t="s">
        <v>17</v>
      </c>
      <c r="W322" s="21" t="s">
        <v>439</v>
      </c>
      <c r="X322" s="21" t="s">
        <v>439</v>
      </c>
    </row>
    <row r="323" spans="1:24" ht="10.5" hidden="1" customHeight="1" x14ac:dyDescent="0.25">
      <c r="A323" s="20">
        <v>46034</v>
      </c>
      <c r="B323" s="21" t="str">
        <f t="shared" ref="B323:B386" si="5">""&amp;DAY(A323)&amp;"/01/2026"&amp;I323</f>
        <v>12/01/2026NL300041</v>
      </c>
      <c r="C323" s="22" t="s">
        <v>495</v>
      </c>
      <c r="D323" s="22" t="s">
        <v>17</v>
      </c>
      <c r="E323" s="22" t="s">
        <v>431</v>
      </c>
      <c r="F323" s="21" t="s">
        <v>432</v>
      </c>
      <c r="G323" s="21" t="s">
        <v>433</v>
      </c>
      <c r="H323" s="21" t="s">
        <v>496</v>
      </c>
      <c r="I323" s="21" t="s">
        <v>222</v>
      </c>
      <c r="J323" s="21" t="s">
        <v>449</v>
      </c>
      <c r="K323" s="21" t="s">
        <v>450</v>
      </c>
      <c r="L323" s="23">
        <v>9</v>
      </c>
      <c r="M323" s="24">
        <v>15000</v>
      </c>
      <c r="N323" s="24">
        <v>0</v>
      </c>
      <c r="O323" s="25">
        <v>135000</v>
      </c>
      <c r="P323" s="25">
        <v>0</v>
      </c>
      <c r="Q323" s="24">
        <v>15000</v>
      </c>
      <c r="R323" s="21" t="s">
        <v>436</v>
      </c>
      <c r="S323" s="21" t="s">
        <v>437</v>
      </c>
      <c r="T323" s="21" t="s">
        <v>17</v>
      </c>
      <c r="U323" s="21" t="s">
        <v>438</v>
      </c>
      <c r="V323" s="21" t="s">
        <v>17</v>
      </c>
      <c r="W323" s="21" t="s">
        <v>439</v>
      </c>
      <c r="X323" s="21" t="s">
        <v>439</v>
      </c>
    </row>
    <row r="324" spans="1:24" ht="10.5" hidden="1" customHeight="1" x14ac:dyDescent="0.25">
      <c r="A324" s="20">
        <v>46034</v>
      </c>
      <c r="B324" s="21" t="str">
        <f t="shared" si="5"/>
        <v>12/01/2026NL300054</v>
      </c>
      <c r="C324" s="22" t="s">
        <v>495</v>
      </c>
      <c r="D324" s="22" t="s">
        <v>17</v>
      </c>
      <c r="E324" s="22" t="s">
        <v>431</v>
      </c>
      <c r="F324" s="21" t="s">
        <v>432</v>
      </c>
      <c r="G324" s="21" t="s">
        <v>433</v>
      </c>
      <c r="H324" s="21" t="s">
        <v>496</v>
      </c>
      <c r="I324" s="21" t="s">
        <v>216</v>
      </c>
      <c r="J324" s="21" t="s">
        <v>451</v>
      </c>
      <c r="K324" s="21" t="s">
        <v>442</v>
      </c>
      <c r="L324" s="23">
        <v>0.9</v>
      </c>
      <c r="M324" s="24">
        <v>38000</v>
      </c>
      <c r="N324" s="24">
        <v>0</v>
      </c>
      <c r="O324" s="25">
        <v>34200</v>
      </c>
      <c r="P324" s="25">
        <v>0</v>
      </c>
      <c r="Q324" s="24">
        <v>38000</v>
      </c>
      <c r="R324" s="21" t="s">
        <v>436</v>
      </c>
      <c r="S324" s="21" t="s">
        <v>437</v>
      </c>
      <c r="T324" s="21" t="s">
        <v>17</v>
      </c>
      <c r="U324" s="21" t="s">
        <v>438</v>
      </c>
      <c r="V324" s="21" t="s">
        <v>17</v>
      </c>
      <c r="W324" s="21" t="s">
        <v>439</v>
      </c>
      <c r="X324" s="21" t="s">
        <v>439</v>
      </c>
    </row>
    <row r="325" spans="1:24" ht="10.5" hidden="1" customHeight="1" x14ac:dyDescent="0.25">
      <c r="A325" s="20">
        <v>46034</v>
      </c>
      <c r="B325" s="21" t="str">
        <f t="shared" si="5"/>
        <v>12/01/2026NL300055</v>
      </c>
      <c r="C325" s="22" t="s">
        <v>495</v>
      </c>
      <c r="D325" s="22" t="s">
        <v>17</v>
      </c>
      <c r="E325" s="22" t="s">
        <v>431</v>
      </c>
      <c r="F325" s="21" t="s">
        <v>432</v>
      </c>
      <c r="G325" s="21" t="s">
        <v>433</v>
      </c>
      <c r="H325" s="21" t="s">
        <v>496</v>
      </c>
      <c r="I325" s="21" t="s">
        <v>230</v>
      </c>
      <c r="J325" s="21" t="s">
        <v>452</v>
      </c>
      <c r="K325" s="21" t="s">
        <v>442</v>
      </c>
      <c r="L325" s="23">
        <v>0.2</v>
      </c>
      <c r="M325" s="24">
        <v>80000</v>
      </c>
      <c r="N325" s="24">
        <v>0</v>
      </c>
      <c r="O325" s="25">
        <v>16000</v>
      </c>
      <c r="P325" s="25">
        <v>0</v>
      </c>
      <c r="Q325" s="24">
        <v>80000</v>
      </c>
      <c r="R325" s="21" t="s">
        <v>436</v>
      </c>
      <c r="S325" s="21" t="s">
        <v>437</v>
      </c>
      <c r="T325" s="21" t="s">
        <v>17</v>
      </c>
      <c r="U325" s="21" t="s">
        <v>438</v>
      </c>
      <c r="V325" s="21" t="s">
        <v>17</v>
      </c>
      <c r="W325" s="21" t="s">
        <v>439</v>
      </c>
      <c r="X325" s="21" t="s">
        <v>439</v>
      </c>
    </row>
    <row r="326" spans="1:24" ht="10.5" hidden="1" customHeight="1" x14ac:dyDescent="0.25">
      <c r="A326" s="20">
        <v>46034</v>
      </c>
      <c r="B326" s="21" t="str">
        <f t="shared" si="5"/>
        <v>12/01/2026NL300058</v>
      </c>
      <c r="C326" s="22" t="s">
        <v>495</v>
      </c>
      <c r="D326" s="22" t="s">
        <v>17</v>
      </c>
      <c r="E326" s="22" t="s">
        <v>431</v>
      </c>
      <c r="F326" s="21" t="s">
        <v>432</v>
      </c>
      <c r="G326" s="21" t="s">
        <v>433</v>
      </c>
      <c r="H326" s="21" t="s">
        <v>496</v>
      </c>
      <c r="I326" s="21" t="s">
        <v>228</v>
      </c>
      <c r="J326" s="21" t="s">
        <v>39</v>
      </c>
      <c r="K326" s="21" t="s">
        <v>442</v>
      </c>
      <c r="L326" s="23">
        <v>1.8</v>
      </c>
      <c r="M326" s="24">
        <v>55000</v>
      </c>
      <c r="N326" s="24">
        <v>0</v>
      </c>
      <c r="O326" s="25">
        <v>99000</v>
      </c>
      <c r="P326" s="25">
        <v>0</v>
      </c>
      <c r="Q326" s="24">
        <v>55000</v>
      </c>
      <c r="R326" s="21" t="s">
        <v>436</v>
      </c>
      <c r="S326" s="21" t="s">
        <v>437</v>
      </c>
      <c r="T326" s="21" t="s">
        <v>17</v>
      </c>
      <c r="U326" s="21" t="s">
        <v>438</v>
      </c>
      <c r="V326" s="21" t="s">
        <v>17</v>
      </c>
      <c r="W326" s="21" t="s">
        <v>439</v>
      </c>
      <c r="X326" s="21" t="s">
        <v>439</v>
      </c>
    </row>
    <row r="327" spans="1:24" ht="10.5" hidden="1" customHeight="1" x14ac:dyDescent="0.25">
      <c r="A327" s="20">
        <v>46034</v>
      </c>
      <c r="B327" s="21" t="str">
        <f t="shared" si="5"/>
        <v>12/01/2026NL300059</v>
      </c>
      <c r="C327" s="22" t="s">
        <v>495</v>
      </c>
      <c r="D327" s="22" t="s">
        <v>17</v>
      </c>
      <c r="E327" s="22" t="s">
        <v>431</v>
      </c>
      <c r="F327" s="21" t="s">
        <v>432</v>
      </c>
      <c r="G327" s="21" t="s">
        <v>433</v>
      </c>
      <c r="H327" s="21" t="s">
        <v>496</v>
      </c>
      <c r="I327" s="21" t="s">
        <v>229</v>
      </c>
      <c r="J327" s="21" t="s">
        <v>114</v>
      </c>
      <c r="K327" s="21" t="s">
        <v>442</v>
      </c>
      <c r="L327" s="23">
        <v>0.5</v>
      </c>
      <c r="M327" s="24">
        <v>13000</v>
      </c>
      <c r="N327" s="24">
        <v>0</v>
      </c>
      <c r="O327" s="25">
        <v>6500</v>
      </c>
      <c r="P327" s="25">
        <v>0</v>
      </c>
      <c r="Q327" s="24">
        <v>13000</v>
      </c>
      <c r="R327" s="21" t="s">
        <v>436</v>
      </c>
      <c r="S327" s="21" t="s">
        <v>437</v>
      </c>
      <c r="T327" s="21" t="s">
        <v>17</v>
      </c>
      <c r="U327" s="21" t="s">
        <v>438</v>
      </c>
      <c r="V327" s="21" t="s">
        <v>17</v>
      </c>
      <c r="W327" s="21" t="s">
        <v>439</v>
      </c>
      <c r="X327" s="21" t="s">
        <v>439</v>
      </c>
    </row>
    <row r="328" spans="1:24" ht="10.5" hidden="1" customHeight="1" x14ac:dyDescent="0.25">
      <c r="A328" s="20">
        <v>46034</v>
      </c>
      <c r="B328" s="21" t="str">
        <f t="shared" si="5"/>
        <v>12/01/2026NL600004</v>
      </c>
      <c r="C328" s="22" t="s">
        <v>495</v>
      </c>
      <c r="D328" s="22" t="s">
        <v>17</v>
      </c>
      <c r="E328" s="22" t="s">
        <v>431</v>
      </c>
      <c r="F328" s="21" t="s">
        <v>432</v>
      </c>
      <c r="G328" s="21" t="s">
        <v>433</v>
      </c>
      <c r="H328" s="21" t="s">
        <v>496</v>
      </c>
      <c r="I328" s="21" t="s">
        <v>225</v>
      </c>
      <c r="J328" s="21" t="s">
        <v>37</v>
      </c>
      <c r="K328" s="21" t="s">
        <v>442</v>
      </c>
      <c r="L328" s="23">
        <v>18.399999999999999</v>
      </c>
      <c r="M328" s="24">
        <v>18000</v>
      </c>
      <c r="N328" s="24">
        <v>0</v>
      </c>
      <c r="O328" s="25">
        <v>331200</v>
      </c>
      <c r="P328" s="25">
        <v>0</v>
      </c>
      <c r="Q328" s="24">
        <v>18000</v>
      </c>
      <c r="R328" s="21" t="s">
        <v>436</v>
      </c>
      <c r="S328" s="21" t="s">
        <v>437</v>
      </c>
      <c r="T328" s="21" t="s">
        <v>17</v>
      </c>
      <c r="U328" s="21" t="s">
        <v>438</v>
      </c>
      <c r="V328" s="21" t="s">
        <v>17</v>
      </c>
      <c r="W328" s="21" t="s">
        <v>439</v>
      </c>
      <c r="X328" s="21" t="s">
        <v>439</v>
      </c>
    </row>
    <row r="329" spans="1:24" ht="10.5" hidden="1" customHeight="1" x14ac:dyDescent="0.25">
      <c r="A329" s="20">
        <v>46034</v>
      </c>
      <c r="B329" s="21" t="str">
        <f t="shared" si="5"/>
        <v>12/01/2026NL600068</v>
      </c>
      <c r="C329" s="22" t="s">
        <v>495</v>
      </c>
      <c r="D329" s="22" t="s">
        <v>17</v>
      </c>
      <c r="E329" s="22" t="s">
        <v>431</v>
      </c>
      <c r="F329" s="21" t="s">
        <v>432</v>
      </c>
      <c r="G329" s="21" t="s">
        <v>433</v>
      </c>
      <c r="H329" s="21" t="s">
        <v>496</v>
      </c>
      <c r="I329" s="21" t="s">
        <v>377</v>
      </c>
      <c r="J329" s="21" t="s">
        <v>94</v>
      </c>
      <c r="K329" s="21" t="s">
        <v>442</v>
      </c>
      <c r="L329" s="23">
        <v>0.6</v>
      </c>
      <c r="M329" s="24">
        <v>95000</v>
      </c>
      <c r="N329" s="24">
        <v>0</v>
      </c>
      <c r="O329" s="25">
        <v>57000</v>
      </c>
      <c r="P329" s="25">
        <v>0</v>
      </c>
      <c r="Q329" s="24">
        <v>95000</v>
      </c>
      <c r="R329" s="21" t="s">
        <v>436</v>
      </c>
      <c r="S329" s="21" t="s">
        <v>437</v>
      </c>
      <c r="T329" s="21" t="s">
        <v>17</v>
      </c>
      <c r="U329" s="21" t="s">
        <v>438</v>
      </c>
      <c r="V329" s="21" t="s">
        <v>17</v>
      </c>
      <c r="W329" s="21" t="s">
        <v>439</v>
      </c>
      <c r="X329" s="21" t="s">
        <v>439</v>
      </c>
    </row>
    <row r="330" spans="1:24" ht="10.5" hidden="1" customHeight="1" x14ac:dyDescent="0.25">
      <c r="A330" s="20">
        <v>46034</v>
      </c>
      <c r="B330" s="21" t="str">
        <f t="shared" si="5"/>
        <v>12/01/2026NL300030</v>
      </c>
      <c r="C330" s="22" t="s">
        <v>495</v>
      </c>
      <c r="D330" s="22" t="s">
        <v>17</v>
      </c>
      <c r="E330" s="22" t="s">
        <v>431</v>
      </c>
      <c r="F330" s="21" t="s">
        <v>432</v>
      </c>
      <c r="G330" s="21" t="s">
        <v>433</v>
      </c>
      <c r="H330" s="21" t="s">
        <v>496</v>
      </c>
      <c r="I330" s="21" t="s">
        <v>313</v>
      </c>
      <c r="J330" s="21" t="s">
        <v>470</v>
      </c>
      <c r="K330" s="21" t="s">
        <v>442</v>
      </c>
      <c r="L330" s="23">
        <v>1.5</v>
      </c>
      <c r="M330" s="24">
        <v>34000</v>
      </c>
      <c r="N330" s="24">
        <v>0</v>
      </c>
      <c r="O330" s="25">
        <v>51000</v>
      </c>
      <c r="P330" s="25">
        <v>0</v>
      </c>
      <c r="Q330" s="24">
        <v>34000</v>
      </c>
      <c r="R330" s="21" t="s">
        <v>436</v>
      </c>
      <c r="S330" s="21" t="s">
        <v>437</v>
      </c>
      <c r="T330" s="21" t="s">
        <v>17</v>
      </c>
      <c r="U330" s="21" t="s">
        <v>438</v>
      </c>
      <c r="V330" s="21" t="s">
        <v>17</v>
      </c>
      <c r="W330" s="21" t="s">
        <v>439</v>
      </c>
      <c r="X330" s="21" t="s">
        <v>439</v>
      </c>
    </row>
    <row r="331" spans="1:24" ht="10.5" hidden="1" customHeight="1" x14ac:dyDescent="0.25">
      <c r="A331" s="20">
        <v>46034</v>
      </c>
      <c r="B331" s="21" t="str">
        <f t="shared" si="5"/>
        <v>12/01/2026NL300125</v>
      </c>
      <c r="C331" s="22" t="s">
        <v>495</v>
      </c>
      <c r="D331" s="22" t="s">
        <v>17</v>
      </c>
      <c r="E331" s="22" t="s">
        <v>431</v>
      </c>
      <c r="F331" s="21" t="s">
        <v>432</v>
      </c>
      <c r="G331" s="21" t="s">
        <v>433</v>
      </c>
      <c r="H331" s="21" t="s">
        <v>496</v>
      </c>
      <c r="I331" s="21" t="s">
        <v>337</v>
      </c>
      <c r="J331" s="21" t="s">
        <v>146</v>
      </c>
      <c r="K331" s="21" t="s">
        <v>442</v>
      </c>
      <c r="L331" s="23">
        <v>0.5</v>
      </c>
      <c r="M331" s="24">
        <v>42000</v>
      </c>
      <c r="N331" s="24">
        <v>0</v>
      </c>
      <c r="O331" s="25">
        <v>21000</v>
      </c>
      <c r="P331" s="25">
        <v>0</v>
      </c>
      <c r="Q331" s="24">
        <v>42000</v>
      </c>
      <c r="R331" s="21" t="s">
        <v>436</v>
      </c>
      <c r="S331" s="21" t="s">
        <v>437</v>
      </c>
      <c r="T331" s="21" t="s">
        <v>17</v>
      </c>
      <c r="U331" s="21" t="s">
        <v>438</v>
      </c>
      <c r="V331" s="21" t="s">
        <v>17</v>
      </c>
      <c r="W331" s="21" t="s">
        <v>439</v>
      </c>
      <c r="X331" s="21" t="s">
        <v>439</v>
      </c>
    </row>
    <row r="332" spans="1:24" ht="10.5" hidden="1" customHeight="1" x14ac:dyDescent="0.25">
      <c r="A332" s="20">
        <v>46034</v>
      </c>
      <c r="B332" s="21" t="str">
        <f t="shared" si="5"/>
        <v>12/01/2026NL600067</v>
      </c>
      <c r="C332" s="22" t="s">
        <v>495</v>
      </c>
      <c r="D332" s="22" t="s">
        <v>17</v>
      </c>
      <c r="E332" s="22" t="s">
        <v>431</v>
      </c>
      <c r="F332" s="21" t="s">
        <v>432</v>
      </c>
      <c r="G332" s="21" t="s">
        <v>433</v>
      </c>
      <c r="H332" s="21" t="s">
        <v>496</v>
      </c>
      <c r="I332" s="21" t="s">
        <v>376</v>
      </c>
      <c r="J332" s="21" t="s">
        <v>60</v>
      </c>
      <c r="K332" s="21" t="s">
        <v>442</v>
      </c>
      <c r="L332" s="23">
        <v>0.8</v>
      </c>
      <c r="M332" s="24">
        <v>75000</v>
      </c>
      <c r="N332" s="24">
        <v>0</v>
      </c>
      <c r="O332" s="25">
        <v>60000</v>
      </c>
      <c r="P332" s="25">
        <v>0</v>
      </c>
      <c r="Q332" s="24">
        <v>75000</v>
      </c>
      <c r="R332" s="21" t="s">
        <v>436</v>
      </c>
      <c r="S332" s="21" t="s">
        <v>437</v>
      </c>
      <c r="T332" s="21" t="s">
        <v>17</v>
      </c>
      <c r="U332" s="21" t="s">
        <v>438</v>
      </c>
      <c r="V332" s="21" t="s">
        <v>17</v>
      </c>
      <c r="W332" s="21" t="s">
        <v>439</v>
      </c>
      <c r="X332" s="21" t="s">
        <v>439</v>
      </c>
    </row>
    <row r="333" spans="1:24" ht="10.5" hidden="1" customHeight="1" x14ac:dyDescent="0.25">
      <c r="A333" s="20">
        <v>46034</v>
      </c>
      <c r="B333" s="21" t="str">
        <f t="shared" si="5"/>
        <v>12/01/2026NL300119</v>
      </c>
      <c r="C333" s="22" t="s">
        <v>495</v>
      </c>
      <c r="D333" s="22" t="s">
        <v>17</v>
      </c>
      <c r="E333" s="22" t="s">
        <v>431</v>
      </c>
      <c r="F333" s="21" t="s">
        <v>432</v>
      </c>
      <c r="G333" s="21" t="s">
        <v>433</v>
      </c>
      <c r="H333" s="21" t="s">
        <v>496</v>
      </c>
      <c r="I333" s="21" t="s">
        <v>310</v>
      </c>
      <c r="J333" s="21" t="s">
        <v>460</v>
      </c>
      <c r="K333" s="21" t="s">
        <v>442</v>
      </c>
      <c r="L333" s="23">
        <v>0.3</v>
      </c>
      <c r="M333" s="24">
        <v>21000</v>
      </c>
      <c r="N333" s="24">
        <v>0</v>
      </c>
      <c r="O333" s="25">
        <v>6300</v>
      </c>
      <c r="P333" s="25">
        <v>0</v>
      </c>
      <c r="Q333" s="24">
        <v>21000</v>
      </c>
      <c r="R333" s="21" t="s">
        <v>436</v>
      </c>
      <c r="S333" s="21" t="s">
        <v>437</v>
      </c>
      <c r="T333" s="21" t="s">
        <v>17</v>
      </c>
      <c r="U333" s="21" t="s">
        <v>438</v>
      </c>
      <c r="V333" s="21" t="s">
        <v>17</v>
      </c>
      <c r="W333" s="21" t="s">
        <v>439</v>
      </c>
      <c r="X333" s="21" t="s">
        <v>439</v>
      </c>
    </row>
    <row r="334" spans="1:24" ht="10.5" hidden="1" customHeight="1" x14ac:dyDescent="0.25">
      <c r="A334" s="20">
        <v>46034</v>
      </c>
      <c r="B334" s="21" t="str">
        <f t="shared" si="5"/>
        <v>12/01/2026NL300142</v>
      </c>
      <c r="C334" s="22" t="s">
        <v>495</v>
      </c>
      <c r="D334" s="22" t="s">
        <v>17</v>
      </c>
      <c r="E334" s="22" t="s">
        <v>431</v>
      </c>
      <c r="F334" s="21" t="s">
        <v>432</v>
      </c>
      <c r="G334" s="21" t="s">
        <v>433</v>
      </c>
      <c r="H334" s="21" t="s">
        <v>496</v>
      </c>
      <c r="I334" s="21" t="s">
        <v>317</v>
      </c>
      <c r="J334" s="21" t="s">
        <v>441</v>
      </c>
      <c r="K334" s="21" t="s">
        <v>442</v>
      </c>
      <c r="L334" s="23">
        <v>2</v>
      </c>
      <c r="M334" s="24">
        <v>50000</v>
      </c>
      <c r="N334" s="24">
        <v>0</v>
      </c>
      <c r="O334" s="25">
        <v>100000</v>
      </c>
      <c r="P334" s="25">
        <v>0</v>
      </c>
      <c r="Q334" s="24">
        <v>50000</v>
      </c>
      <c r="R334" s="21" t="s">
        <v>436</v>
      </c>
      <c r="S334" s="21" t="s">
        <v>437</v>
      </c>
      <c r="T334" s="21" t="s">
        <v>17</v>
      </c>
      <c r="U334" s="21" t="s">
        <v>438</v>
      </c>
      <c r="V334" s="21" t="s">
        <v>17</v>
      </c>
      <c r="W334" s="21" t="s">
        <v>439</v>
      </c>
      <c r="X334" s="21" t="s">
        <v>439</v>
      </c>
    </row>
    <row r="335" spans="1:24" ht="10.5" hidden="1" customHeight="1" x14ac:dyDescent="0.25">
      <c r="A335" s="20">
        <v>46034</v>
      </c>
      <c r="B335" s="21" t="str">
        <f t="shared" si="5"/>
        <v>12/01/2026NL300097</v>
      </c>
      <c r="C335" s="22" t="s">
        <v>495</v>
      </c>
      <c r="D335" s="22" t="s">
        <v>17</v>
      </c>
      <c r="E335" s="22" t="s">
        <v>431</v>
      </c>
      <c r="F335" s="21" t="s">
        <v>432</v>
      </c>
      <c r="G335" s="21" t="s">
        <v>433</v>
      </c>
      <c r="H335" s="21" t="s">
        <v>496</v>
      </c>
      <c r="I335" s="21" t="s">
        <v>331</v>
      </c>
      <c r="J335" s="21" t="s">
        <v>443</v>
      </c>
      <c r="K335" s="21" t="s">
        <v>442</v>
      </c>
      <c r="L335" s="23">
        <v>0.5</v>
      </c>
      <c r="M335" s="24">
        <v>90000</v>
      </c>
      <c r="N335" s="24">
        <v>0</v>
      </c>
      <c r="O335" s="25">
        <v>45000</v>
      </c>
      <c r="P335" s="25">
        <v>0</v>
      </c>
      <c r="Q335" s="24">
        <v>90000</v>
      </c>
      <c r="R335" s="21" t="s">
        <v>436</v>
      </c>
      <c r="S335" s="21" t="s">
        <v>437</v>
      </c>
      <c r="T335" s="21" t="s">
        <v>17</v>
      </c>
      <c r="U335" s="21" t="s">
        <v>438</v>
      </c>
      <c r="V335" s="21" t="s">
        <v>17</v>
      </c>
      <c r="W335" s="21" t="s">
        <v>439</v>
      </c>
      <c r="X335" s="21" t="s">
        <v>439</v>
      </c>
    </row>
    <row r="336" spans="1:24" ht="10.5" hidden="1" customHeight="1" x14ac:dyDescent="0.25">
      <c r="A336" s="20">
        <v>46034</v>
      </c>
      <c r="B336" s="21" t="str">
        <f t="shared" si="5"/>
        <v>12/01/2026NL300004</v>
      </c>
      <c r="C336" s="22" t="s">
        <v>495</v>
      </c>
      <c r="D336" s="22" t="s">
        <v>17</v>
      </c>
      <c r="E336" s="22" t="s">
        <v>431</v>
      </c>
      <c r="F336" s="21" t="s">
        <v>432</v>
      </c>
      <c r="G336" s="21" t="s">
        <v>433</v>
      </c>
      <c r="H336" s="21" t="s">
        <v>496</v>
      </c>
      <c r="I336" s="21" t="s">
        <v>192</v>
      </c>
      <c r="J336" s="21" t="s">
        <v>21</v>
      </c>
      <c r="K336" s="21" t="s">
        <v>442</v>
      </c>
      <c r="L336" s="23">
        <v>5</v>
      </c>
      <c r="M336" s="24">
        <v>19000</v>
      </c>
      <c r="N336" s="24">
        <v>0</v>
      </c>
      <c r="O336" s="25">
        <v>95000</v>
      </c>
      <c r="P336" s="25">
        <v>0</v>
      </c>
      <c r="Q336" s="24">
        <v>19000</v>
      </c>
      <c r="R336" s="21" t="s">
        <v>436</v>
      </c>
      <c r="S336" s="21" t="s">
        <v>437</v>
      </c>
      <c r="T336" s="21" t="s">
        <v>17</v>
      </c>
      <c r="U336" s="21" t="s">
        <v>438</v>
      </c>
      <c r="V336" s="21" t="s">
        <v>17</v>
      </c>
      <c r="W336" s="21" t="s">
        <v>439</v>
      </c>
      <c r="X336" s="21" t="s">
        <v>439</v>
      </c>
    </row>
    <row r="337" spans="1:24" ht="10.5" hidden="1" customHeight="1" x14ac:dyDescent="0.25">
      <c r="A337" s="20">
        <v>46034</v>
      </c>
      <c r="B337" s="21" t="str">
        <f t="shared" si="5"/>
        <v>12/01/2026NL300007</v>
      </c>
      <c r="C337" s="22" t="s">
        <v>495</v>
      </c>
      <c r="D337" s="22" t="s">
        <v>17</v>
      </c>
      <c r="E337" s="22" t="s">
        <v>431</v>
      </c>
      <c r="F337" s="21" t="s">
        <v>432</v>
      </c>
      <c r="G337" s="21" t="s">
        <v>433</v>
      </c>
      <c r="H337" s="21" t="s">
        <v>496</v>
      </c>
      <c r="I337" s="21" t="s">
        <v>309</v>
      </c>
      <c r="J337" s="21" t="s">
        <v>444</v>
      </c>
      <c r="K337" s="21" t="s">
        <v>442</v>
      </c>
      <c r="L337" s="23">
        <v>2.9</v>
      </c>
      <c r="M337" s="24">
        <v>30000</v>
      </c>
      <c r="N337" s="24">
        <v>0</v>
      </c>
      <c r="O337" s="25">
        <v>87000</v>
      </c>
      <c r="P337" s="25">
        <v>0</v>
      </c>
      <c r="Q337" s="24">
        <v>30000</v>
      </c>
      <c r="R337" s="21" t="s">
        <v>436</v>
      </c>
      <c r="S337" s="21" t="s">
        <v>437</v>
      </c>
      <c r="T337" s="21" t="s">
        <v>17</v>
      </c>
      <c r="U337" s="21" t="s">
        <v>438</v>
      </c>
      <c r="V337" s="21" t="s">
        <v>17</v>
      </c>
      <c r="W337" s="21" t="s">
        <v>439</v>
      </c>
      <c r="X337" s="21" t="s">
        <v>439</v>
      </c>
    </row>
    <row r="338" spans="1:24" ht="10.5" hidden="1" customHeight="1" x14ac:dyDescent="0.25">
      <c r="A338" s="20">
        <v>46034</v>
      </c>
      <c r="B338" s="21" t="str">
        <f t="shared" si="5"/>
        <v>12/01/2026NL300008</v>
      </c>
      <c r="C338" s="22" t="s">
        <v>495</v>
      </c>
      <c r="D338" s="22" t="s">
        <v>17</v>
      </c>
      <c r="E338" s="22" t="s">
        <v>431</v>
      </c>
      <c r="F338" s="21" t="s">
        <v>432</v>
      </c>
      <c r="G338" s="21" t="s">
        <v>433</v>
      </c>
      <c r="H338" s="21" t="s">
        <v>496</v>
      </c>
      <c r="I338" s="21" t="s">
        <v>320</v>
      </c>
      <c r="J338" s="21" t="s">
        <v>445</v>
      </c>
      <c r="K338" s="21" t="s">
        <v>442</v>
      </c>
      <c r="L338" s="23">
        <v>9.5</v>
      </c>
      <c r="M338" s="24">
        <v>40000</v>
      </c>
      <c r="N338" s="24">
        <v>0</v>
      </c>
      <c r="O338" s="25">
        <v>380000</v>
      </c>
      <c r="P338" s="25">
        <v>0</v>
      </c>
      <c r="Q338" s="24">
        <v>40000</v>
      </c>
      <c r="R338" s="21" t="s">
        <v>436</v>
      </c>
      <c r="S338" s="21" t="s">
        <v>437</v>
      </c>
      <c r="T338" s="21" t="s">
        <v>17</v>
      </c>
      <c r="U338" s="21" t="s">
        <v>438</v>
      </c>
      <c r="V338" s="21" t="s">
        <v>17</v>
      </c>
      <c r="W338" s="21" t="s">
        <v>439</v>
      </c>
      <c r="X338" s="21" t="s">
        <v>439</v>
      </c>
    </row>
    <row r="339" spans="1:24" ht="10.5" hidden="1" customHeight="1" x14ac:dyDescent="0.25">
      <c r="A339" s="20">
        <v>46034</v>
      </c>
      <c r="B339" s="21" t="str">
        <f t="shared" si="5"/>
        <v>12/01/2026NL300020</v>
      </c>
      <c r="C339" s="22" t="s">
        <v>495</v>
      </c>
      <c r="D339" s="22" t="s">
        <v>17</v>
      </c>
      <c r="E339" s="22" t="s">
        <v>431</v>
      </c>
      <c r="F339" s="21" t="s">
        <v>432</v>
      </c>
      <c r="G339" s="21" t="s">
        <v>433</v>
      </c>
      <c r="H339" s="21" t="s">
        <v>496</v>
      </c>
      <c r="I339" s="21" t="s">
        <v>326</v>
      </c>
      <c r="J339" s="21" t="s">
        <v>446</v>
      </c>
      <c r="K339" s="21" t="s">
        <v>442</v>
      </c>
      <c r="L339" s="23">
        <v>2</v>
      </c>
      <c r="M339" s="24">
        <v>30000</v>
      </c>
      <c r="N339" s="24">
        <v>0</v>
      </c>
      <c r="O339" s="25">
        <v>60000</v>
      </c>
      <c r="P339" s="25">
        <v>0</v>
      </c>
      <c r="Q339" s="24">
        <v>30000</v>
      </c>
      <c r="R339" s="21" t="s">
        <v>436</v>
      </c>
      <c r="S339" s="21" t="s">
        <v>437</v>
      </c>
      <c r="T339" s="21" t="s">
        <v>17</v>
      </c>
      <c r="U339" s="21" t="s">
        <v>438</v>
      </c>
      <c r="V339" s="21" t="s">
        <v>17</v>
      </c>
      <c r="W339" s="21" t="s">
        <v>439</v>
      </c>
      <c r="X339" s="21" t="s">
        <v>439</v>
      </c>
    </row>
    <row r="340" spans="1:24" ht="10.5" hidden="1" customHeight="1" x14ac:dyDescent="0.25">
      <c r="A340" s="20">
        <v>46034</v>
      </c>
      <c r="B340" s="21" t="str">
        <f t="shared" si="5"/>
        <v>12/01/2026NL300028</v>
      </c>
      <c r="C340" s="22" t="s">
        <v>495</v>
      </c>
      <c r="D340" s="22" t="s">
        <v>17</v>
      </c>
      <c r="E340" s="22" t="s">
        <v>431</v>
      </c>
      <c r="F340" s="21" t="s">
        <v>432</v>
      </c>
      <c r="G340" s="21" t="s">
        <v>433</v>
      </c>
      <c r="H340" s="21" t="s">
        <v>496</v>
      </c>
      <c r="I340" s="21" t="s">
        <v>325</v>
      </c>
      <c r="J340" s="21" t="s">
        <v>27</v>
      </c>
      <c r="K340" s="21" t="s">
        <v>442</v>
      </c>
      <c r="L340" s="23">
        <v>0.5</v>
      </c>
      <c r="M340" s="24">
        <v>75000</v>
      </c>
      <c r="N340" s="24">
        <v>0</v>
      </c>
      <c r="O340" s="25">
        <v>37500</v>
      </c>
      <c r="P340" s="25">
        <v>0</v>
      </c>
      <c r="Q340" s="24">
        <v>75000</v>
      </c>
      <c r="R340" s="21" t="s">
        <v>436</v>
      </c>
      <c r="S340" s="21" t="s">
        <v>437</v>
      </c>
      <c r="T340" s="21" t="s">
        <v>17</v>
      </c>
      <c r="U340" s="21" t="s">
        <v>438</v>
      </c>
      <c r="V340" s="21" t="s">
        <v>17</v>
      </c>
      <c r="W340" s="21" t="s">
        <v>439</v>
      </c>
      <c r="X340" s="21" t="s">
        <v>439</v>
      </c>
    </row>
    <row r="341" spans="1:24" ht="10.5" hidden="1" customHeight="1" x14ac:dyDescent="0.25">
      <c r="A341" s="20">
        <v>46034</v>
      </c>
      <c r="B341" s="21" t="str">
        <f t="shared" si="5"/>
        <v>12/01/2026NL300070</v>
      </c>
      <c r="C341" s="22" t="s">
        <v>495</v>
      </c>
      <c r="D341" s="22" t="s">
        <v>17</v>
      </c>
      <c r="E341" s="22" t="s">
        <v>431</v>
      </c>
      <c r="F341" s="21" t="s">
        <v>432</v>
      </c>
      <c r="G341" s="21" t="s">
        <v>433</v>
      </c>
      <c r="H341" s="21" t="s">
        <v>496</v>
      </c>
      <c r="I341" s="21" t="s">
        <v>345</v>
      </c>
      <c r="J341" s="21" t="s">
        <v>465</v>
      </c>
      <c r="K341" s="21" t="s">
        <v>442</v>
      </c>
      <c r="L341" s="23">
        <v>0.6</v>
      </c>
      <c r="M341" s="24">
        <v>23000</v>
      </c>
      <c r="N341" s="24">
        <v>0</v>
      </c>
      <c r="O341" s="25">
        <v>13800</v>
      </c>
      <c r="P341" s="25">
        <v>0</v>
      </c>
      <c r="Q341" s="24">
        <v>23000</v>
      </c>
      <c r="R341" s="21" t="s">
        <v>436</v>
      </c>
      <c r="S341" s="21" t="s">
        <v>437</v>
      </c>
      <c r="T341" s="21" t="s">
        <v>17</v>
      </c>
      <c r="U341" s="21" t="s">
        <v>438</v>
      </c>
      <c r="V341" s="21" t="s">
        <v>17</v>
      </c>
      <c r="W341" s="21" t="s">
        <v>439</v>
      </c>
      <c r="X341" s="21" t="s">
        <v>439</v>
      </c>
    </row>
    <row r="342" spans="1:24" ht="10.5" hidden="1" customHeight="1" x14ac:dyDescent="0.25">
      <c r="A342" s="20">
        <v>46034</v>
      </c>
      <c r="B342" s="21" t="str">
        <f t="shared" si="5"/>
        <v>12/01/2026NL300085</v>
      </c>
      <c r="C342" s="22" t="s">
        <v>495</v>
      </c>
      <c r="D342" s="22" t="s">
        <v>17</v>
      </c>
      <c r="E342" s="22" t="s">
        <v>431</v>
      </c>
      <c r="F342" s="21" t="s">
        <v>432</v>
      </c>
      <c r="G342" s="21" t="s">
        <v>433</v>
      </c>
      <c r="H342" s="21" t="s">
        <v>496</v>
      </c>
      <c r="I342" s="21" t="s">
        <v>263</v>
      </c>
      <c r="J342" s="21" t="s">
        <v>453</v>
      </c>
      <c r="K342" s="21" t="s">
        <v>442</v>
      </c>
      <c r="L342" s="23">
        <v>2</v>
      </c>
      <c r="M342" s="24">
        <v>45000</v>
      </c>
      <c r="N342" s="24">
        <v>0</v>
      </c>
      <c r="O342" s="25">
        <v>90000</v>
      </c>
      <c r="P342" s="25">
        <v>0</v>
      </c>
      <c r="Q342" s="24">
        <v>45000</v>
      </c>
      <c r="R342" s="21" t="s">
        <v>436</v>
      </c>
      <c r="S342" s="21" t="s">
        <v>437</v>
      </c>
      <c r="T342" s="21" t="s">
        <v>17</v>
      </c>
      <c r="U342" s="21" t="s">
        <v>438</v>
      </c>
      <c r="V342" s="21" t="s">
        <v>17</v>
      </c>
      <c r="W342" s="21" t="s">
        <v>439</v>
      </c>
      <c r="X342" s="21" t="s">
        <v>439</v>
      </c>
    </row>
    <row r="343" spans="1:24" ht="10.5" hidden="1" customHeight="1" x14ac:dyDescent="0.25">
      <c r="A343" s="20">
        <v>46034</v>
      </c>
      <c r="B343" s="21" t="str">
        <f t="shared" si="5"/>
        <v>12/01/2026NL300091</v>
      </c>
      <c r="C343" s="22" t="s">
        <v>495</v>
      </c>
      <c r="D343" s="22" t="s">
        <v>17</v>
      </c>
      <c r="E343" s="22" t="s">
        <v>431</v>
      </c>
      <c r="F343" s="21" t="s">
        <v>432</v>
      </c>
      <c r="G343" s="21" t="s">
        <v>433</v>
      </c>
      <c r="H343" s="21" t="s">
        <v>496</v>
      </c>
      <c r="I343" s="21" t="s">
        <v>256</v>
      </c>
      <c r="J343" s="21" t="s">
        <v>72</v>
      </c>
      <c r="K343" s="21" t="s">
        <v>442</v>
      </c>
      <c r="L343" s="23">
        <v>2</v>
      </c>
      <c r="M343" s="24">
        <v>47000</v>
      </c>
      <c r="N343" s="24">
        <v>0</v>
      </c>
      <c r="O343" s="25">
        <v>94000</v>
      </c>
      <c r="P343" s="25">
        <v>0</v>
      </c>
      <c r="Q343" s="24">
        <v>47000</v>
      </c>
      <c r="R343" s="21" t="s">
        <v>436</v>
      </c>
      <c r="S343" s="21" t="s">
        <v>437</v>
      </c>
      <c r="T343" s="21" t="s">
        <v>17</v>
      </c>
      <c r="U343" s="21" t="s">
        <v>438</v>
      </c>
      <c r="V343" s="21" t="s">
        <v>17</v>
      </c>
      <c r="W343" s="21" t="s">
        <v>439</v>
      </c>
      <c r="X343" s="21" t="s">
        <v>439</v>
      </c>
    </row>
    <row r="344" spans="1:24" ht="10.5" hidden="1" customHeight="1" x14ac:dyDescent="0.25">
      <c r="A344" s="20">
        <v>46034</v>
      </c>
      <c r="B344" s="21" t="str">
        <f t="shared" si="5"/>
        <v>12/01/2026NL300092</v>
      </c>
      <c r="C344" s="22" t="s">
        <v>495</v>
      </c>
      <c r="D344" s="22" t="s">
        <v>17</v>
      </c>
      <c r="E344" s="22" t="s">
        <v>431</v>
      </c>
      <c r="F344" s="21" t="s">
        <v>432</v>
      </c>
      <c r="G344" s="21" t="s">
        <v>433</v>
      </c>
      <c r="H344" s="21" t="s">
        <v>496</v>
      </c>
      <c r="I344" s="21" t="s">
        <v>329</v>
      </c>
      <c r="J344" s="21" t="s">
        <v>74</v>
      </c>
      <c r="K344" s="21" t="s">
        <v>442</v>
      </c>
      <c r="L344" s="23">
        <v>4.2</v>
      </c>
      <c r="M344" s="24">
        <v>90000</v>
      </c>
      <c r="N344" s="24">
        <v>0</v>
      </c>
      <c r="O344" s="25">
        <v>378000</v>
      </c>
      <c r="P344" s="25">
        <v>0</v>
      </c>
      <c r="Q344" s="24">
        <v>90000</v>
      </c>
      <c r="R344" s="21" t="s">
        <v>436</v>
      </c>
      <c r="S344" s="21" t="s">
        <v>437</v>
      </c>
      <c r="T344" s="21" t="s">
        <v>17</v>
      </c>
      <c r="U344" s="21" t="s">
        <v>438</v>
      </c>
      <c r="V344" s="21" t="s">
        <v>17</v>
      </c>
      <c r="W344" s="21" t="s">
        <v>439</v>
      </c>
      <c r="X344" s="21" t="s">
        <v>439</v>
      </c>
    </row>
    <row r="345" spans="1:24" ht="10.5" hidden="1" customHeight="1" x14ac:dyDescent="0.25">
      <c r="A345" s="20">
        <v>46034</v>
      </c>
      <c r="B345" s="21" t="str">
        <f t="shared" si="5"/>
        <v>12/01/2026NL300094</v>
      </c>
      <c r="C345" s="22" t="s">
        <v>495</v>
      </c>
      <c r="D345" s="22" t="s">
        <v>17</v>
      </c>
      <c r="E345" s="22" t="s">
        <v>431</v>
      </c>
      <c r="F345" s="21" t="s">
        <v>432</v>
      </c>
      <c r="G345" s="21" t="s">
        <v>433</v>
      </c>
      <c r="H345" s="21" t="s">
        <v>496</v>
      </c>
      <c r="I345" s="21" t="s">
        <v>257</v>
      </c>
      <c r="J345" s="21" t="s">
        <v>454</v>
      </c>
      <c r="K345" s="21" t="s">
        <v>442</v>
      </c>
      <c r="L345" s="23">
        <v>1</v>
      </c>
      <c r="M345" s="24">
        <v>80000</v>
      </c>
      <c r="N345" s="24">
        <v>0</v>
      </c>
      <c r="O345" s="25">
        <v>80000</v>
      </c>
      <c r="P345" s="25">
        <v>0</v>
      </c>
      <c r="Q345" s="24">
        <v>80000</v>
      </c>
      <c r="R345" s="21" t="s">
        <v>436</v>
      </c>
      <c r="S345" s="21" t="s">
        <v>437</v>
      </c>
      <c r="T345" s="21" t="s">
        <v>17</v>
      </c>
      <c r="U345" s="21" t="s">
        <v>438</v>
      </c>
      <c r="V345" s="21" t="s">
        <v>17</v>
      </c>
      <c r="W345" s="21" t="s">
        <v>439</v>
      </c>
      <c r="X345" s="21" t="s">
        <v>439</v>
      </c>
    </row>
    <row r="346" spans="1:24" ht="10.5" hidden="1" customHeight="1" x14ac:dyDescent="0.25">
      <c r="A346" s="20">
        <v>46034</v>
      </c>
      <c r="B346" s="21" t="str">
        <f t="shared" si="5"/>
        <v>12/01/2026NL300101</v>
      </c>
      <c r="C346" s="22" t="s">
        <v>495</v>
      </c>
      <c r="D346" s="22" t="s">
        <v>17</v>
      </c>
      <c r="E346" s="22" t="s">
        <v>431</v>
      </c>
      <c r="F346" s="21" t="s">
        <v>432</v>
      </c>
      <c r="G346" s="21" t="s">
        <v>433</v>
      </c>
      <c r="H346" s="21" t="s">
        <v>496</v>
      </c>
      <c r="I346" s="21" t="s">
        <v>343</v>
      </c>
      <c r="J346" s="21" t="s">
        <v>480</v>
      </c>
      <c r="K346" s="21" t="s">
        <v>442</v>
      </c>
      <c r="L346" s="23">
        <v>0.5</v>
      </c>
      <c r="M346" s="24">
        <v>195000</v>
      </c>
      <c r="N346" s="24">
        <v>0</v>
      </c>
      <c r="O346" s="25">
        <v>97500</v>
      </c>
      <c r="P346" s="25">
        <v>0</v>
      </c>
      <c r="Q346" s="24">
        <v>195000</v>
      </c>
      <c r="R346" s="21" t="s">
        <v>436</v>
      </c>
      <c r="S346" s="21" t="s">
        <v>437</v>
      </c>
      <c r="T346" s="21" t="s">
        <v>17</v>
      </c>
      <c r="U346" s="21" t="s">
        <v>438</v>
      </c>
      <c r="V346" s="21" t="s">
        <v>17</v>
      </c>
      <c r="W346" s="21" t="s">
        <v>439</v>
      </c>
      <c r="X346" s="21" t="s">
        <v>439</v>
      </c>
    </row>
    <row r="347" spans="1:24" ht="10.5" hidden="1" customHeight="1" x14ac:dyDescent="0.25">
      <c r="A347" s="20">
        <v>46034</v>
      </c>
      <c r="B347" s="21" t="str">
        <f t="shared" si="5"/>
        <v>12/01/2026NL300107</v>
      </c>
      <c r="C347" s="22" t="s">
        <v>495</v>
      </c>
      <c r="D347" s="22" t="s">
        <v>17</v>
      </c>
      <c r="E347" s="22" t="s">
        <v>431</v>
      </c>
      <c r="F347" s="21" t="s">
        <v>432</v>
      </c>
      <c r="G347" s="21" t="s">
        <v>433</v>
      </c>
      <c r="H347" s="21" t="s">
        <v>496</v>
      </c>
      <c r="I347" s="21" t="s">
        <v>193</v>
      </c>
      <c r="J347" s="21" t="s">
        <v>455</v>
      </c>
      <c r="K347" s="21" t="s">
        <v>450</v>
      </c>
      <c r="L347" s="23">
        <v>8</v>
      </c>
      <c r="M347" s="24">
        <v>8500</v>
      </c>
      <c r="N347" s="24">
        <v>0</v>
      </c>
      <c r="O347" s="25">
        <v>68000</v>
      </c>
      <c r="P347" s="25">
        <v>0</v>
      </c>
      <c r="Q347" s="24">
        <v>8500</v>
      </c>
      <c r="R347" s="21" t="s">
        <v>436</v>
      </c>
      <c r="S347" s="21" t="s">
        <v>437</v>
      </c>
      <c r="T347" s="21" t="s">
        <v>17</v>
      </c>
      <c r="U347" s="21" t="s">
        <v>438</v>
      </c>
      <c r="V347" s="21" t="s">
        <v>17</v>
      </c>
      <c r="W347" s="21" t="s">
        <v>439</v>
      </c>
      <c r="X347" s="21" t="s">
        <v>439</v>
      </c>
    </row>
    <row r="348" spans="1:24" ht="10.5" hidden="1" customHeight="1" x14ac:dyDescent="0.25">
      <c r="A348" s="20">
        <v>46034</v>
      </c>
      <c r="B348" s="21" t="str">
        <f t="shared" si="5"/>
        <v>12/01/2026NL300111</v>
      </c>
      <c r="C348" s="22" t="s">
        <v>495</v>
      </c>
      <c r="D348" s="22" t="s">
        <v>17</v>
      </c>
      <c r="E348" s="22" t="s">
        <v>431</v>
      </c>
      <c r="F348" s="21" t="s">
        <v>432</v>
      </c>
      <c r="G348" s="21" t="s">
        <v>433</v>
      </c>
      <c r="H348" s="21" t="s">
        <v>496</v>
      </c>
      <c r="I348" s="21" t="s">
        <v>379</v>
      </c>
      <c r="J348" s="21" t="s">
        <v>485</v>
      </c>
      <c r="K348" s="21" t="s">
        <v>442</v>
      </c>
      <c r="L348" s="23">
        <v>0.1</v>
      </c>
      <c r="M348" s="24">
        <v>185000</v>
      </c>
      <c r="N348" s="24">
        <v>0</v>
      </c>
      <c r="O348" s="25">
        <v>18500</v>
      </c>
      <c r="P348" s="25">
        <v>0</v>
      </c>
      <c r="Q348" s="24">
        <v>185000</v>
      </c>
      <c r="R348" s="21" t="s">
        <v>436</v>
      </c>
      <c r="S348" s="21" t="s">
        <v>437</v>
      </c>
      <c r="T348" s="21" t="s">
        <v>17</v>
      </c>
      <c r="U348" s="21" t="s">
        <v>438</v>
      </c>
      <c r="V348" s="21" t="s">
        <v>17</v>
      </c>
      <c r="W348" s="21" t="s">
        <v>439</v>
      </c>
      <c r="X348" s="21" t="s">
        <v>439</v>
      </c>
    </row>
    <row r="349" spans="1:24" ht="10.5" hidden="1" customHeight="1" x14ac:dyDescent="0.25">
      <c r="A349" s="20">
        <v>46034</v>
      </c>
      <c r="B349" s="21" t="str">
        <f t="shared" si="5"/>
        <v>12/01/2026NL300116</v>
      </c>
      <c r="C349" s="22" t="s">
        <v>495</v>
      </c>
      <c r="D349" s="22" t="s">
        <v>17</v>
      </c>
      <c r="E349" s="22" t="s">
        <v>431</v>
      </c>
      <c r="F349" s="21" t="s">
        <v>432</v>
      </c>
      <c r="G349" s="21" t="s">
        <v>433</v>
      </c>
      <c r="H349" s="21" t="s">
        <v>496</v>
      </c>
      <c r="I349" s="21" t="s">
        <v>315</v>
      </c>
      <c r="J349" s="21" t="s">
        <v>456</v>
      </c>
      <c r="K349" s="21" t="s">
        <v>442</v>
      </c>
      <c r="L349" s="23">
        <v>0.3</v>
      </c>
      <c r="M349" s="24">
        <v>148000</v>
      </c>
      <c r="N349" s="24">
        <v>0</v>
      </c>
      <c r="O349" s="25">
        <v>44400</v>
      </c>
      <c r="P349" s="25">
        <v>0</v>
      </c>
      <c r="Q349" s="24">
        <v>148000</v>
      </c>
      <c r="R349" s="21" t="s">
        <v>436</v>
      </c>
      <c r="S349" s="21" t="s">
        <v>437</v>
      </c>
      <c r="T349" s="21" t="s">
        <v>17</v>
      </c>
      <c r="U349" s="21" t="s">
        <v>438</v>
      </c>
      <c r="V349" s="21" t="s">
        <v>17</v>
      </c>
      <c r="W349" s="21" t="s">
        <v>439</v>
      </c>
      <c r="X349" s="21" t="s">
        <v>439</v>
      </c>
    </row>
    <row r="350" spans="1:24" ht="10.5" hidden="1" customHeight="1" x14ac:dyDescent="0.25">
      <c r="A350" s="20">
        <v>46034</v>
      </c>
      <c r="B350" s="21" t="str">
        <f t="shared" si="5"/>
        <v>12/01/2026NL300121</v>
      </c>
      <c r="C350" s="22" t="s">
        <v>495</v>
      </c>
      <c r="D350" s="22" t="s">
        <v>17</v>
      </c>
      <c r="E350" s="22" t="s">
        <v>431</v>
      </c>
      <c r="F350" s="21" t="s">
        <v>432</v>
      </c>
      <c r="G350" s="21" t="s">
        <v>433</v>
      </c>
      <c r="H350" s="21" t="s">
        <v>496</v>
      </c>
      <c r="I350" s="21" t="s">
        <v>281</v>
      </c>
      <c r="J350" s="21" t="s">
        <v>51</v>
      </c>
      <c r="K350" s="21" t="s">
        <v>442</v>
      </c>
      <c r="L350" s="23">
        <v>0.1</v>
      </c>
      <c r="M350" s="24">
        <v>22000</v>
      </c>
      <c r="N350" s="24">
        <v>0</v>
      </c>
      <c r="O350" s="25">
        <v>2200</v>
      </c>
      <c r="P350" s="25">
        <v>0</v>
      </c>
      <c r="Q350" s="24">
        <v>22000</v>
      </c>
      <c r="R350" s="21" t="s">
        <v>436</v>
      </c>
      <c r="S350" s="21" t="s">
        <v>437</v>
      </c>
      <c r="T350" s="21" t="s">
        <v>17</v>
      </c>
      <c r="U350" s="21" t="s">
        <v>438</v>
      </c>
      <c r="V350" s="21" t="s">
        <v>17</v>
      </c>
      <c r="W350" s="21" t="s">
        <v>439</v>
      </c>
      <c r="X350" s="21" t="s">
        <v>439</v>
      </c>
    </row>
    <row r="351" spans="1:24" ht="10.5" hidden="1" customHeight="1" x14ac:dyDescent="0.25">
      <c r="A351" s="20">
        <v>46034</v>
      </c>
      <c r="B351" s="21" t="str">
        <f t="shared" si="5"/>
        <v>12/01/2026NL300126</v>
      </c>
      <c r="C351" s="22" t="s">
        <v>495</v>
      </c>
      <c r="D351" s="22" t="s">
        <v>17</v>
      </c>
      <c r="E351" s="22" t="s">
        <v>431</v>
      </c>
      <c r="F351" s="21" t="s">
        <v>432</v>
      </c>
      <c r="G351" s="21" t="s">
        <v>433</v>
      </c>
      <c r="H351" s="21" t="s">
        <v>496</v>
      </c>
      <c r="I351" s="21" t="s">
        <v>264</v>
      </c>
      <c r="J351" s="21" t="s">
        <v>457</v>
      </c>
      <c r="K351" s="21" t="s">
        <v>442</v>
      </c>
      <c r="L351" s="23">
        <v>0.1</v>
      </c>
      <c r="M351" s="24">
        <v>70000</v>
      </c>
      <c r="N351" s="24">
        <v>0</v>
      </c>
      <c r="O351" s="25">
        <v>7000</v>
      </c>
      <c r="P351" s="25">
        <v>0</v>
      </c>
      <c r="Q351" s="24">
        <v>70000</v>
      </c>
      <c r="R351" s="21" t="s">
        <v>436</v>
      </c>
      <c r="S351" s="21" t="s">
        <v>437</v>
      </c>
      <c r="T351" s="21" t="s">
        <v>17</v>
      </c>
      <c r="U351" s="21" t="s">
        <v>438</v>
      </c>
      <c r="V351" s="21" t="s">
        <v>17</v>
      </c>
      <c r="W351" s="21" t="s">
        <v>439</v>
      </c>
      <c r="X351" s="21" t="s">
        <v>439</v>
      </c>
    </row>
    <row r="352" spans="1:24" ht="10.5" hidden="1" customHeight="1" x14ac:dyDescent="0.25">
      <c r="A352" s="20">
        <v>46034</v>
      </c>
      <c r="B352" s="21" t="str">
        <f t="shared" si="5"/>
        <v>12/01/2026NL300132</v>
      </c>
      <c r="C352" s="22" t="s">
        <v>495</v>
      </c>
      <c r="D352" s="22" t="s">
        <v>17</v>
      </c>
      <c r="E352" s="22" t="s">
        <v>431</v>
      </c>
      <c r="F352" s="21" t="s">
        <v>432</v>
      </c>
      <c r="G352" s="21" t="s">
        <v>433</v>
      </c>
      <c r="H352" s="21" t="s">
        <v>496</v>
      </c>
      <c r="I352" s="21" t="s">
        <v>285</v>
      </c>
      <c r="J352" s="21" t="s">
        <v>82</v>
      </c>
      <c r="K352" s="21" t="s">
        <v>442</v>
      </c>
      <c r="L352" s="23">
        <v>1</v>
      </c>
      <c r="M352" s="24">
        <v>12000</v>
      </c>
      <c r="N352" s="24">
        <v>0</v>
      </c>
      <c r="O352" s="25">
        <v>12000</v>
      </c>
      <c r="P352" s="25">
        <v>0</v>
      </c>
      <c r="Q352" s="24">
        <v>12000</v>
      </c>
      <c r="R352" s="21" t="s">
        <v>436</v>
      </c>
      <c r="S352" s="21" t="s">
        <v>437</v>
      </c>
      <c r="T352" s="21" t="s">
        <v>17</v>
      </c>
      <c r="U352" s="21" t="s">
        <v>438</v>
      </c>
      <c r="V352" s="21" t="s">
        <v>17</v>
      </c>
      <c r="W352" s="21" t="s">
        <v>439</v>
      </c>
      <c r="X352" s="21" t="s">
        <v>439</v>
      </c>
    </row>
    <row r="353" spans="1:24" ht="10.5" hidden="1" customHeight="1" x14ac:dyDescent="0.25">
      <c r="A353" s="20">
        <v>46034</v>
      </c>
      <c r="B353" s="21" t="str">
        <f t="shared" si="5"/>
        <v>12/01/2026NL300137</v>
      </c>
      <c r="C353" s="22" t="s">
        <v>495</v>
      </c>
      <c r="D353" s="22" t="s">
        <v>17</v>
      </c>
      <c r="E353" s="22" t="s">
        <v>431</v>
      </c>
      <c r="F353" s="21" t="s">
        <v>432</v>
      </c>
      <c r="G353" s="21" t="s">
        <v>433</v>
      </c>
      <c r="H353" s="21" t="s">
        <v>496</v>
      </c>
      <c r="I353" s="21" t="s">
        <v>196</v>
      </c>
      <c r="J353" s="21" t="s">
        <v>458</v>
      </c>
      <c r="K353" s="21" t="s">
        <v>442</v>
      </c>
      <c r="L353" s="23">
        <v>3</v>
      </c>
      <c r="M353" s="24">
        <v>52000</v>
      </c>
      <c r="N353" s="24">
        <v>0</v>
      </c>
      <c r="O353" s="25">
        <v>156000</v>
      </c>
      <c r="P353" s="25">
        <v>0</v>
      </c>
      <c r="Q353" s="24">
        <v>52000</v>
      </c>
      <c r="R353" s="21" t="s">
        <v>436</v>
      </c>
      <c r="S353" s="21" t="s">
        <v>437</v>
      </c>
      <c r="T353" s="21" t="s">
        <v>17</v>
      </c>
      <c r="U353" s="21" t="s">
        <v>438</v>
      </c>
      <c r="V353" s="21" t="s">
        <v>17</v>
      </c>
      <c r="W353" s="21" t="s">
        <v>439</v>
      </c>
      <c r="X353" s="21" t="s">
        <v>439</v>
      </c>
    </row>
    <row r="354" spans="1:24" ht="10.5" hidden="1" customHeight="1" x14ac:dyDescent="0.25">
      <c r="A354" s="20">
        <v>46034</v>
      </c>
      <c r="B354" s="21" t="str">
        <f t="shared" si="5"/>
        <v>12/01/2026NL300139</v>
      </c>
      <c r="C354" s="22" t="s">
        <v>495</v>
      </c>
      <c r="D354" s="22" t="s">
        <v>17</v>
      </c>
      <c r="E354" s="22" t="s">
        <v>431</v>
      </c>
      <c r="F354" s="21" t="s">
        <v>432</v>
      </c>
      <c r="G354" s="21" t="s">
        <v>433</v>
      </c>
      <c r="H354" s="21" t="s">
        <v>496</v>
      </c>
      <c r="I354" s="21" t="s">
        <v>348</v>
      </c>
      <c r="J354" s="21" t="s">
        <v>84</v>
      </c>
      <c r="K354" s="21" t="s">
        <v>442</v>
      </c>
      <c r="L354" s="23">
        <v>0.1</v>
      </c>
      <c r="M354" s="24">
        <v>42000</v>
      </c>
      <c r="N354" s="24">
        <v>0</v>
      </c>
      <c r="O354" s="25">
        <v>4200</v>
      </c>
      <c r="P354" s="25">
        <v>0</v>
      </c>
      <c r="Q354" s="24">
        <v>42000</v>
      </c>
      <c r="R354" s="21" t="s">
        <v>436</v>
      </c>
      <c r="S354" s="21" t="s">
        <v>437</v>
      </c>
      <c r="T354" s="21" t="s">
        <v>17</v>
      </c>
      <c r="U354" s="21" t="s">
        <v>438</v>
      </c>
      <c r="V354" s="21" t="s">
        <v>17</v>
      </c>
      <c r="W354" s="21" t="s">
        <v>439</v>
      </c>
      <c r="X354" s="21" t="s">
        <v>439</v>
      </c>
    </row>
    <row r="355" spans="1:24" ht="10.5" hidden="1" customHeight="1" x14ac:dyDescent="0.25">
      <c r="A355" s="20">
        <v>46034</v>
      </c>
      <c r="B355" s="21" t="str">
        <f t="shared" si="5"/>
        <v>12/01/2026NL300147</v>
      </c>
      <c r="C355" s="22" t="s">
        <v>495</v>
      </c>
      <c r="D355" s="22" t="s">
        <v>17</v>
      </c>
      <c r="E355" s="22" t="s">
        <v>431</v>
      </c>
      <c r="F355" s="21" t="s">
        <v>432</v>
      </c>
      <c r="G355" s="21" t="s">
        <v>433</v>
      </c>
      <c r="H355" s="21" t="s">
        <v>496</v>
      </c>
      <c r="I355" s="21" t="s">
        <v>300</v>
      </c>
      <c r="J355" s="21" t="s">
        <v>459</v>
      </c>
      <c r="K355" s="21" t="s">
        <v>442</v>
      </c>
      <c r="L355" s="23">
        <v>4.5</v>
      </c>
      <c r="M355" s="24">
        <v>62000</v>
      </c>
      <c r="N355" s="24">
        <v>0</v>
      </c>
      <c r="O355" s="25">
        <v>279000</v>
      </c>
      <c r="P355" s="25">
        <v>0</v>
      </c>
      <c r="Q355" s="24">
        <v>62000</v>
      </c>
      <c r="R355" s="21" t="s">
        <v>436</v>
      </c>
      <c r="S355" s="21" t="s">
        <v>437</v>
      </c>
      <c r="T355" s="21" t="s">
        <v>17</v>
      </c>
      <c r="U355" s="21" t="s">
        <v>438</v>
      </c>
      <c r="V355" s="21" t="s">
        <v>17</v>
      </c>
      <c r="W355" s="21" t="s">
        <v>439</v>
      </c>
      <c r="X355" s="21" t="s">
        <v>439</v>
      </c>
    </row>
    <row r="356" spans="1:24" ht="10.5" hidden="1" customHeight="1" x14ac:dyDescent="0.25">
      <c r="A356" s="20">
        <v>46034</v>
      </c>
      <c r="B356" s="21" t="str">
        <f t="shared" si="5"/>
        <v>12/01/2026NL300189</v>
      </c>
      <c r="C356" s="22" t="s">
        <v>495</v>
      </c>
      <c r="D356" s="22" t="s">
        <v>17</v>
      </c>
      <c r="E356" s="22" t="s">
        <v>431</v>
      </c>
      <c r="F356" s="21" t="s">
        <v>432</v>
      </c>
      <c r="G356" s="21" t="s">
        <v>433</v>
      </c>
      <c r="H356" s="21" t="s">
        <v>496</v>
      </c>
      <c r="I356" s="21" t="s">
        <v>378</v>
      </c>
      <c r="J356" s="21" t="s">
        <v>19</v>
      </c>
      <c r="K356" s="21" t="s">
        <v>442</v>
      </c>
      <c r="L356" s="23">
        <v>2.5</v>
      </c>
      <c r="M356" s="24">
        <v>15000</v>
      </c>
      <c r="N356" s="24">
        <v>0</v>
      </c>
      <c r="O356" s="25">
        <v>37500</v>
      </c>
      <c r="P356" s="25">
        <v>0</v>
      </c>
      <c r="Q356" s="24">
        <v>15000</v>
      </c>
      <c r="R356" s="21" t="s">
        <v>436</v>
      </c>
      <c r="S356" s="21" t="s">
        <v>437</v>
      </c>
      <c r="T356" s="21" t="s">
        <v>17</v>
      </c>
      <c r="U356" s="21" t="s">
        <v>438</v>
      </c>
      <c r="V356" s="21" t="s">
        <v>17</v>
      </c>
      <c r="W356" s="21" t="s">
        <v>439</v>
      </c>
      <c r="X356" s="21" t="s">
        <v>439</v>
      </c>
    </row>
    <row r="357" spans="1:24" ht="10.5" hidden="1" customHeight="1" x14ac:dyDescent="0.25">
      <c r="A357" s="20">
        <v>46034</v>
      </c>
      <c r="B357" s="21" t="str">
        <f t="shared" si="5"/>
        <v>12/01/2026NL100101</v>
      </c>
      <c r="C357" s="22" t="s">
        <v>495</v>
      </c>
      <c r="D357" s="22" t="s">
        <v>17</v>
      </c>
      <c r="E357" s="22" t="s">
        <v>431</v>
      </c>
      <c r="F357" s="21" t="s">
        <v>432</v>
      </c>
      <c r="G357" s="21" t="s">
        <v>433</v>
      </c>
      <c r="H357" s="21" t="s">
        <v>496</v>
      </c>
      <c r="I357" s="21" t="s">
        <v>344</v>
      </c>
      <c r="J357" s="21" t="s">
        <v>107</v>
      </c>
      <c r="K357" s="21" t="s">
        <v>435</v>
      </c>
      <c r="L357" s="23">
        <v>25</v>
      </c>
      <c r="M357" s="24">
        <v>5000</v>
      </c>
      <c r="N357" s="24">
        <v>0</v>
      </c>
      <c r="O357" s="25">
        <v>125000</v>
      </c>
      <c r="P357" s="25">
        <v>0</v>
      </c>
      <c r="Q357" s="24">
        <v>5000</v>
      </c>
      <c r="R357" s="21" t="s">
        <v>436</v>
      </c>
      <c r="S357" s="21" t="s">
        <v>437</v>
      </c>
      <c r="T357" s="21" t="s">
        <v>17</v>
      </c>
      <c r="U357" s="21" t="s">
        <v>438</v>
      </c>
      <c r="V357" s="21" t="s">
        <v>17</v>
      </c>
      <c r="W357" s="21" t="s">
        <v>439</v>
      </c>
      <c r="X357" s="21" t="s">
        <v>439</v>
      </c>
    </row>
    <row r="358" spans="1:24" ht="10.5" hidden="1" customHeight="1" x14ac:dyDescent="0.25">
      <c r="A358" s="20">
        <v>46034</v>
      </c>
      <c r="B358" s="21" t="str">
        <f t="shared" si="5"/>
        <v>12/01/2026NL300020</v>
      </c>
      <c r="C358" s="22" t="s">
        <v>497</v>
      </c>
      <c r="D358" s="22" t="s">
        <v>17</v>
      </c>
      <c r="E358" s="22" t="s">
        <v>431</v>
      </c>
      <c r="F358" s="21" t="s">
        <v>432</v>
      </c>
      <c r="G358" s="21" t="s">
        <v>433</v>
      </c>
      <c r="H358" s="21" t="s">
        <v>496</v>
      </c>
      <c r="I358" s="21" t="s">
        <v>326</v>
      </c>
      <c r="J358" s="21" t="s">
        <v>446</v>
      </c>
      <c r="K358" s="21" t="s">
        <v>442</v>
      </c>
      <c r="L358" s="23">
        <v>1.7</v>
      </c>
      <c r="M358" s="24">
        <v>30000</v>
      </c>
      <c r="N358" s="24">
        <v>0</v>
      </c>
      <c r="O358" s="25">
        <v>51000</v>
      </c>
      <c r="P358" s="25">
        <v>0</v>
      </c>
      <c r="Q358" s="24">
        <v>30000</v>
      </c>
      <c r="R358" s="21" t="s">
        <v>436</v>
      </c>
      <c r="S358" s="21" t="s">
        <v>437</v>
      </c>
      <c r="T358" s="21" t="s">
        <v>17</v>
      </c>
      <c r="U358" s="21" t="s">
        <v>438</v>
      </c>
      <c r="V358" s="21" t="s">
        <v>17</v>
      </c>
      <c r="W358" s="21" t="s">
        <v>439</v>
      </c>
      <c r="X358" s="21" t="s">
        <v>439</v>
      </c>
    </row>
    <row r="359" spans="1:24" ht="10.5" hidden="1" customHeight="1" x14ac:dyDescent="0.25">
      <c r="A359" s="20">
        <v>46035</v>
      </c>
      <c r="B359" s="21" t="str">
        <f t="shared" si="5"/>
        <v>13/01/2026NL300054</v>
      </c>
      <c r="C359" s="22" t="s">
        <v>498</v>
      </c>
      <c r="D359" s="22" t="s">
        <v>17</v>
      </c>
      <c r="E359" s="22" t="s">
        <v>431</v>
      </c>
      <c r="F359" s="21" t="s">
        <v>432</v>
      </c>
      <c r="G359" s="21" t="s">
        <v>433</v>
      </c>
      <c r="H359" s="21" t="s">
        <v>499</v>
      </c>
      <c r="I359" s="21" t="s">
        <v>216</v>
      </c>
      <c r="J359" s="21" t="s">
        <v>451</v>
      </c>
      <c r="K359" s="21" t="s">
        <v>442</v>
      </c>
      <c r="L359" s="23">
        <v>0.9</v>
      </c>
      <c r="M359" s="24">
        <v>38000</v>
      </c>
      <c r="N359" s="24">
        <v>0</v>
      </c>
      <c r="O359" s="25">
        <v>34200</v>
      </c>
      <c r="P359" s="25">
        <v>0</v>
      </c>
      <c r="Q359" s="24">
        <v>38000</v>
      </c>
      <c r="R359" s="21" t="s">
        <v>436</v>
      </c>
      <c r="S359" s="21" t="s">
        <v>437</v>
      </c>
      <c r="T359" s="21" t="s">
        <v>17</v>
      </c>
      <c r="U359" s="21" t="s">
        <v>438</v>
      </c>
      <c r="V359" s="21" t="s">
        <v>17</v>
      </c>
      <c r="W359" s="21" t="s">
        <v>439</v>
      </c>
      <c r="X359" s="21" t="s">
        <v>439</v>
      </c>
    </row>
    <row r="360" spans="1:24" ht="10.5" hidden="1" customHeight="1" x14ac:dyDescent="0.25">
      <c r="A360" s="20">
        <v>46035</v>
      </c>
      <c r="B360" s="21" t="str">
        <f t="shared" si="5"/>
        <v>13/01/2026NL300058</v>
      </c>
      <c r="C360" s="22" t="s">
        <v>498</v>
      </c>
      <c r="D360" s="22" t="s">
        <v>17</v>
      </c>
      <c r="E360" s="22" t="s">
        <v>431</v>
      </c>
      <c r="F360" s="21" t="s">
        <v>432</v>
      </c>
      <c r="G360" s="21" t="s">
        <v>433</v>
      </c>
      <c r="H360" s="21" t="s">
        <v>499</v>
      </c>
      <c r="I360" s="21" t="s">
        <v>228</v>
      </c>
      <c r="J360" s="21" t="s">
        <v>39</v>
      </c>
      <c r="K360" s="21" t="s">
        <v>442</v>
      </c>
      <c r="L360" s="23">
        <v>1</v>
      </c>
      <c r="M360" s="24">
        <v>55000</v>
      </c>
      <c r="N360" s="24">
        <v>0</v>
      </c>
      <c r="O360" s="25">
        <v>55000</v>
      </c>
      <c r="P360" s="25">
        <v>0</v>
      </c>
      <c r="Q360" s="24">
        <v>55000</v>
      </c>
      <c r="R360" s="21" t="s">
        <v>436</v>
      </c>
      <c r="S360" s="21" t="s">
        <v>437</v>
      </c>
      <c r="T360" s="21" t="s">
        <v>17</v>
      </c>
      <c r="U360" s="21" t="s">
        <v>438</v>
      </c>
      <c r="V360" s="21" t="s">
        <v>17</v>
      </c>
      <c r="W360" s="21" t="s">
        <v>439</v>
      </c>
      <c r="X360" s="21" t="s">
        <v>439</v>
      </c>
    </row>
    <row r="361" spans="1:24" ht="10.5" hidden="1" customHeight="1" x14ac:dyDescent="0.25">
      <c r="A361" s="20">
        <v>46035</v>
      </c>
      <c r="B361" s="21" t="str">
        <f t="shared" si="5"/>
        <v>13/01/2026NL300059</v>
      </c>
      <c r="C361" s="22" t="s">
        <v>498</v>
      </c>
      <c r="D361" s="22" t="s">
        <v>17</v>
      </c>
      <c r="E361" s="22" t="s">
        <v>431</v>
      </c>
      <c r="F361" s="21" t="s">
        <v>432</v>
      </c>
      <c r="G361" s="21" t="s">
        <v>433</v>
      </c>
      <c r="H361" s="21" t="s">
        <v>499</v>
      </c>
      <c r="I361" s="21" t="s">
        <v>229</v>
      </c>
      <c r="J361" s="21" t="s">
        <v>114</v>
      </c>
      <c r="K361" s="21" t="s">
        <v>442</v>
      </c>
      <c r="L361" s="23">
        <v>0.5</v>
      </c>
      <c r="M361" s="24">
        <v>13000</v>
      </c>
      <c r="N361" s="24">
        <v>0</v>
      </c>
      <c r="O361" s="25">
        <v>6500</v>
      </c>
      <c r="P361" s="25">
        <v>0</v>
      </c>
      <c r="Q361" s="24">
        <v>13000</v>
      </c>
      <c r="R361" s="21" t="s">
        <v>436</v>
      </c>
      <c r="S361" s="21" t="s">
        <v>437</v>
      </c>
      <c r="T361" s="21" t="s">
        <v>17</v>
      </c>
      <c r="U361" s="21" t="s">
        <v>438</v>
      </c>
      <c r="V361" s="21" t="s">
        <v>17</v>
      </c>
      <c r="W361" s="21" t="s">
        <v>439</v>
      </c>
      <c r="X361" s="21" t="s">
        <v>439</v>
      </c>
    </row>
    <row r="362" spans="1:24" ht="10.5" hidden="1" customHeight="1" x14ac:dyDescent="0.25">
      <c r="A362" s="20">
        <v>46035</v>
      </c>
      <c r="B362" s="21" t="str">
        <f t="shared" si="5"/>
        <v>13/01/2026NL300085</v>
      </c>
      <c r="C362" s="22" t="s">
        <v>498</v>
      </c>
      <c r="D362" s="22" t="s">
        <v>17</v>
      </c>
      <c r="E362" s="22" t="s">
        <v>431</v>
      </c>
      <c r="F362" s="21" t="s">
        <v>432</v>
      </c>
      <c r="G362" s="21" t="s">
        <v>433</v>
      </c>
      <c r="H362" s="21" t="s">
        <v>499</v>
      </c>
      <c r="I362" s="21" t="s">
        <v>263</v>
      </c>
      <c r="J362" s="21" t="s">
        <v>453</v>
      </c>
      <c r="K362" s="21" t="s">
        <v>442</v>
      </c>
      <c r="L362" s="23">
        <v>0.7</v>
      </c>
      <c r="M362" s="24">
        <v>45000</v>
      </c>
      <c r="N362" s="24">
        <v>0</v>
      </c>
      <c r="O362" s="25">
        <v>31500</v>
      </c>
      <c r="P362" s="25">
        <v>0</v>
      </c>
      <c r="Q362" s="24">
        <v>45000</v>
      </c>
      <c r="R362" s="21" t="s">
        <v>436</v>
      </c>
      <c r="S362" s="21" t="s">
        <v>437</v>
      </c>
      <c r="T362" s="21" t="s">
        <v>17</v>
      </c>
      <c r="U362" s="21" t="s">
        <v>438</v>
      </c>
      <c r="V362" s="21" t="s">
        <v>17</v>
      </c>
      <c r="W362" s="21" t="s">
        <v>439</v>
      </c>
      <c r="X362" s="21" t="s">
        <v>439</v>
      </c>
    </row>
    <row r="363" spans="1:24" ht="10.5" hidden="1" customHeight="1" x14ac:dyDescent="0.25">
      <c r="A363" s="20">
        <v>46035</v>
      </c>
      <c r="B363" s="21" t="str">
        <f t="shared" si="5"/>
        <v>13/01/2026NL300091</v>
      </c>
      <c r="C363" s="22" t="s">
        <v>498</v>
      </c>
      <c r="D363" s="22" t="s">
        <v>17</v>
      </c>
      <c r="E363" s="22" t="s">
        <v>431</v>
      </c>
      <c r="F363" s="21" t="s">
        <v>432</v>
      </c>
      <c r="G363" s="21" t="s">
        <v>433</v>
      </c>
      <c r="H363" s="21" t="s">
        <v>499</v>
      </c>
      <c r="I363" s="21" t="s">
        <v>256</v>
      </c>
      <c r="J363" s="21" t="s">
        <v>72</v>
      </c>
      <c r="K363" s="21" t="s">
        <v>442</v>
      </c>
      <c r="L363" s="23">
        <v>2</v>
      </c>
      <c r="M363" s="24">
        <v>47000</v>
      </c>
      <c r="N363" s="24">
        <v>0</v>
      </c>
      <c r="O363" s="25">
        <v>94000</v>
      </c>
      <c r="P363" s="25">
        <v>0</v>
      </c>
      <c r="Q363" s="24">
        <v>47000</v>
      </c>
      <c r="R363" s="21" t="s">
        <v>436</v>
      </c>
      <c r="S363" s="21" t="s">
        <v>437</v>
      </c>
      <c r="T363" s="21" t="s">
        <v>17</v>
      </c>
      <c r="U363" s="21" t="s">
        <v>438</v>
      </c>
      <c r="V363" s="21" t="s">
        <v>17</v>
      </c>
      <c r="W363" s="21" t="s">
        <v>439</v>
      </c>
      <c r="X363" s="21" t="s">
        <v>439</v>
      </c>
    </row>
    <row r="364" spans="1:24" ht="10.5" hidden="1" customHeight="1" x14ac:dyDescent="0.25">
      <c r="A364" s="20">
        <v>46035</v>
      </c>
      <c r="B364" s="21" t="str">
        <f t="shared" si="5"/>
        <v>13/01/2026NL300092</v>
      </c>
      <c r="C364" s="22" t="s">
        <v>498</v>
      </c>
      <c r="D364" s="22" t="s">
        <v>17</v>
      </c>
      <c r="E364" s="22" t="s">
        <v>431</v>
      </c>
      <c r="F364" s="21" t="s">
        <v>432</v>
      </c>
      <c r="G364" s="21" t="s">
        <v>433</v>
      </c>
      <c r="H364" s="21" t="s">
        <v>499</v>
      </c>
      <c r="I364" s="21" t="s">
        <v>329</v>
      </c>
      <c r="J364" s="21" t="s">
        <v>74</v>
      </c>
      <c r="K364" s="21" t="s">
        <v>442</v>
      </c>
      <c r="L364" s="23">
        <v>0.5</v>
      </c>
      <c r="M364" s="24">
        <v>90000</v>
      </c>
      <c r="N364" s="24">
        <v>0</v>
      </c>
      <c r="O364" s="25">
        <v>45000</v>
      </c>
      <c r="P364" s="25">
        <v>0</v>
      </c>
      <c r="Q364" s="24">
        <v>90000</v>
      </c>
      <c r="R364" s="21" t="s">
        <v>436</v>
      </c>
      <c r="S364" s="21" t="s">
        <v>437</v>
      </c>
      <c r="T364" s="21" t="s">
        <v>17</v>
      </c>
      <c r="U364" s="21" t="s">
        <v>438</v>
      </c>
      <c r="V364" s="21" t="s">
        <v>17</v>
      </c>
      <c r="W364" s="21" t="s">
        <v>439</v>
      </c>
      <c r="X364" s="21" t="s">
        <v>439</v>
      </c>
    </row>
    <row r="365" spans="1:24" ht="10.5" hidden="1" customHeight="1" x14ac:dyDescent="0.25">
      <c r="A365" s="20">
        <v>46035</v>
      </c>
      <c r="B365" s="21" t="str">
        <f t="shared" si="5"/>
        <v>13/01/2026NL300094</v>
      </c>
      <c r="C365" s="22" t="s">
        <v>498</v>
      </c>
      <c r="D365" s="22" t="s">
        <v>17</v>
      </c>
      <c r="E365" s="22" t="s">
        <v>431</v>
      </c>
      <c r="F365" s="21" t="s">
        <v>432</v>
      </c>
      <c r="G365" s="21" t="s">
        <v>433</v>
      </c>
      <c r="H365" s="21" t="s">
        <v>499</v>
      </c>
      <c r="I365" s="21" t="s">
        <v>257</v>
      </c>
      <c r="J365" s="21" t="s">
        <v>454</v>
      </c>
      <c r="K365" s="21" t="s">
        <v>442</v>
      </c>
      <c r="L365" s="23">
        <v>1</v>
      </c>
      <c r="M365" s="24">
        <v>80000</v>
      </c>
      <c r="N365" s="24">
        <v>0</v>
      </c>
      <c r="O365" s="25">
        <v>80000</v>
      </c>
      <c r="P365" s="25">
        <v>0</v>
      </c>
      <c r="Q365" s="24">
        <v>80000</v>
      </c>
      <c r="R365" s="21" t="s">
        <v>436</v>
      </c>
      <c r="S365" s="21" t="s">
        <v>437</v>
      </c>
      <c r="T365" s="21" t="s">
        <v>17</v>
      </c>
      <c r="U365" s="21" t="s">
        <v>438</v>
      </c>
      <c r="V365" s="21" t="s">
        <v>17</v>
      </c>
      <c r="W365" s="21" t="s">
        <v>439</v>
      </c>
      <c r="X365" s="21" t="s">
        <v>439</v>
      </c>
    </row>
    <row r="366" spans="1:24" ht="10.5" hidden="1" customHeight="1" x14ac:dyDescent="0.25">
      <c r="A366" s="20">
        <v>46035</v>
      </c>
      <c r="B366" s="21" t="str">
        <f t="shared" si="5"/>
        <v>13/01/2026NL300142</v>
      </c>
      <c r="C366" s="22" t="s">
        <v>498</v>
      </c>
      <c r="D366" s="22" t="s">
        <v>17</v>
      </c>
      <c r="E366" s="22" t="s">
        <v>431</v>
      </c>
      <c r="F366" s="21" t="s">
        <v>432</v>
      </c>
      <c r="G366" s="21" t="s">
        <v>433</v>
      </c>
      <c r="H366" s="21" t="s">
        <v>499</v>
      </c>
      <c r="I366" s="21" t="s">
        <v>317</v>
      </c>
      <c r="J366" s="21" t="s">
        <v>441</v>
      </c>
      <c r="K366" s="21" t="s">
        <v>442</v>
      </c>
      <c r="L366" s="23">
        <v>2</v>
      </c>
      <c r="M366" s="24">
        <v>50000</v>
      </c>
      <c r="N366" s="24">
        <v>0</v>
      </c>
      <c r="O366" s="25">
        <v>100000</v>
      </c>
      <c r="P366" s="25">
        <v>0</v>
      </c>
      <c r="Q366" s="24">
        <v>50000</v>
      </c>
      <c r="R366" s="21" t="s">
        <v>436</v>
      </c>
      <c r="S366" s="21" t="s">
        <v>437</v>
      </c>
      <c r="T366" s="21" t="s">
        <v>17</v>
      </c>
      <c r="U366" s="21" t="s">
        <v>438</v>
      </c>
      <c r="V366" s="21" t="s">
        <v>17</v>
      </c>
      <c r="W366" s="21" t="s">
        <v>439</v>
      </c>
      <c r="X366" s="21" t="s">
        <v>439</v>
      </c>
    </row>
    <row r="367" spans="1:24" ht="10.5" hidden="1" customHeight="1" x14ac:dyDescent="0.25">
      <c r="A367" s="20">
        <v>46035</v>
      </c>
      <c r="B367" s="21" t="str">
        <f t="shared" si="5"/>
        <v>13/01/2026NL300007</v>
      </c>
      <c r="C367" s="22" t="s">
        <v>498</v>
      </c>
      <c r="D367" s="22" t="s">
        <v>17</v>
      </c>
      <c r="E367" s="22" t="s">
        <v>431</v>
      </c>
      <c r="F367" s="21" t="s">
        <v>432</v>
      </c>
      <c r="G367" s="21" t="s">
        <v>433</v>
      </c>
      <c r="H367" s="21" t="s">
        <v>499</v>
      </c>
      <c r="I367" s="21" t="s">
        <v>309</v>
      </c>
      <c r="J367" s="21" t="s">
        <v>444</v>
      </c>
      <c r="K367" s="21" t="s">
        <v>442</v>
      </c>
      <c r="L367" s="23">
        <v>3.1</v>
      </c>
      <c r="M367" s="24">
        <v>30000</v>
      </c>
      <c r="N367" s="24">
        <v>0</v>
      </c>
      <c r="O367" s="25">
        <v>93000</v>
      </c>
      <c r="P367" s="25">
        <v>0</v>
      </c>
      <c r="Q367" s="24">
        <v>30000</v>
      </c>
      <c r="R367" s="21" t="s">
        <v>436</v>
      </c>
      <c r="S367" s="21" t="s">
        <v>437</v>
      </c>
      <c r="T367" s="21" t="s">
        <v>17</v>
      </c>
      <c r="U367" s="21" t="s">
        <v>438</v>
      </c>
      <c r="V367" s="21" t="s">
        <v>17</v>
      </c>
      <c r="W367" s="21" t="s">
        <v>439</v>
      </c>
      <c r="X367" s="21" t="s">
        <v>439</v>
      </c>
    </row>
    <row r="368" spans="1:24" ht="10.5" hidden="1" customHeight="1" x14ac:dyDescent="0.25">
      <c r="A368" s="20">
        <v>46035</v>
      </c>
      <c r="B368" s="21" t="str">
        <f t="shared" si="5"/>
        <v>13/01/2026NL300008</v>
      </c>
      <c r="C368" s="22" t="s">
        <v>498</v>
      </c>
      <c r="D368" s="22" t="s">
        <v>17</v>
      </c>
      <c r="E368" s="22" t="s">
        <v>431</v>
      </c>
      <c r="F368" s="21" t="s">
        <v>432</v>
      </c>
      <c r="G368" s="21" t="s">
        <v>433</v>
      </c>
      <c r="H368" s="21" t="s">
        <v>499</v>
      </c>
      <c r="I368" s="21" t="s">
        <v>320</v>
      </c>
      <c r="J368" s="21" t="s">
        <v>445</v>
      </c>
      <c r="K368" s="21" t="s">
        <v>442</v>
      </c>
      <c r="L368" s="23">
        <v>9</v>
      </c>
      <c r="M368" s="24">
        <v>40000</v>
      </c>
      <c r="N368" s="24">
        <v>0</v>
      </c>
      <c r="O368" s="25">
        <v>360000</v>
      </c>
      <c r="P368" s="25">
        <v>0</v>
      </c>
      <c r="Q368" s="24">
        <v>40000</v>
      </c>
      <c r="R368" s="21" t="s">
        <v>436</v>
      </c>
      <c r="S368" s="21" t="s">
        <v>437</v>
      </c>
      <c r="T368" s="21" t="s">
        <v>17</v>
      </c>
      <c r="U368" s="21" t="s">
        <v>438</v>
      </c>
      <c r="V368" s="21" t="s">
        <v>17</v>
      </c>
      <c r="W368" s="21" t="s">
        <v>439</v>
      </c>
      <c r="X368" s="21" t="s">
        <v>439</v>
      </c>
    </row>
    <row r="369" spans="1:24" ht="10.5" hidden="1" customHeight="1" x14ac:dyDescent="0.25">
      <c r="A369" s="20">
        <v>46035</v>
      </c>
      <c r="B369" s="21" t="str">
        <f t="shared" si="5"/>
        <v>13/01/2026NL300020</v>
      </c>
      <c r="C369" s="22" t="s">
        <v>498</v>
      </c>
      <c r="D369" s="22" t="s">
        <v>17</v>
      </c>
      <c r="E369" s="22" t="s">
        <v>431</v>
      </c>
      <c r="F369" s="21" t="s">
        <v>432</v>
      </c>
      <c r="G369" s="21" t="s">
        <v>433</v>
      </c>
      <c r="H369" s="21" t="s">
        <v>499</v>
      </c>
      <c r="I369" s="21" t="s">
        <v>326</v>
      </c>
      <c r="J369" s="21" t="s">
        <v>446</v>
      </c>
      <c r="K369" s="21" t="s">
        <v>442</v>
      </c>
      <c r="L369" s="23">
        <v>1</v>
      </c>
      <c r="M369" s="24">
        <v>30000</v>
      </c>
      <c r="N369" s="24">
        <v>0</v>
      </c>
      <c r="O369" s="25">
        <v>30000</v>
      </c>
      <c r="P369" s="25">
        <v>0</v>
      </c>
      <c r="Q369" s="24">
        <v>30000</v>
      </c>
      <c r="R369" s="21" t="s">
        <v>436</v>
      </c>
      <c r="S369" s="21" t="s">
        <v>437</v>
      </c>
      <c r="T369" s="21" t="s">
        <v>17</v>
      </c>
      <c r="U369" s="21" t="s">
        <v>438</v>
      </c>
      <c r="V369" s="21" t="s">
        <v>17</v>
      </c>
      <c r="W369" s="21" t="s">
        <v>439</v>
      </c>
      <c r="X369" s="21" t="s">
        <v>439</v>
      </c>
    </row>
    <row r="370" spans="1:24" ht="10.5" hidden="1" customHeight="1" x14ac:dyDescent="0.25">
      <c r="A370" s="20">
        <v>46035</v>
      </c>
      <c r="B370" s="21" t="str">
        <f t="shared" si="5"/>
        <v>13/01/2026NL300025</v>
      </c>
      <c r="C370" s="22" t="s">
        <v>498</v>
      </c>
      <c r="D370" s="22" t="s">
        <v>17</v>
      </c>
      <c r="E370" s="22" t="s">
        <v>431</v>
      </c>
      <c r="F370" s="21" t="s">
        <v>432</v>
      </c>
      <c r="G370" s="21" t="s">
        <v>433</v>
      </c>
      <c r="H370" s="21" t="s">
        <v>499</v>
      </c>
      <c r="I370" s="21" t="s">
        <v>211</v>
      </c>
      <c r="J370" s="21" t="s">
        <v>447</v>
      </c>
      <c r="K370" s="21" t="s">
        <v>442</v>
      </c>
      <c r="L370" s="23">
        <v>0.7</v>
      </c>
      <c r="M370" s="24">
        <v>44000</v>
      </c>
      <c r="N370" s="24">
        <v>0</v>
      </c>
      <c r="O370" s="25">
        <v>30800</v>
      </c>
      <c r="P370" s="25">
        <v>0</v>
      </c>
      <c r="Q370" s="24">
        <v>44000</v>
      </c>
      <c r="R370" s="21" t="s">
        <v>436</v>
      </c>
      <c r="S370" s="21" t="s">
        <v>437</v>
      </c>
      <c r="T370" s="21" t="s">
        <v>17</v>
      </c>
      <c r="U370" s="21" t="s">
        <v>438</v>
      </c>
      <c r="V370" s="21" t="s">
        <v>17</v>
      </c>
      <c r="W370" s="21" t="s">
        <v>439</v>
      </c>
      <c r="X370" s="21" t="s">
        <v>439</v>
      </c>
    </row>
    <row r="371" spans="1:24" ht="10.5" hidden="1" customHeight="1" x14ac:dyDescent="0.25">
      <c r="A371" s="20">
        <v>46035</v>
      </c>
      <c r="B371" s="21" t="str">
        <f t="shared" si="5"/>
        <v>13/01/2026NL300036</v>
      </c>
      <c r="C371" s="22" t="s">
        <v>498</v>
      </c>
      <c r="D371" s="22" t="s">
        <v>17</v>
      </c>
      <c r="E371" s="22" t="s">
        <v>431</v>
      </c>
      <c r="F371" s="21" t="s">
        <v>432</v>
      </c>
      <c r="G371" s="21" t="s">
        <v>433</v>
      </c>
      <c r="H371" s="21" t="s">
        <v>499</v>
      </c>
      <c r="I371" s="21" t="s">
        <v>380</v>
      </c>
      <c r="J371" s="21" t="s">
        <v>96</v>
      </c>
      <c r="K371" s="21" t="s">
        <v>442</v>
      </c>
      <c r="L371" s="23">
        <v>1</v>
      </c>
      <c r="M371" s="24">
        <v>47000</v>
      </c>
      <c r="N371" s="24">
        <v>0</v>
      </c>
      <c r="O371" s="25">
        <v>47000</v>
      </c>
      <c r="P371" s="25">
        <v>0</v>
      </c>
      <c r="Q371" s="24">
        <v>47000</v>
      </c>
      <c r="R371" s="21" t="s">
        <v>436</v>
      </c>
      <c r="S371" s="21" t="s">
        <v>437</v>
      </c>
      <c r="T371" s="21" t="s">
        <v>17</v>
      </c>
      <c r="U371" s="21" t="s">
        <v>438</v>
      </c>
      <c r="V371" s="21" t="s">
        <v>17</v>
      </c>
      <c r="W371" s="21" t="s">
        <v>439</v>
      </c>
      <c r="X371" s="21" t="s">
        <v>439</v>
      </c>
    </row>
    <row r="372" spans="1:24" ht="10.5" hidden="1" customHeight="1" x14ac:dyDescent="0.25">
      <c r="A372" s="20">
        <v>46035</v>
      </c>
      <c r="B372" s="21" t="str">
        <f t="shared" si="5"/>
        <v>13/01/2026NL300038</v>
      </c>
      <c r="C372" s="22" t="s">
        <v>498</v>
      </c>
      <c r="D372" s="22" t="s">
        <v>17</v>
      </c>
      <c r="E372" s="22" t="s">
        <v>431</v>
      </c>
      <c r="F372" s="21" t="s">
        <v>432</v>
      </c>
      <c r="G372" s="21" t="s">
        <v>433</v>
      </c>
      <c r="H372" s="21" t="s">
        <v>499</v>
      </c>
      <c r="I372" s="21" t="s">
        <v>217</v>
      </c>
      <c r="J372" s="21" t="s">
        <v>35</v>
      </c>
      <c r="K372" s="21" t="s">
        <v>442</v>
      </c>
      <c r="L372" s="23">
        <v>1.8</v>
      </c>
      <c r="M372" s="24">
        <v>32000</v>
      </c>
      <c r="N372" s="24">
        <v>0</v>
      </c>
      <c r="O372" s="25">
        <v>57600</v>
      </c>
      <c r="P372" s="25">
        <v>0</v>
      </c>
      <c r="Q372" s="24">
        <v>32000</v>
      </c>
      <c r="R372" s="21" t="s">
        <v>436</v>
      </c>
      <c r="S372" s="21" t="s">
        <v>437</v>
      </c>
      <c r="T372" s="21" t="s">
        <v>17</v>
      </c>
      <c r="U372" s="21" t="s">
        <v>438</v>
      </c>
      <c r="V372" s="21" t="s">
        <v>17</v>
      </c>
      <c r="W372" s="21" t="s">
        <v>439</v>
      </c>
      <c r="X372" s="21" t="s">
        <v>439</v>
      </c>
    </row>
    <row r="373" spans="1:24" ht="10.5" hidden="1" customHeight="1" x14ac:dyDescent="0.25">
      <c r="A373" s="20">
        <v>46035</v>
      </c>
      <c r="B373" s="21" t="str">
        <f t="shared" si="5"/>
        <v>13/01/2026NL300096</v>
      </c>
      <c r="C373" s="22" t="s">
        <v>498</v>
      </c>
      <c r="D373" s="22" t="s">
        <v>17</v>
      </c>
      <c r="E373" s="22" t="s">
        <v>431</v>
      </c>
      <c r="F373" s="21" t="s">
        <v>432</v>
      </c>
      <c r="G373" s="21" t="s">
        <v>433</v>
      </c>
      <c r="H373" s="21" t="s">
        <v>499</v>
      </c>
      <c r="I373" s="21" t="s">
        <v>258</v>
      </c>
      <c r="J373" s="21" t="s">
        <v>45</v>
      </c>
      <c r="K373" s="21" t="s">
        <v>442</v>
      </c>
      <c r="L373" s="23">
        <v>2.6</v>
      </c>
      <c r="M373" s="24">
        <v>45000</v>
      </c>
      <c r="N373" s="24">
        <v>0</v>
      </c>
      <c r="O373" s="25">
        <v>117000</v>
      </c>
      <c r="P373" s="25">
        <v>0</v>
      </c>
      <c r="Q373" s="24">
        <v>45000</v>
      </c>
      <c r="R373" s="21" t="s">
        <v>436</v>
      </c>
      <c r="S373" s="21" t="s">
        <v>437</v>
      </c>
      <c r="T373" s="21" t="s">
        <v>17</v>
      </c>
      <c r="U373" s="21" t="s">
        <v>438</v>
      </c>
      <c r="V373" s="21" t="s">
        <v>17</v>
      </c>
      <c r="W373" s="21" t="s">
        <v>439</v>
      </c>
      <c r="X373" s="21" t="s">
        <v>439</v>
      </c>
    </row>
    <row r="374" spans="1:24" ht="10.5" hidden="1" customHeight="1" x14ac:dyDescent="0.25">
      <c r="A374" s="20">
        <v>46035</v>
      </c>
      <c r="B374" s="21" t="str">
        <f t="shared" si="5"/>
        <v>13/01/2026NL300107</v>
      </c>
      <c r="C374" s="22" t="s">
        <v>498</v>
      </c>
      <c r="D374" s="22" t="s">
        <v>17</v>
      </c>
      <c r="E374" s="22" t="s">
        <v>431</v>
      </c>
      <c r="F374" s="21" t="s">
        <v>432</v>
      </c>
      <c r="G374" s="21" t="s">
        <v>433</v>
      </c>
      <c r="H374" s="21" t="s">
        <v>499</v>
      </c>
      <c r="I374" s="21" t="s">
        <v>193</v>
      </c>
      <c r="J374" s="21" t="s">
        <v>455</v>
      </c>
      <c r="K374" s="21" t="s">
        <v>450</v>
      </c>
      <c r="L374" s="23">
        <v>5</v>
      </c>
      <c r="M374" s="24">
        <v>8500</v>
      </c>
      <c r="N374" s="24">
        <v>0</v>
      </c>
      <c r="O374" s="25">
        <v>42500</v>
      </c>
      <c r="P374" s="25">
        <v>0</v>
      </c>
      <c r="Q374" s="24">
        <v>8500</v>
      </c>
      <c r="R374" s="21" t="s">
        <v>436</v>
      </c>
      <c r="S374" s="21" t="s">
        <v>437</v>
      </c>
      <c r="T374" s="21" t="s">
        <v>17</v>
      </c>
      <c r="U374" s="21" t="s">
        <v>438</v>
      </c>
      <c r="V374" s="21" t="s">
        <v>17</v>
      </c>
      <c r="W374" s="21" t="s">
        <v>439</v>
      </c>
      <c r="X374" s="21" t="s">
        <v>439</v>
      </c>
    </row>
    <row r="375" spans="1:24" ht="10.5" hidden="1" customHeight="1" x14ac:dyDescent="0.25">
      <c r="A375" s="20">
        <v>46035</v>
      </c>
      <c r="B375" s="21" t="str">
        <f t="shared" si="5"/>
        <v>13/01/2026NL300113</v>
      </c>
      <c r="C375" s="22" t="s">
        <v>498</v>
      </c>
      <c r="D375" s="22" t="s">
        <v>17</v>
      </c>
      <c r="E375" s="22" t="s">
        <v>431</v>
      </c>
      <c r="F375" s="21" t="s">
        <v>432</v>
      </c>
      <c r="G375" s="21" t="s">
        <v>433</v>
      </c>
      <c r="H375" s="21" t="s">
        <v>499</v>
      </c>
      <c r="I375" s="21" t="s">
        <v>271</v>
      </c>
      <c r="J375" s="21" t="s">
        <v>103</v>
      </c>
      <c r="K375" s="21" t="s">
        <v>442</v>
      </c>
      <c r="L375" s="23">
        <v>0.8</v>
      </c>
      <c r="M375" s="24">
        <v>145000</v>
      </c>
      <c r="N375" s="24">
        <v>0</v>
      </c>
      <c r="O375" s="25">
        <v>116000</v>
      </c>
      <c r="P375" s="25">
        <v>0</v>
      </c>
      <c r="Q375" s="24">
        <v>145000</v>
      </c>
      <c r="R375" s="21" t="s">
        <v>436</v>
      </c>
      <c r="S375" s="21" t="s">
        <v>437</v>
      </c>
      <c r="T375" s="21" t="s">
        <v>17</v>
      </c>
      <c r="U375" s="21" t="s">
        <v>438</v>
      </c>
      <c r="V375" s="21" t="s">
        <v>17</v>
      </c>
      <c r="W375" s="21" t="s">
        <v>439</v>
      </c>
      <c r="X375" s="21" t="s">
        <v>439</v>
      </c>
    </row>
    <row r="376" spans="1:24" ht="10.5" hidden="1" customHeight="1" x14ac:dyDescent="0.25">
      <c r="A376" s="20">
        <v>46035</v>
      </c>
      <c r="B376" s="21" t="str">
        <f t="shared" si="5"/>
        <v>13/01/2026NL300116</v>
      </c>
      <c r="C376" s="22" t="s">
        <v>498</v>
      </c>
      <c r="D376" s="22" t="s">
        <v>17</v>
      </c>
      <c r="E376" s="22" t="s">
        <v>431</v>
      </c>
      <c r="F376" s="21" t="s">
        <v>432</v>
      </c>
      <c r="G376" s="21" t="s">
        <v>433</v>
      </c>
      <c r="H376" s="21" t="s">
        <v>499</v>
      </c>
      <c r="I376" s="21" t="s">
        <v>315</v>
      </c>
      <c r="J376" s="21" t="s">
        <v>456</v>
      </c>
      <c r="K376" s="21" t="s">
        <v>442</v>
      </c>
      <c r="L376" s="23">
        <v>0.2</v>
      </c>
      <c r="M376" s="24">
        <v>148000</v>
      </c>
      <c r="N376" s="24">
        <v>0</v>
      </c>
      <c r="O376" s="25">
        <v>29600</v>
      </c>
      <c r="P376" s="25">
        <v>0</v>
      </c>
      <c r="Q376" s="24">
        <v>148000</v>
      </c>
      <c r="R376" s="21" t="s">
        <v>436</v>
      </c>
      <c r="S376" s="21" t="s">
        <v>437</v>
      </c>
      <c r="T376" s="21" t="s">
        <v>17</v>
      </c>
      <c r="U376" s="21" t="s">
        <v>438</v>
      </c>
      <c r="V376" s="21" t="s">
        <v>17</v>
      </c>
      <c r="W376" s="21" t="s">
        <v>439</v>
      </c>
      <c r="X376" s="21" t="s">
        <v>439</v>
      </c>
    </row>
    <row r="377" spans="1:24" ht="10.5" hidden="1" customHeight="1" x14ac:dyDescent="0.25">
      <c r="A377" s="20">
        <v>46035</v>
      </c>
      <c r="B377" s="21" t="str">
        <f t="shared" si="5"/>
        <v>13/01/2026NL300132</v>
      </c>
      <c r="C377" s="22" t="s">
        <v>498</v>
      </c>
      <c r="D377" s="22" t="s">
        <v>17</v>
      </c>
      <c r="E377" s="22" t="s">
        <v>431</v>
      </c>
      <c r="F377" s="21" t="s">
        <v>432</v>
      </c>
      <c r="G377" s="21" t="s">
        <v>433</v>
      </c>
      <c r="H377" s="21" t="s">
        <v>499</v>
      </c>
      <c r="I377" s="21" t="s">
        <v>285</v>
      </c>
      <c r="J377" s="21" t="s">
        <v>82</v>
      </c>
      <c r="K377" s="21" t="s">
        <v>442</v>
      </c>
      <c r="L377" s="23">
        <v>1</v>
      </c>
      <c r="M377" s="24">
        <v>12000</v>
      </c>
      <c r="N377" s="24">
        <v>0</v>
      </c>
      <c r="O377" s="25">
        <v>12000</v>
      </c>
      <c r="P377" s="25">
        <v>0</v>
      </c>
      <c r="Q377" s="24">
        <v>12000</v>
      </c>
      <c r="R377" s="21" t="s">
        <v>436</v>
      </c>
      <c r="S377" s="21" t="s">
        <v>437</v>
      </c>
      <c r="T377" s="21" t="s">
        <v>17</v>
      </c>
      <c r="U377" s="21" t="s">
        <v>438</v>
      </c>
      <c r="V377" s="21" t="s">
        <v>17</v>
      </c>
      <c r="W377" s="21" t="s">
        <v>439</v>
      </c>
      <c r="X377" s="21" t="s">
        <v>439</v>
      </c>
    </row>
    <row r="378" spans="1:24" ht="10.5" hidden="1" customHeight="1" x14ac:dyDescent="0.25">
      <c r="A378" s="20">
        <v>46035</v>
      </c>
      <c r="B378" s="21" t="str">
        <f t="shared" si="5"/>
        <v>13/01/2026NL300147</v>
      </c>
      <c r="C378" s="22" t="s">
        <v>498</v>
      </c>
      <c r="D378" s="22" t="s">
        <v>17</v>
      </c>
      <c r="E378" s="22" t="s">
        <v>431</v>
      </c>
      <c r="F378" s="21" t="s">
        <v>432</v>
      </c>
      <c r="G378" s="21" t="s">
        <v>433</v>
      </c>
      <c r="H378" s="21" t="s">
        <v>499</v>
      </c>
      <c r="I378" s="21" t="s">
        <v>300</v>
      </c>
      <c r="J378" s="21" t="s">
        <v>459</v>
      </c>
      <c r="K378" s="21" t="s">
        <v>442</v>
      </c>
      <c r="L378" s="23">
        <v>2.5</v>
      </c>
      <c r="M378" s="24">
        <v>62000</v>
      </c>
      <c r="N378" s="24">
        <v>0</v>
      </c>
      <c r="O378" s="25">
        <v>155000</v>
      </c>
      <c r="P378" s="25">
        <v>0</v>
      </c>
      <c r="Q378" s="24">
        <v>62000</v>
      </c>
      <c r="R378" s="21" t="s">
        <v>436</v>
      </c>
      <c r="S378" s="21" t="s">
        <v>437</v>
      </c>
      <c r="T378" s="21" t="s">
        <v>17</v>
      </c>
      <c r="U378" s="21" t="s">
        <v>438</v>
      </c>
      <c r="V378" s="21" t="s">
        <v>17</v>
      </c>
      <c r="W378" s="21" t="s">
        <v>439</v>
      </c>
      <c r="X378" s="21" t="s">
        <v>439</v>
      </c>
    </row>
    <row r="379" spans="1:24" ht="10.5" hidden="1" customHeight="1" x14ac:dyDescent="0.25">
      <c r="A379" s="20">
        <v>46035</v>
      </c>
      <c r="B379" s="21" t="str">
        <f t="shared" si="5"/>
        <v>13/01/2026NL300158</v>
      </c>
      <c r="C379" s="22" t="s">
        <v>498</v>
      </c>
      <c r="D379" s="22" t="s">
        <v>17</v>
      </c>
      <c r="E379" s="22" t="s">
        <v>431</v>
      </c>
      <c r="F379" s="21" t="s">
        <v>432</v>
      </c>
      <c r="G379" s="21" t="s">
        <v>433</v>
      </c>
      <c r="H379" s="21" t="s">
        <v>499</v>
      </c>
      <c r="I379" s="21" t="s">
        <v>367</v>
      </c>
      <c r="J379" s="21" t="s">
        <v>481</v>
      </c>
      <c r="K379" s="21" t="s">
        <v>442</v>
      </c>
      <c r="L379" s="23">
        <v>0.2</v>
      </c>
      <c r="M379" s="24">
        <v>250000</v>
      </c>
      <c r="N379" s="24">
        <v>0</v>
      </c>
      <c r="O379" s="25">
        <v>50000</v>
      </c>
      <c r="P379" s="25">
        <v>0</v>
      </c>
      <c r="Q379" s="24">
        <v>250000</v>
      </c>
      <c r="R379" s="21" t="s">
        <v>436</v>
      </c>
      <c r="S379" s="21" t="s">
        <v>437</v>
      </c>
      <c r="T379" s="21" t="s">
        <v>17</v>
      </c>
      <c r="U379" s="21" t="s">
        <v>438</v>
      </c>
      <c r="V379" s="21" t="s">
        <v>17</v>
      </c>
      <c r="W379" s="21" t="s">
        <v>439</v>
      </c>
      <c r="X379" s="21" t="s">
        <v>439</v>
      </c>
    </row>
    <row r="380" spans="1:24" ht="10.5" hidden="1" customHeight="1" x14ac:dyDescent="0.25">
      <c r="A380" s="20">
        <v>46035</v>
      </c>
      <c r="B380" s="21" t="str">
        <f t="shared" si="5"/>
        <v>13/01/2026NL300189</v>
      </c>
      <c r="C380" s="22" t="s">
        <v>498</v>
      </c>
      <c r="D380" s="22" t="s">
        <v>17</v>
      </c>
      <c r="E380" s="22" t="s">
        <v>431</v>
      </c>
      <c r="F380" s="21" t="s">
        <v>432</v>
      </c>
      <c r="G380" s="21" t="s">
        <v>433</v>
      </c>
      <c r="H380" s="21" t="s">
        <v>499</v>
      </c>
      <c r="I380" s="21" t="s">
        <v>378</v>
      </c>
      <c r="J380" s="21" t="s">
        <v>19</v>
      </c>
      <c r="K380" s="21" t="s">
        <v>442</v>
      </c>
      <c r="L380" s="23">
        <v>3</v>
      </c>
      <c r="M380" s="24">
        <v>15000</v>
      </c>
      <c r="N380" s="24">
        <v>0</v>
      </c>
      <c r="O380" s="25">
        <v>45000</v>
      </c>
      <c r="P380" s="25">
        <v>0</v>
      </c>
      <c r="Q380" s="24">
        <v>15000</v>
      </c>
      <c r="R380" s="21" t="s">
        <v>436</v>
      </c>
      <c r="S380" s="21" t="s">
        <v>437</v>
      </c>
      <c r="T380" s="21" t="s">
        <v>17</v>
      </c>
      <c r="U380" s="21" t="s">
        <v>438</v>
      </c>
      <c r="V380" s="21" t="s">
        <v>17</v>
      </c>
      <c r="W380" s="21" t="s">
        <v>439</v>
      </c>
      <c r="X380" s="21" t="s">
        <v>439</v>
      </c>
    </row>
    <row r="381" spans="1:24" ht="10.5" hidden="1" customHeight="1" x14ac:dyDescent="0.25">
      <c r="A381" s="20">
        <v>46035</v>
      </c>
      <c r="B381" s="21" t="str">
        <f t="shared" si="5"/>
        <v>13/01/2026NL300140</v>
      </c>
      <c r="C381" s="22" t="s">
        <v>498</v>
      </c>
      <c r="D381" s="22" t="s">
        <v>17</v>
      </c>
      <c r="E381" s="22" t="s">
        <v>431</v>
      </c>
      <c r="F381" s="21" t="s">
        <v>432</v>
      </c>
      <c r="G381" s="21" t="s">
        <v>433</v>
      </c>
      <c r="H381" s="21" t="s">
        <v>499</v>
      </c>
      <c r="I381" s="21" t="s">
        <v>282</v>
      </c>
      <c r="J381" s="21" t="s">
        <v>461</v>
      </c>
      <c r="K381" s="21" t="s">
        <v>442</v>
      </c>
      <c r="L381" s="23">
        <v>0.3</v>
      </c>
      <c r="M381" s="24">
        <v>36000</v>
      </c>
      <c r="N381" s="24">
        <v>0</v>
      </c>
      <c r="O381" s="25">
        <v>10800</v>
      </c>
      <c r="P381" s="25">
        <v>0</v>
      </c>
      <c r="Q381" s="24">
        <v>36000</v>
      </c>
      <c r="R381" s="21" t="s">
        <v>436</v>
      </c>
      <c r="S381" s="21" t="s">
        <v>437</v>
      </c>
      <c r="T381" s="21" t="s">
        <v>17</v>
      </c>
      <c r="U381" s="21" t="s">
        <v>438</v>
      </c>
      <c r="V381" s="21" t="s">
        <v>17</v>
      </c>
      <c r="W381" s="21" t="s">
        <v>439</v>
      </c>
      <c r="X381" s="21" t="s">
        <v>439</v>
      </c>
    </row>
    <row r="382" spans="1:24" ht="10.5" hidden="1" customHeight="1" x14ac:dyDescent="0.25">
      <c r="A382" s="20">
        <v>46035</v>
      </c>
      <c r="B382" s="21" t="str">
        <f t="shared" si="5"/>
        <v>13/01/2026NL100101</v>
      </c>
      <c r="C382" s="22" t="s">
        <v>498</v>
      </c>
      <c r="D382" s="22" t="s">
        <v>17</v>
      </c>
      <c r="E382" s="22" t="s">
        <v>431</v>
      </c>
      <c r="F382" s="21" t="s">
        <v>432</v>
      </c>
      <c r="G382" s="21" t="s">
        <v>433</v>
      </c>
      <c r="H382" s="21" t="s">
        <v>499</v>
      </c>
      <c r="I382" s="21" t="s">
        <v>344</v>
      </c>
      <c r="J382" s="21" t="s">
        <v>107</v>
      </c>
      <c r="K382" s="21" t="s">
        <v>435</v>
      </c>
      <c r="L382" s="23">
        <v>29</v>
      </c>
      <c r="M382" s="24">
        <v>5000</v>
      </c>
      <c r="N382" s="24">
        <v>0</v>
      </c>
      <c r="O382" s="25">
        <v>145000</v>
      </c>
      <c r="P382" s="25">
        <v>0</v>
      </c>
      <c r="Q382" s="24">
        <v>5000</v>
      </c>
      <c r="R382" s="21" t="s">
        <v>436</v>
      </c>
      <c r="S382" s="21" t="s">
        <v>437</v>
      </c>
      <c r="T382" s="21" t="s">
        <v>17</v>
      </c>
      <c r="U382" s="21" t="s">
        <v>438</v>
      </c>
      <c r="V382" s="21" t="s">
        <v>17</v>
      </c>
      <c r="W382" s="21" t="s">
        <v>439</v>
      </c>
      <c r="X382" s="21" t="s">
        <v>439</v>
      </c>
    </row>
    <row r="383" spans="1:24" ht="10.5" hidden="1" customHeight="1" x14ac:dyDescent="0.25">
      <c r="A383" s="20">
        <v>46035</v>
      </c>
      <c r="B383" s="21" t="str">
        <f t="shared" si="5"/>
        <v>13/01/2026NL600004</v>
      </c>
      <c r="C383" s="22" t="s">
        <v>498</v>
      </c>
      <c r="D383" s="22" t="s">
        <v>17</v>
      </c>
      <c r="E383" s="22" t="s">
        <v>431</v>
      </c>
      <c r="F383" s="21" t="s">
        <v>432</v>
      </c>
      <c r="G383" s="21" t="s">
        <v>433</v>
      </c>
      <c r="H383" s="21" t="s">
        <v>499</v>
      </c>
      <c r="I383" s="21" t="s">
        <v>225</v>
      </c>
      <c r="J383" s="21" t="s">
        <v>37</v>
      </c>
      <c r="K383" s="21" t="s">
        <v>442</v>
      </c>
      <c r="L383" s="23">
        <v>15</v>
      </c>
      <c r="M383" s="24">
        <v>18000</v>
      </c>
      <c r="N383" s="24">
        <v>0</v>
      </c>
      <c r="O383" s="25">
        <v>270000</v>
      </c>
      <c r="P383" s="25">
        <v>0</v>
      </c>
      <c r="Q383" s="24">
        <v>18000</v>
      </c>
      <c r="R383" s="21" t="s">
        <v>436</v>
      </c>
      <c r="S383" s="21" t="s">
        <v>437</v>
      </c>
      <c r="T383" s="21" t="s">
        <v>17</v>
      </c>
      <c r="U383" s="21" t="s">
        <v>438</v>
      </c>
      <c r="V383" s="21" t="s">
        <v>17</v>
      </c>
      <c r="W383" s="21" t="s">
        <v>439</v>
      </c>
      <c r="X383" s="21" t="s">
        <v>439</v>
      </c>
    </row>
    <row r="384" spans="1:24" ht="10.5" hidden="1" customHeight="1" x14ac:dyDescent="0.25">
      <c r="A384" s="20">
        <v>46035</v>
      </c>
      <c r="B384" s="21" t="str">
        <f t="shared" si="5"/>
        <v>13/01/2026NL300029</v>
      </c>
      <c r="C384" s="22" t="s">
        <v>498</v>
      </c>
      <c r="D384" s="22" t="s">
        <v>17</v>
      </c>
      <c r="E384" s="22" t="s">
        <v>431</v>
      </c>
      <c r="F384" s="21" t="s">
        <v>432</v>
      </c>
      <c r="G384" s="21" t="s">
        <v>433</v>
      </c>
      <c r="H384" s="21" t="s">
        <v>499</v>
      </c>
      <c r="I384" s="21" t="s">
        <v>213</v>
      </c>
      <c r="J384" s="21" t="s">
        <v>469</v>
      </c>
      <c r="K384" s="21" t="s">
        <v>442</v>
      </c>
      <c r="L384" s="23">
        <v>1</v>
      </c>
      <c r="M384" s="24">
        <v>22000</v>
      </c>
      <c r="N384" s="24">
        <v>0</v>
      </c>
      <c r="O384" s="25">
        <v>22000</v>
      </c>
      <c r="P384" s="25">
        <v>0</v>
      </c>
      <c r="Q384" s="24">
        <v>22000</v>
      </c>
      <c r="R384" s="21" t="s">
        <v>436</v>
      </c>
      <c r="S384" s="21" t="s">
        <v>437</v>
      </c>
      <c r="T384" s="21" t="s">
        <v>17</v>
      </c>
      <c r="U384" s="21" t="s">
        <v>438</v>
      </c>
      <c r="V384" s="21" t="s">
        <v>17</v>
      </c>
      <c r="W384" s="21" t="s">
        <v>439</v>
      </c>
      <c r="X384" s="21" t="s">
        <v>439</v>
      </c>
    </row>
    <row r="385" spans="1:24" ht="10.5" hidden="1" customHeight="1" x14ac:dyDescent="0.25">
      <c r="A385" s="20">
        <v>46035</v>
      </c>
      <c r="B385" s="21" t="str">
        <f t="shared" si="5"/>
        <v>13/01/2026NL300062</v>
      </c>
      <c r="C385" s="22" t="s">
        <v>498</v>
      </c>
      <c r="D385" s="22" t="s">
        <v>17</v>
      </c>
      <c r="E385" s="22" t="s">
        <v>431</v>
      </c>
      <c r="F385" s="21" t="s">
        <v>432</v>
      </c>
      <c r="G385" s="21" t="s">
        <v>433</v>
      </c>
      <c r="H385" s="21" t="s">
        <v>499</v>
      </c>
      <c r="I385" s="21" t="s">
        <v>236</v>
      </c>
      <c r="J385" s="21" t="s">
        <v>482</v>
      </c>
      <c r="K385" s="21" t="s">
        <v>442</v>
      </c>
      <c r="L385" s="23">
        <v>0.1</v>
      </c>
      <c r="M385" s="24">
        <v>65000</v>
      </c>
      <c r="N385" s="24">
        <v>0</v>
      </c>
      <c r="O385" s="25">
        <v>6500</v>
      </c>
      <c r="P385" s="25">
        <v>0</v>
      </c>
      <c r="Q385" s="24">
        <v>65000</v>
      </c>
      <c r="R385" s="21" t="s">
        <v>436</v>
      </c>
      <c r="S385" s="21" t="s">
        <v>437</v>
      </c>
      <c r="T385" s="21" t="s">
        <v>17</v>
      </c>
      <c r="U385" s="21" t="s">
        <v>438</v>
      </c>
      <c r="V385" s="21" t="s">
        <v>17</v>
      </c>
      <c r="W385" s="21" t="s">
        <v>439</v>
      </c>
      <c r="X385" s="21" t="s">
        <v>439</v>
      </c>
    </row>
    <row r="386" spans="1:24" ht="10.5" hidden="1" customHeight="1" x14ac:dyDescent="0.25">
      <c r="A386" s="20">
        <v>46035</v>
      </c>
      <c r="B386" s="21" t="str">
        <f t="shared" si="5"/>
        <v>13/01/2026NL300125</v>
      </c>
      <c r="C386" s="22" t="s">
        <v>498</v>
      </c>
      <c r="D386" s="22" t="s">
        <v>17</v>
      </c>
      <c r="E386" s="22" t="s">
        <v>431</v>
      </c>
      <c r="F386" s="21" t="s">
        <v>432</v>
      </c>
      <c r="G386" s="21" t="s">
        <v>433</v>
      </c>
      <c r="H386" s="21" t="s">
        <v>499</v>
      </c>
      <c r="I386" s="21" t="s">
        <v>337</v>
      </c>
      <c r="J386" s="21" t="s">
        <v>146</v>
      </c>
      <c r="K386" s="21" t="s">
        <v>442</v>
      </c>
      <c r="L386" s="23">
        <v>0.5</v>
      </c>
      <c r="M386" s="24">
        <v>42000</v>
      </c>
      <c r="N386" s="24">
        <v>0</v>
      </c>
      <c r="O386" s="25">
        <v>21000</v>
      </c>
      <c r="P386" s="25">
        <v>0</v>
      </c>
      <c r="Q386" s="24">
        <v>42000</v>
      </c>
      <c r="R386" s="21" t="s">
        <v>436</v>
      </c>
      <c r="S386" s="21" t="s">
        <v>437</v>
      </c>
      <c r="T386" s="21" t="s">
        <v>17</v>
      </c>
      <c r="U386" s="21" t="s">
        <v>438</v>
      </c>
      <c r="V386" s="21" t="s">
        <v>17</v>
      </c>
      <c r="W386" s="21" t="s">
        <v>439</v>
      </c>
      <c r="X386" s="21" t="s">
        <v>439</v>
      </c>
    </row>
    <row r="387" spans="1:24" ht="10.5" hidden="1" customHeight="1" x14ac:dyDescent="0.25">
      <c r="A387" s="20">
        <v>46035</v>
      </c>
      <c r="B387" s="21" t="str">
        <f t="shared" ref="B387:B437" si="6">""&amp;DAY(A387)&amp;"/01/2026"&amp;I387</f>
        <v>13/01/2026NL300184</v>
      </c>
      <c r="C387" s="22" t="s">
        <v>498</v>
      </c>
      <c r="D387" s="22" t="s">
        <v>17</v>
      </c>
      <c r="E387" s="22" t="s">
        <v>431</v>
      </c>
      <c r="F387" s="21" t="s">
        <v>432</v>
      </c>
      <c r="G387" s="21" t="s">
        <v>433</v>
      </c>
      <c r="H387" s="21" t="s">
        <v>499</v>
      </c>
      <c r="I387" s="21" t="s">
        <v>368</v>
      </c>
      <c r="J387" s="21" t="s">
        <v>462</v>
      </c>
      <c r="K387" s="21" t="s">
        <v>442</v>
      </c>
      <c r="L387" s="23">
        <v>0.5</v>
      </c>
      <c r="M387" s="24">
        <v>18000</v>
      </c>
      <c r="N387" s="24">
        <v>0</v>
      </c>
      <c r="O387" s="25">
        <v>9000</v>
      </c>
      <c r="P387" s="25">
        <v>0</v>
      </c>
      <c r="Q387" s="24">
        <v>18000</v>
      </c>
      <c r="R387" s="21" t="s">
        <v>436</v>
      </c>
      <c r="S387" s="21" t="s">
        <v>437</v>
      </c>
      <c r="T387" s="21" t="s">
        <v>17</v>
      </c>
      <c r="U387" s="21" t="s">
        <v>438</v>
      </c>
      <c r="V387" s="21" t="s">
        <v>17</v>
      </c>
      <c r="W387" s="21" t="s">
        <v>439</v>
      </c>
      <c r="X387" s="21" t="s">
        <v>439</v>
      </c>
    </row>
    <row r="388" spans="1:24" ht="10.5" hidden="1" customHeight="1" x14ac:dyDescent="0.25">
      <c r="A388" s="20">
        <v>46036</v>
      </c>
      <c r="B388" s="21" t="str">
        <f t="shared" si="6"/>
        <v>14/01/2026NL600004</v>
      </c>
      <c r="C388" s="22" t="s">
        <v>500</v>
      </c>
      <c r="D388" s="22" t="s">
        <v>17</v>
      </c>
      <c r="E388" s="22" t="s">
        <v>431</v>
      </c>
      <c r="F388" s="21" t="s">
        <v>432</v>
      </c>
      <c r="G388" s="21" t="s">
        <v>433</v>
      </c>
      <c r="H388" s="21" t="s">
        <v>501</v>
      </c>
      <c r="I388" s="21" t="s">
        <v>225</v>
      </c>
      <c r="J388" s="21" t="s">
        <v>37</v>
      </c>
      <c r="K388" s="21" t="s">
        <v>442</v>
      </c>
      <c r="L388" s="23">
        <v>9.6999999999999993</v>
      </c>
      <c r="M388" s="24">
        <v>18000</v>
      </c>
      <c r="N388" s="24">
        <v>0</v>
      </c>
      <c r="O388" s="25">
        <v>174600</v>
      </c>
      <c r="P388" s="25">
        <v>0</v>
      </c>
      <c r="Q388" s="24">
        <v>18000</v>
      </c>
      <c r="R388" s="21" t="s">
        <v>436</v>
      </c>
      <c r="S388" s="21" t="s">
        <v>437</v>
      </c>
      <c r="T388" s="21" t="s">
        <v>17</v>
      </c>
      <c r="U388" s="21" t="s">
        <v>438</v>
      </c>
      <c r="V388" s="21" t="s">
        <v>17</v>
      </c>
      <c r="W388" s="21" t="s">
        <v>439</v>
      </c>
      <c r="X388" s="21" t="s">
        <v>439</v>
      </c>
    </row>
    <row r="389" spans="1:24" ht="10.5" hidden="1" customHeight="1" x14ac:dyDescent="0.25">
      <c r="A389" s="20">
        <v>46036</v>
      </c>
      <c r="B389" s="21" t="str">
        <f t="shared" si="6"/>
        <v>14/01/2026NL300131</v>
      </c>
      <c r="C389" s="22" t="s">
        <v>500</v>
      </c>
      <c r="D389" s="22" t="s">
        <v>17</v>
      </c>
      <c r="E389" s="22" t="s">
        <v>431</v>
      </c>
      <c r="F389" s="21" t="s">
        <v>432</v>
      </c>
      <c r="G389" s="21" t="s">
        <v>433</v>
      </c>
      <c r="H389" s="21" t="s">
        <v>501</v>
      </c>
      <c r="I389" s="21" t="s">
        <v>340</v>
      </c>
      <c r="J389" s="21" t="s">
        <v>88</v>
      </c>
      <c r="K389" s="21" t="s">
        <v>442</v>
      </c>
      <c r="L389" s="23">
        <v>0.3</v>
      </c>
      <c r="M389" s="24">
        <v>220000</v>
      </c>
      <c r="N389" s="24">
        <v>0</v>
      </c>
      <c r="O389" s="25">
        <v>66000</v>
      </c>
      <c r="P389" s="25">
        <v>0</v>
      </c>
      <c r="Q389" s="24">
        <v>220000</v>
      </c>
      <c r="R389" s="21" t="s">
        <v>436</v>
      </c>
      <c r="S389" s="21" t="s">
        <v>437</v>
      </c>
      <c r="T389" s="21" t="s">
        <v>17</v>
      </c>
      <c r="U389" s="21" t="s">
        <v>438</v>
      </c>
      <c r="V389" s="21" t="s">
        <v>17</v>
      </c>
      <c r="W389" s="21" t="s">
        <v>439</v>
      </c>
      <c r="X389" s="21" t="s">
        <v>439</v>
      </c>
    </row>
    <row r="390" spans="1:24" ht="10.5" hidden="1" customHeight="1" x14ac:dyDescent="0.25">
      <c r="A390" s="20">
        <v>46036</v>
      </c>
      <c r="B390" s="21" t="str">
        <f t="shared" si="6"/>
        <v>14/01/2026NL300062</v>
      </c>
      <c r="C390" s="22" t="s">
        <v>500</v>
      </c>
      <c r="D390" s="22" t="s">
        <v>17</v>
      </c>
      <c r="E390" s="22" t="s">
        <v>431</v>
      </c>
      <c r="F390" s="21" t="s">
        <v>432</v>
      </c>
      <c r="G390" s="21" t="s">
        <v>433</v>
      </c>
      <c r="H390" s="21" t="s">
        <v>501</v>
      </c>
      <c r="I390" s="21" t="s">
        <v>236</v>
      </c>
      <c r="J390" s="21" t="s">
        <v>482</v>
      </c>
      <c r="K390" s="21" t="s">
        <v>442</v>
      </c>
      <c r="L390" s="23">
        <v>0.1</v>
      </c>
      <c r="M390" s="24">
        <v>65000</v>
      </c>
      <c r="N390" s="24">
        <v>0</v>
      </c>
      <c r="O390" s="25">
        <v>6500</v>
      </c>
      <c r="P390" s="25">
        <v>0</v>
      </c>
      <c r="Q390" s="24">
        <v>65000</v>
      </c>
      <c r="R390" s="21" t="s">
        <v>436</v>
      </c>
      <c r="S390" s="21" t="s">
        <v>437</v>
      </c>
      <c r="T390" s="21" t="s">
        <v>17</v>
      </c>
      <c r="U390" s="21" t="s">
        <v>438</v>
      </c>
      <c r="V390" s="21" t="s">
        <v>17</v>
      </c>
      <c r="W390" s="21" t="s">
        <v>439</v>
      </c>
      <c r="X390" s="21" t="s">
        <v>439</v>
      </c>
    </row>
    <row r="391" spans="1:24" ht="10.5" hidden="1" customHeight="1" x14ac:dyDescent="0.25">
      <c r="A391" s="20">
        <v>46036</v>
      </c>
      <c r="B391" s="21" t="str">
        <f t="shared" si="6"/>
        <v>14/01/2026NL300125</v>
      </c>
      <c r="C391" s="22" t="s">
        <v>500</v>
      </c>
      <c r="D391" s="22" t="s">
        <v>17</v>
      </c>
      <c r="E391" s="22" t="s">
        <v>431</v>
      </c>
      <c r="F391" s="21" t="s">
        <v>432</v>
      </c>
      <c r="G391" s="21" t="s">
        <v>433</v>
      </c>
      <c r="H391" s="21" t="s">
        <v>501</v>
      </c>
      <c r="I391" s="21" t="s">
        <v>337</v>
      </c>
      <c r="J391" s="21" t="s">
        <v>146</v>
      </c>
      <c r="K391" s="21" t="s">
        <v>442</v>
      </c>
      <c r="L391" s="23">
        <v>0.5</v>
      </c>
      <c r="M391" s="24">
        <v>42000</v>
      </c>
      <c r="N391" s="24">
        <v>0</v>
      </c>
      <c r="O391" s="25">
        <v>21000</v>
      </c>
      <c r="P391" s="25">
        <v>0</v>
      </c>
      <c r="Q391" s="24">
        <v>42000</v>
      </c>
      <c r="R391" s="21" t="s">
        <v>436</v>
      </c>
      <c r="S391" s="21" t="s">
        <v>437</v>
      </c>
      <c r="T391" s="21" t="s">
        <v>17</v>
      </c>
      <c r="U391" s="21" t="s">
        <v>438</v>
      </c>
      <c r="V391" s="21" t="s">
        <v>17</v>
      </c>
      <c r="W391" s="21" t="s">
        <v>439</v>
      </c>
      <c r="X391" s="21" t="s">
        <v>439</v>
      </c>
    </row>
    <row r="392" spans="1:24" ht="10.5" hidden="1" customHeight="1" x14ac:dyDescent="0.25">
      <c r="A392" s="20">
        <v>46036</v>
      </c>
      <c r="B392" s="21" t="str">
        <f t="shared" si="6"/>
        <v>14/01/2026NL300142</v>
      </c>
      <c r="C392" s="22" t="s">
        <v>500</v>
      </c>
      <c r="D392" s="22" t="s">
        <v>17</v>
      </c>
      <c r="E392" s="22" t="s">
        <v>431</v>
      </c>
      <c r="F392" s="21" t="s">
        <v>432</v>
      </c>
      <c r="G392" s="21" t="s">
        <v>433</v>
      </c>
      <c r="H392" s="21" t="s">
        <v>501</v>
      </c>
      <c r="I392" s="21" t="s">
        <v>317</v>
      </c>
      <c r="J392" s="21" t="s">
        <v>441</v>
      </c>
      <c r="K392" s="21" t="s">
        <v>442</v>
      </c>
      <c r="L392" s="23">
        <v>2</v>
      </c>
      <c r="M392" s="24">
        <v>50000</v>
      </c>
      <c r="N392" s="24">
        <v>0</v>
      </c>
      <c r="O392" s="25">
        <v>100000</v>
      </c>
      <c r="P392" s="25">
        <v>0</v>
      </c>
      <c r="Q392" s="24">
        <v>50000</v>
      </c>
      <c r="R392" s="21" t="s">
        <v>436</v>
      </c>
      <c r="S392" s="21" t="s">
        <v>437</v>
      </c>
      <c r="T392" s="21" t="s">
        <v>17</v>
      </c>
      <c r="U392" s="21" t="s">
        <v>438</v>
      </c>
      <c r="V392" s="21" t="s">
        <v>17</v>
      </c>
      <c r="W392" s="21" t="s">
        <v>439</v>
      </c>
      <c r="X392" s="21" t="s">
        <v>439</v>
      </c>
    </row>
    <row r="393" spans="1:24" ht="10.5" hidden="1" customHeight="1" x14ac:dyDescent="0.25">
      <c r="A393" s="20">
        <v>46036</v>
      </c>
      <c r="B393" s="21" t="str">
        <f t="shared" si="6"/>
        <v>14/01/2026NL300097</v>
      </c>
      <c r="C393" s="22" t="s">
        <v>500</v>
      </c>
      <c r="D393" s="22" t="s">
        <v>17</v>
      </c>
      <c r="E393" s="22" t="s">
        <v>431</v>
      </c>
      <c r="F393" s="21" t="s">
        <v>432</v>
      </c>
      <c r="G393" s="21" t="s">
        <v>433</v>
      </c>
      <c r="H393" s="21" t="s">
        <v>501</v>
      </c>
      <c r="I393" s="21" t="s">
        <v>331</v>
      </c>
      <c r="J393" s="21" t="s">
        <v>443</v>
      </c>
      <c r="K393" s="21" t="s">
        <v>442</v>
      </c>
      <c r="L393" s="23">
        <v>0.5</v>
      </c>
      <c r="M393" s="24">
        <v>90000</v>
      </c>
      <c r="N393" s="24">
        <v>0</v>
      </c>
      <c r="O393" s="25">
        <v>45000</v>
      </c>
      <c r="P393" s="25">
        <v>0</v>
      </c>
      <c r="Q393" s="24">
        <v>90000</v>
      </c>
      <c r="R393" s="21" t="s">
        <v>436</v>
      </c>
      <c r="S393" s="21" t="s">
        <v>437</v>
      </c>
      <c r="T393" s="21" t="s">
        <v>17</v>
      </c>
      <c r="U393" s="21" t="s">
        <v>438</v>
      </c>
      <c r="V393" s="21" t="s">
        <v>17</v>
      </c>
      <c r="W393" s="21" t="s">
        <v>439</v>
      </c>
      <c r="X393" s="21" t="s">
        <v>439</v>
      </c>
    </row>
    <row r="394" spans="1:24" ht="10.5" hidden="1" customHeight="1" x14ac:dyDescent="0.25">
      <c r="A394" s="20">
        <v>46036</v>
      </c>
      <c r="B394" s="21" t="str">
        <f t="shared" si="6"/>
        <v>14/01/2026NL300007</v>
      </c>
      <c r="C394" s="22" t="s">
        <v>500</v>
      </c>
      <c r="D394" s="22" t="s">
        <v>17</v>
      </c>
      <c r="E394" s="22" t="s">
        <v>431</v>
      </c>
      <c r="F394" s="21" t="s">
        <v>432</v>
      </c>
      <c r="G394" s="21" t="s">
        <v>433</v>
      </c>
      <c r="H394" s="21" t="s">
        <v>501</v>
      </c>
      <c r="I394" s="21" t="s">
        <v>309</v>
      </c>
      <c r="J394" s="21" t="s">
        <v>444</v>
      </c>
      <c r="K394" s="21" t="s">
        <v>442</v>
      </c>
      <c r="L394" s="23">
        <v>4.5999999999999996</v>
      </c>
      <c r="M394" s="24">
        <v>30000</v>
      </c>
      <c r="N394" s="24">
        <v>0</v>
      </c>
      <c r="O394" s="25">
        <v>138000</v>
      </c>
      <c r="P394" s="25">
        <v>0</v>
      </c>
      <c r="Q394" s="24">
        <v>30000</v>
      </c>
      <c r="R394" s="21" t="s">
        <v>436</v>
      </c>
      <c r="S394" s="21" t="s">
        <v>437</v>
      </c>
      <c r="T394" s="21" t="s">
        <v>17</v>
      </c>
      <c r="U394" s="21" t="s">
        <v>438</v>
      </c>
      <c r="V394" s="21" t="s">
        <v>17</v>
      </c>
      <c r="W394" s="21" t="s">
        <v>439</v>
      </c>
      <c r="X394" s="21" t="s">
        <v>439</v>
      </c>
    </row>
    <row r="395" spans="1:24" ht="10.5" hidden="1" customHeight="1" x14ac:dyDescent="0.25">
      <c r="A395" s="20">
        <v>46036</v>
      </c>
      <c r="B395" s="21" t="str">
        <f t="shared" si="6"/>
        <v>14/01/2026NL300008</v>
      </c>
      <c r="C395" s="22" t="s">
        <v>500</v>
      </c>
      <c r="D395" s="22" t="s">
        <v>17</v>
      </c>
      <c r="E395" s="22" t="s">
        <v>431</v>
      </c>
      <c r="F395" s="21" t="s">
        <v>432</v>
      </c>
      <c r="G395" s="21" t="s">
        <v>433</v>
      </c>
      <c r="H395" s="21" t="s">
        <v>501</v>
      </c>
      <c r="I395" s="21" t="s">
        <v>320</v>
      </c>
      <c r="J395" s="21" t="s">
        <v>445</v>
      </c>
      <c r="K395" s="21" t="s">
        <v>442</v>
      </c>
      <c r="L395" s="23">
        <v>2</v>
      </c>
      <c r="M395" s="24">
        <v>40000</v>
      </c>
      <c r="N395" s="24">
        <v>0</v>
      </c>
      <c r="O395" s="25">
        <v>80000</v>
      </c>
      <c r="P395" s="25">
        <v>0</v>
      </c>
      <c r="Q395" s="24">
        <v>40000</v>
      </c>
      <c r="R395" s="21" t="s">
        <v>436</v>
      </c>
      <c r="S395" s="21" t="s">
        <v>437</v>
      </c>
      <c r="T395" s="21" t="s">
        <v>17</v>
      </c>
      <c r="U395" s="21" t="s">
        <v>438</v>
      </c>
      <c r="V395" s="21" t="s">
        <v>17</v>
      </c>
      <c r="W395" s="21" t="s">
        <v>439</v>
      </c>
      <c r="X395" s="21" t="s">
        <v>439</v>
      </c>
    </row>
    <row r="396" spans="1:24" ht="10.5" hidden="1" customHeight="1" x14ac:dyDescent="0.25">
      <c r="A396" s="20">
        <v>46036</v>
      </c>
      <c r="B396" s="21" t="str">
        <f t="shared" si="6"/>
        <v>14/01/2026NL300020</v>
      </c>
      <c r="C396" s="22" t="s">
        <v>500</v>
      </c>
      <c r="D396" s="22" t="s">
        <v>17</v>
      </c>
      <c r="E396" s="22" t="s">
        <v>431</v>
      </c>
      <c r="F396" s="21" t="s">
        <v>432</v>
      </c>
      <c r="G396" s="21" t="s">
        <v>433</v>
      </c>
      <c r="H396" s="21" t="s">
        <v>501</v>
      </c>
      <c r="I396" s="21" t="s">
        <v>326</v>
      </c>
      <c r="J396" s="21" t="s">
        <v>446</v>
      </c>
      <c r="K396" s="21" t="s">
        <v>442</v>
      </c>
      <c r="L396" s="23">
        <v>1</v>
      </c>
      <c r="M396" s="24">
        <v>30000</v>
      </c>
      <c r="N396" s="24">
        <v>0</v>
      </c>
      <c r="O396" s="25">
        <v>30000</v>
      </c>
      <c r="P396" s="25">
        <v>0</v>
      </c>
      <c r="Q396" s="24">
        <v>30000</v>
      </c>
      <c r="R396" s="21" t="s">
        <v>436</v>
      </c>
      <c r="S396" s="21" t="s">
        <v>437</v>
      </c>
      <c r="T396" s="21" t="s">
        <v>17</v>
      </c>
      <c r="U396" s="21" t="s">
        <v>438</v>
      </c>
      <c r="V396" s="21" t="s">
        <v>17</v>
      </c>
      <c r="W396" s="21" t="s">
        <v>439</v>
      </c>
      <c r="X396" s="21" t="s">
        <v>439</v>
      </c>
    </row>
    <row r="397" spans="1:24" ht="10.5" hidden="1" customHeight="1" x14ac:dyDescent="0.25">
      <c r="A397" s="20">
        <v>46036</v>
      </c>
      <c r="B397" s="21" t="str">
        <f t="shared" si="6"/>
        <v>14/01/2026NL300025</v>
      </c>
      <c r="C397" s="22" t="s">
        <v>500</v>
      </c>
      <c r="D397" s="22" t="s">
        <v>17</v>
      </c>
      <c r="E397" s="22" t="s">
        <v>431</v>
      </c>
      <c r="F397" s="21" t="s">
        <v>432</v>
      </c>
      <c r="G397" s="21" t="s">
        <v>433</v>
      </c>
      <c r="H397" s="21" t="s">
        <v>501</v>
      </c>
      <c r="I397" s="21" t="s">
        <v>211</v>
      </c>
      <c r="J397" s="21" t="s">
        <v>447</v>
      </c>
      <c r="K397" s="21" t="s">
        <v>442</v>
      </c>
      <c r="L397" s="23">
        <v>1</v>
      </c>
      <c r="M397" s="24">
        <v>44000</v>
      </c>
      <c r="N397" s="24">
        <v>0</v>
      </c>
      <c r="O397" s="25">
        <v>44000</v>
      </c>
      <c r="P397" s="25">
        <v>0</v>
      </c>
      <c r="Q397" s="24">
        <v>44000</v>
      </c>
      <c r="R397" s="21" t="s">
        <v>436</v>
      </c>
      <c r="S397" s="21" t="s">
        <v>437</v>
      </c>
      <c r="T397" s="21" t="s">
        <v>17</v>
      </c>
      <c r="U397" s="21" t="s">
        <v>438</v>
      </c>
      <c r="V397" s="21" t="s">
        <v>17</v>
      </c>
      <c r="W397" s="21" t="s">
        <v>439</v>
      </c>
      <c r="X397" s="21" t="s">
        <v>439</v>
      </c>
    </row>
    <row r="398" spans="1:24" ht="10.5" hidden="1" customHeight="1" x14ac:dyDescent="0.25">
      <c r="A398" s="20">
        <v>46036</v>
      </c>
      <c r="B398" s="21" t="str">
        <f t="shared" si="6"/>
        <v>14/01/2026NL300035</v>
      </c>
      <c r="C398" s="22" t="s">
        <v>500</v>
      </c>
      <c r="D398" s="22" t="s">
        <v>17</v>
      </c>
      <c r="E398" s="22" t="s">
        <v>431</v>
      </c>
      <c r="F398" s="21" t="s">
        <v>432</v>
      </c>
      <c r="G398" s="21" t="s">
        <v>433</v>
      </c>
      <c r="H398" s="21" t="s">
        <v>501</v>
      </c>
      <c r="I398" s="21" t="s">
        <v>383</v>
      </c>
      <c r="J398" s="21" t="s">
        <v>448</v>
      </c>
      <c r="K398" s="21" t="s">
        <v>442</v>
      </c>
      <c r="L398" s="23">
        <v>0.16</v>
      </c>
      <c r="M398" s="24">
        <v>25000</v>
      </c>
      <c r="N398" s="24">
        <v>0</v>
      </c>
      <c r="O398" s="25">
        <v>4000</v>
      </c>
      <c r="P398" s="25">
        <v>0</v>
      </c>
      <c r="Q398" s="24">
        <v>25000</v>
      </c>
      <c r="R398" s="21" t="s">
        <v>436</v>
      </c>
      <c r="S398" s="21" t="s">
        <v>437</v>
      </c>
      <c r="T398" s="21" t="s">
        <v>17</v>
      </c>
      <c r="U398" s="21" t="s">
        <v>438</v>
      </c>
      <c r="V398" s="21" t="s">
        <v>17</v>
      </c>
      <c r="W398" s="21" t="s">
        <v>439</v>
      </c>
      <c r="X398" s="21" t="s">
        <v>439</v>
      </c>
    </row>
    <row r="399" spans="1:24" ht="10.5" hidden="1" customHeight="1" x14ac:dyDescent="0.25">
      <c r="A399" s="20">
        <v>46036</v>
      </c>
      <c r="B399" s="21" t="str">
        <f t="shared" si="6"/>
        <v>14/01/2026NL300036</v>
      </c>
      <c r="C399" s="22" t="s">
        <v>500</v>
      </c>
      <c r="D399" s="22" t="s">
        <v>17</v>
      </c>
      <c r="E399" s="22" t="s">
        <v>431</v>
      </c>
      <c r="F399" s="21" t="s">
        <v>432</v>
      </c>
      <c r="G399" s="21" t="s">
        <v>433</v>
      </c>
      <c r="H399" s="21" t="s">
        <v>501</v>
      </c>
      <c r="I399" s="21" t="s">
        <v>380</v>
      </c>
      <c r="J399" s="21" t="s">
        <v>96</v>
      </c>
      <c r="K399" s="21" t="s">
        <v>442</v>
      </c>
      <c r="L399" s="23">
        <v>1</v>
      </c>
      <c r="M399" s="24">
        <v>47000</v>
      </c>
      <c r="N399" s="24">
        <v>0</v>
      </c>
      <c r="O399" s="25">
        <v>47000</v>
      </c>
      <c r="P399" s="25">
        <v>0</v>
      </c>
      <c r="Q399" s="24">
        <v>47000</v>
      </c>
      <c r="R399" s="21" t="s">
        <v>436</v>
      </c>
      <c r="S399" s="21" t="s">
        <v>437</v>
      </c>
      <c r="T399" s="21" t="s">
        <v>17</v>
      </c>
      <c r="U399" s="21" t="s">
        <v>438</v>
      </c>
      <c r="V399" s="21" t="s">
        <v>17</v>
      </c>
      <c r="W399" s="21" t="s">
        <v>439</v>
      </c>
      <c r="X399" s="21" t="s">
        <v>439</v>
      </c>
    </row>
    <row r="400" spans="1:24" ht="10.5" hidden="1" customHeight="1" x14ac:dyDescent="0.25">
      <c r="A400" s="20">
        <v>46036</v>
      </c>
      <c r="B400" s="21" t="str">
        <f t="shared" si="6"/>
        <v>14/01/2026NL300038</v>
      </c>
      <c r="C400" s="22" t="s">
        <v>500</v>
      </c>
      <c r="D400" s="22" t="s">
        <v>17</v>
      </c>
      <c r="E400" s="22" t="s">
        <v>431</v>
      </c>
      <c r="F400" s="21" t="s">
        <v>432</v>
      </c>
      <c r="G400" s="21" t="s">
        <v>433</v>
      </c>
      <c r="H400" s="21" t="s">
        <v>501</v>
      </c>
      <c r="I400" s="21" t="s">
        <v>217</v>
      </c>
      <c r="J400" s="21" t="s">
        <v>35</v>
      </c>
      <c r="K400" s="21" t="s">
        <v>442</v>
      </c>
      <c r="L400" s="23">
        <v>2</v>
      </c>
      <c r="M400" s="24">
        <v>32000</v>
      </c>
      <c r="N400" s="24">
        <v>0</v>
      </c>
      <c r="O400" s="25">
        <v>64000</v>
      </c>
      <c r="P400" s="25">
        <v>0</v>
      </c>
      <c r="Q400" s="24">
        <v>32000</v>
      </c>
      <c r="R400" s="21" t="s">
        <v>436</v>
      </c>
      <c r="S400" s="21" t="s">
        <v>437</v>
      </c>
      <c r="T400" s="21" t="s">
        <v>17</v>
      </c>
      <c r="U400" s="21" t="s">
        <v>438</v>
      </c>
      <c r="V400" s="21" t="s">
        <v>17</v>
      </c>
      <c r="W400" s="21" t="s">
        <v>439</v>
      </c>
      <c r="X400" s="21" t="s">
        <v>439</v>
      </c>
    </row>
    <row r="401" spans="1:24" ht="10.5" hidden="1" customHeight="1" x14ac:dyDescent="0.25">
      <c r="A401" s="20">
        <v>46036</v>
      </c>
      <c r="B401" s="21" t="str">
        <f t="shared" si="6"/>
        <v>14/01/2026NL300054</v>
      </c>
      <c r="C401" s="22" t="s">
        <v>500</v>
      </c>
      <c r="D401" s="22" t="s">
        <v>17</v>
      </c>
      <c r="E401" s="22" t="s">
        <v>431</v>
      </c>
      <c r="F401" s="21" t="s">
        <v>432</v>
      </c>
      <c r="G401" s="21" t="s">
        <v>433</v>
      </c>
      <c r="H401" s="21" t="s">
        <v>501</v>
      </c>
      <c r="I401" s="21" t="s">
        <v>216</v>
      </c>
      <c r="J401" s="21" t="s">
        <v>451</v>
      </c>
      <c r="K401" s="21" t="s">
        <v>442</v>
      </c>
      <c r="L401" s="23">
        <v>1</v>
      </c>
      <c r="M401" s="24">
        <v>38000</v>
      </c>
      <c r="N401" s="24">
        <v>0</v>
      </c>
      <c r="O401" s="25">
        <v>38000</v>
      </c>
      <c r="P401" s="25">
        <v>0</v>
      </c>
      <c r="Q401" s="24">
        <v>38000</v>
      </c>
      <c r="R401" s="21" t="s">
        <v>436</v>
      </c>
      <c r="S401" s="21" t="s">
        <v>437</v>
      </c>
      <c r="T401" s="21" t="s">
        <v>17</v>
      </c>
      <c r="U401" s="21" t="s">
        <v>438</v>
      </c>
      <c r="V401" s="21" t="s">
        <v>17</v>
      </c>
      <c r="W401" s="21" t="s">
        <v>439</v>
      </c>
      <c r="X401" s="21" t="s">
        <v>439</v>
      </c>
    </row>
    <row r="402" spans="1:24" ht="10.5" hidden="1" customHeight="1" x14ac:dyDescent="0.25">
      <c r="A402" s="20">
        <v>46036</v>
      </c>
      <c r="B402" s="21" t="str">
        <f t="shared" si="6"/>
        <v>14/01/2026NL300055</v>
      </c>
      <c r="C402" s="22" t="s">
        <v>500</v>
      </c>
      <c r="D402" s="22" t="s">
        <v>17</v>
      </c>
      <c r="E402" s="22" t="s">
        <v>431</v>
      </c>
      <c r="F402" s="21" t="s">
        <v>432</v>
      </c>
      <c r="G402" s="21" t="s">
        <v>433</v>
      </c>
      <c r="H402" s="21" t="s">
        <v>501</v>
      </c>
      <c r="I402" s="21" t="s">
        <v>230</v>
      </c>
      <c r="J402" s="21" t="s">
        <v>452</v>
      </c>
      <c r="K402" s="21" t="s">
        <v>442</v>
      </c>
      <c r="L402" s="23">
        <v>0.2</v>
      </c>
      <c r="M402" s="24">
        <v>80000</v>
      </c>
      <c r="N402" s="24">
        <v>0</v>
      </c>
      <c r="O402" s="25">
        <v>16000</v>
      </c>
      <c r="P402" s="25">
        <v>0</v>
      </c>
      <c r="Q402" s="24">
        <v>80000</v>
      </c>
      <c r="R402" s="21" t="s">
        <v>436</v>
      </c>
      <c r="S402" s="21" t="s">
        <v>437</v>
      </c>
      <c r="T402" s="21" t="s">
        <v>17</v>
      </c>
      <c r="U402" s="21" t="s">
        <v>438</v>
      </c>
      <c r="V402" s="21" t="s">
        <v>17</v>
      </c>
      <c r="W402" s="21" t="s">
        <v>439</v>
      </c>
      <c r="X402" s="21" t="s">
        <v>439</v>
      </c>
    </row>
    <row r="403" spans="1:24" ht="10.5" hidden="1" customHeight="1" x14ac:dyDescent="0.25">
      <c r="A403" s="20">
        <v>46036</v>
      </c>
      <c r="B403" s="21" t="str">
        <f t="shared" si="6"/>
        <v>14/01/2026NL300058</v>
      </c>
      <c r="C403" s="22" t="s">
        <v>500</v>
      </c>
      <c r="D403" s="22" t="s">
        <v>17</v>
      </c>
      <c r="E403" s="22" t="s">
        <v>431</v>
      </c>
      <c r="F403" s="21" t="s">
        <v>432</v>
      </c>
      <c r="G403" s="21" t="s">
        <v>433</v>
      </c>
      <c r="H403" s="21" t="s">
        <v>501</v>
      </c>
      <c r="I403" s="21" t="s">
        <v>228</v>
      </c>
      <c r="J403" s="21" t="s">
        <v>39</v>
      </c>
      <c r="K403" s="21" t="s">
        <v>442</v>
      </c>
      <c r="L403" s="23">
        <v>2</v>
      </c>
      <c r="M403" s="24">
        <v>55000</v>
      </c>
      <c r="N403" s="24">
        <v>0</v>
      </c>
      <c r="O403" s="25">
        <v>110000</v>
      </c>
      <c r="P403" s="25">
        <v>0</v>
      </c>
      <c r="Q403" s="24">
        <v>55000</v>
      </c>
      <c r="R403" s="21" t="s">
        <v>436</v>
      </c>
      <c r="S403" s="21" t="s">
        <v>437</v>
      </c>
      <c r="T403" s="21" t="s">
        <v>17</v>
      </c>
      <c r="U403" s="21" t="s">
        <v>438</v>
      </c>
      <c r="V403" s="21" t="s">
        <v>17</v>
      </c>
      <c r="W403" s="21" t="s">
        <v>439</v>
      </c>
      <c r="X403" s="21" t="s">
        <v>439</v>
      </c>
    </row>
    <row r="404" spans="1:24" ht="10.5" hidden="1" customHeight="1" x14ac:dyDescent="0.25">
      <c r="A404" s="20">
        <v>46036</v>
      </c>
      <c r="B404" s="21" t="str">
        <f t="shared" si="6"/>
        <v>14/01/2026NL300073</v>
      </c>
      <c r="C404" s="22" t="s">
        <v>500</v>
      </c>
      <c r="D404" s="22" t="s">
        <v>17</v>
      </c>
      <c r="E404" s="22" t="s">
        <v>431</v>
      </c>
      <c r="F404" s="21" t="s">
        <v>432</v>
      </c>
      <c r="G404" s="21" t="s">
        <v>433</v>
      </c>
      <c r="H404" s="21" t="s">
        <v>501</v>
      </c>
      <c r="I404" s="21" t="s">
        <v>241</v>
      </c>
      <c r="J404" s="21" t="s">
        <v>43</v>
      </c>
      <c r="K404" s="21" t="s">
        <v>442</v>
      </c>
      <c r="L404" s="23">
        <v>0.1</v>
      </c>
      <c r="M404" s="24">
        <v>42000</v>
      </c>
      <c r="N404" s="24">
        <v>0</v>
      </c>
      <c r="O404" s="25">
        <v>4200</v>
      </c>
      <c r="P404" s="25">
        <v>0</v>
      </c>
      <c r="Q404" s="24">
        <v>42000</v>
      </c>
      <c r="R404" s="21" t="s">
        <v>436</v>
      </c>
      <c r="S404" s="21" t="s">
        <v>437</v>
      </c>
      <c r="T404" s="21" t="s">
        <v>17</v>
      </c>
      <c r="U404" s="21" t="s">
        <v>438</v>
      </c>
      <c r="V404" s="21" t="s">
        <v>17</v>
      </c>
      <c r="W404" s="21" t="s">
        <v>439</v>
      </c>
      <c r="X404" s="21" t="s">
        <v>439</v>
      </c>
    </row>
    <row r="405" spans="1:24" ht="10.5" hidden="1" customHeight="1" x14ac:dyDescent="0.25">
      <c r="A405" s="20">
        <v>46036</v>
      </c>
      <c r="B405" s="21" t="str">
        <f t="shared" si="6"/>
        <v>14/01/2026NL300085</v>
      </c>
      <c r="C405" s="22" t="s">
        <v>500</v>
      </c>
      <c r="D405" s="22" t="s">
        <v>17</v>
      </c>
      <c r="E405" s="22" t="s">
        <v>431</v>
      </c>
      <c r="F405" s="21" t="s">
        <v>432</v>
      </c>
      <c r="G405" s="21" t="s">
        <v>433</v>
      </c>
      <c r="H405" s="21" t="s">
        <v>501</v>
      </c>
      <c r="I405" s="21" t="s">
        <v>263</v>
      </c>
      <c r="J405" s="21" t="s">
        <v>453</v>
      </c>
      <c r="K405" s="21" t="s">
        <v>442</v>
      </c>
      <c r="L405" s="23">
        <v>1</v>
      </c>
      <c r="M405" s="24">
        <v>45000</v>
      </c>
      <c r="N405" s="24">
        <v>0</v>
      </c>
      <c r="O405" s="25">
        <v>45000</v>
      </c>
      <c r="P405" s="25">
        <v>0</v>
      </c>
      <c r="Q405" s="24">
        <v>45000</v>
      </c>
      <c r="R405" s="21" t="s">
        <v>436</v>
      </c>
      <c r="S405" s="21" t="s">
        <v>437</v>
      </c>
      <c r="T405" s="21" t="s">
        <v>17</v>
      </c>
      <c r="U405" s="21" t="s">
        <v>438</v>
      </c>
      <c r="V405" s="21" t="s">
        <v>17</v>
      </c>
      <c r="W405" s="21" t="s">
        <v>439</v>
      </c>
      <c r="X405" s="21" t="s">
        <v>439</v>
      </c>
    </row>
    <row r="406" spans="1:24" ht="10.5" hidden="1" customHeight="1" x14ac:dyDescent="0.25">
      <c r="A406" s="20">
        <v>46036</v>
      </c>
      <c r="B406" s="21" t="str">
        <f t="shared" si="6"/>
        <v>14/01/2026NL300088</v>
      </c>
      <c r="C406" s="22" t="s">
        <v>500</v>
      </c>
      <c r="D406" s="22" t="s">
        <v>17</v>
      </c>
      <c r="E406" s="22" t="s">
        <v>431</v>
      </c>
      <c r="F406" s="21" t="s">
        <v>432</v>
      </c>
      <c r="G406" s="21" t="s">
        <v>433</v>
      </c>
      <c r="H406" s="21" t="s">
        <v>501</v>
      </c>
      <c r="I406" s="21" t="s">
        <v>254</v>
      </c>
      <c r="J406" s="21" t="s">
        <v>15</v>
      </c>
      <c r="K406" s="21" t="s">
        <v>442</v>
      </c>
      <c r="L406" s="23">
        <v>1</v>
      </c>
      <c r="M406" s="24">
        <v>27000</v>
      </c>
      <c r="N406" s="24">
        <v>0</v>
      </c>
      <c r="O406" s="25">
        <v>27000</v>
      </c>
      <c r="P406" s="25">
        <v>0</v>
      </c>
      <c r="Q406" s="24">
        <v>27000</v>
      </c>
      <c r="R406" s="21" t="s">
        <v>436</v>
      </c>
      <c r="S406" s="21" t="s">
        <v>437</v>
      </c>
      <c r="T406" s="21" t="s">
        <v>17</v>
      </c>
      <c r="U406" s="21" t="s">
        <v>438</v>
      </c>
      <c r="V406" s="21" t="s">
        <v>17</v>
      </c>
      <c r="W406" s="21" t="s">
        <v>439</v>
      </c>
      <c r="X406" s="21" t="s">
        <v>439</v>
      </c>
    </row>
    <row r="407" spans="1:24" ht="10.5" hidden="1" customHeight="1" x14ac:dyDescent="0.25">
      <c r="A407" s="20">
        <v>46036</v>
      </c>
      <c r="B407" s="21" t="str">
        <f t="shared" si="6"/>
        <v>14/01/2026NL300090</v>
      </c>
      <c r="C407" s="22" t="s">
        <v>500</v>
      </c>
      <c r="D407" s="22" t="s">
        <v>17</v>
      </c>
      <c r="E407" s="22" t="s">
        <v>431</v>
      </c>
      <c r="F407" s="21" t="s">
        <v>432</v>
      </c>
      <c r="G407" s="21" t="s">
        <v>433</v>
      </c>
      <c r="H407" s="21" t="s">
        <v>501</v>
      </c>
      <c r="I407" s="21" t="s">
        <v>255</v>
      </c>
      <c r="J407" s="21" t="s">
        <v>70</v>
      </c>
      <c r="K407" s="21" t="s">
        <v>442</v>
      </c>
      <c r="L407" s="23">
        <v>4.7</v>
      </c>
      <c r="M407" s="24">
        <v>145000</v>
      </c>
      <c r="N407" s="24">
        <v>0</v>
      </c>
      <c r="O407" s="25">
        <v>681500</v>
      </c>
      <c r="P407" s="25">
        <v>0</v>
      </c>
      <c r="Q407" s="24">
        <v>145000</v>
      </c>
      <c r="R407" s="21" t="s">
        <v>436</v>
      </c>
      <c r="S407" s="21" t="s">
        <v>437</v>
      </c>
      <c r="T407" s="21" t="s">
        <v>17</v>
      </c>
      <c r="U407" s="21" t="s">
        <v>438</v>
      </c>
      <c r="V407" s="21" t="s">
        <v>17</v>
      </c>
      <c r="W407" s="21" t="s">
        <v>439</v>
      </c>
      <c r="X407" s="21" t="s">
        <v>439</v>
      </c>
    </row>
    <row r="408" spans="1:24" ht="10.5" hidden="1" customHeight="1" x14ac:dyDescent="0.25">
      <c r="A408" s="20">
        <v>46036</v>
      </c>
      <c r="B408" s="21" t="str">
        <f t="shared" si="6"/>
        <v>14/01/2026NL300091</v>
      </c>
      <c r="C408" s="22" t="s">
        <v>500</v>
      </c>
      <c r="D408" s="22" t="s">
        <v>17</v>
      </c>
      <c r="E408" s="22" t="s">
        <v>431</v>
      </c>
      <c r="F408" s="21" t="s">
        <v>432</v>
      </c>
      <c r="G408" s="21" t="s">
        <v>433</v>
      </c>
      <c r="H408" s="21" t="s">
        <v>501</v>
      </c>
      <c r="I408" s="21" t="s">
        <v>256</v>
      </c>
      <c r="J408" s="21" t="s">
        <v>72</v>
      </c>
      <c r="K408" s="21" t="s">
        <v>442</v>
      </c>
      <c r="L408" s="23">
        <v>1</v>
      </c>
      <c r="M408" s="24">
        <v>47000</v>
      </c>
      <c r="N408" s="24">
        <v>0</v>
      </c>
      <c r="O408" s="25">
        <v>47000</v>
      </c>
      <c r="P408" s="25">
        <v>0</v>
      </c>
      <c r="Q408" s="24">
        <v>47000</v>
      </c>
      <c r="R408" s="21" t="s">
        <v>436</v>
      </c>
      <c r="S408" s="21" t="s">
        <v>437</v>
      </c>
      <c r="T408" s="21" t="s">
        <v>17</v>
      </c>
      <c r="U408" s="21" t="s">
        <v>438</v>
      </c>
      <c r="V408" s="21" t="s">
        <v>17</v>
      </c>
      <c r="W408" s="21" t="s">
        <v>439</v>
      </c>
      <c r="X408" s="21" t="s">
        <v>439</v>
      </c>
    </row>
    <row r="409" spans="1:24" ht="10.5" hidden="1" customHeight="1" x14ac:dyDescent="0.25">
      <c r="A409" s="20">
        <v>46036</v>
      </c>
      <c r="B409" s="21" t="str">
        <f t="shared" si="6"/>
        <v>14/01/2026NL300092</v>
      </c>
      <c r="C409" s="22" t="s">
        <v>500</v>
      </c>
      <c r="D409" s="22" t="s">
        <v>17</v>
      </c>
      <c r="E409" s="22" t="s">
        <v>431</v>
      </c>
      <c r="F409" s="21" t="s">
        <v>432</v>
      </c>
      <c r="G409" s="21" t="s">
        <v>433</v>
      </c>
      <c r="H409" s="21" t="s">
        <v>501</v>
      </c>
      <c r="I409" s="21" t="s">
        <v>329</v>
      </c>
      <c r="J409" s="21" t="s">
        <v>74</v>
      </c>
      <c r="K409" s="21" t="s">
        <v>442</v>
      </c>
      <c r="L409" s="23">
        <v>1.3</v>
      </c>
      <c r="M409" s="24">
        <v>90000</v>
      </c>
      <c r="N409" s="24">
        <v>0</v>
      </c>
      <c r="O409" s="25">
        <v>117000</v>
      </c>
      <c r="P409" s="25">
        <v>0</v>
      </c>
      <c r="Q409" s="24">
        <v>90000</v>
      </c>
      <c r="R409" s="21" t="s">
        <v>436</v>
      </c>
      <c r="S409" s="21" t="s">
        <v>437</v>
      </c>
      <c r="T409" s="21" t="s">
        <v>17</v>
      </c>
      <c r="U409" s="21" t="s">
        <v>438</v>
      </c>
      <c r="V409" s="21" t="s">
        <v>17</v>
      </c>
      <c r="W409" s="21" t="s">
        <v>439</v>
      </c>
      <c r="X409" s="21" t="s">
        <v>439</v>
      </c>
    </row>
    <row r="410" spans="1:24" ht="10.5" hidden="1" customHeight="1" x14ac:dyDescent="0.25">
      <c r="A410" s="20">
        <v>46036</v>
      </c>
      <c r="B410" s="21" t="str">
        <f t="shared" si="6"/>
        <v>14/01/2026NL300096</v>
      </c>
      <c r="C410" s="22" t="s">
        <v>500</v>
      </c>
      <c r="D410" s="22" t="s">
        <v>17</v>
      </c>
      <c r="E410" s="22" t="s">
        <v>431</v>
      </c>
      <c r="F410" s="21" t="s">
        <v>432</v>
      </c>
      <c r="G410" s="21" t="s">
        <v>433</v>
      </c>
      <c r="H410" s="21" t="s">
        <v>501</v>
      </c>
      <c r="I410" s="21" t="s">
        <v>258</v>
      </c>
      <c r="J410" s="21" t="s">
        <v>45</v>
      </c>
      <c r="K410" s="21" t="s">
        <v>442</v>
      </c>
      <c r="L410" s="23">
        <v>3.6</v>
      </c>
      <c r="M410" s="24">
        <v>45000</v>
      </c>
      <c r="N410" s="24">
        <v>0</v>
      </c>
      <c r="O410" s="25">
        <v>162000</v>
      </c>
      <c r="P410" s="25">
        <v>0</v>
      </c>
      <c r="Q410" s="24">
        <v>45000</v>
      </c>
      <c r="R410" s="21" t="s">
        <v>436</v>
      </c>
      <c r="S410" s="21" t="s">
        <v>437</v>
      </c>
      <c r="T410" s="21" t="s">
        <v>17</v>
      </c>
      <c r="U410" s="21" t="s">
        <v>438</v>
      </c>
      <c r="V410" s="21" t="s">
        <v>17</v>
      </c>
      <c r="W410" s="21" t="s">
        <v>439</v>
      </c>
      <c r="X410" s="21" t="s">
        <v>439</v>
      </c>
    </row>
    <row r="411" spans="1:24" ht="10.5" hidden="1" customHeight="1" x14ac:dyDescent="0.25">
      <c r="A411" s="20">
        <v>46036</v>
      </c>
      <c r="B411" s="21" t="str">
        <f t="shared" si="6"/>
        <v>14/01/2026NL300113</v>
      </c>
      <c r="C411" s="22" t="s">
        <v>500</v>
      </c>
      <c r="D411" s="22" t="s">
        <v>17</v>
      </c>
      <c r="E411" s="22" t="s">
        <v>431</v>
      </c>
      <c r="F411" s="21" t="s">
        <v>432</v>
      </c>
      <c r="G411" s="21" t="s">
        <v>433</v>
      </c>
      <c r="H411" s="21" t="s">
        <v>501</v>
      </c>
      <c r="I411" s="21" t="s">
        <v>271</v>
      </c>
      <c r="J411" s="21" t="s">
        <v>103</v>
      </c>
      <c r="K411" s="21" t="s">
        <v>442</v>
      </c>
      <c r="L411" s="23">
        <v>0.5</v>
      </c>
      <c r="M411" s="24">
        <v>145000</v>
      </c>
      <c r="N411" s="24">
        <v>0</v>
      </c>
      <c r="O411" s="25">
        <v>72500</v>
      </c>
      <c r="P411" s="25">
        <v>0</v>
      </c>
      <c r="Q411" s="24">
        <v>145000</v>
      </c>
      <c r="R411" s="21" t="s">
        <v>436</v>
      </c>
      <c r="S411" s="21" t="s">
        <v>437</v>
      </c>
      <c r="T411" s="21" t="s">
        <v>17</v>
      </c>
      <c r="U411" s="21" t="s">
        <v>438</v>
      </c>
      <c r="V411" s="21" t="s">
        <v>17</v>
      </c>
      <c r="W411" s="21" t="s">
        <v>439</v>
      </c>
      <c r="X411" s="21" t="s">
        <v>439</v>
      </c>
    </row>
    <row r="412" spans="1:24" ht="10.5" hidden="1" customHeight="1" x14ac:dyDescent="0.25">
      <c r="A412" s="20">
        <v>46036</v>
      </c>
      <c r="B412" s="21" t="str">
        <f t="shared" si="6"/>
        <v>14/01/2026NL300137</v>
      </c>
      <c r="C412" s="22" t="s">
        <v>500</v>
      </c>
      <c r="D412" s="22" t="s">
        <v>17</v>
      </c>
      <c r="E412" s="22" t="s">
        <v>431</v>
      </c>
      <c r="F412" s="21" t="s">
        <v>432</v>
      </c>
      <c r="G412" s="21" t="s">
        <v>433</v>
      </c>
      <c r="H412" s="21" t="s">
        <v>501</v>
      </c>
      <c r="I412" s="21" t="s">
        <v>196</v>
      </c>
      <c r="J412" s="21" t="s">
        <v>458</v>
      </c>
      <c r="K412" s="21" t="s">
        <v>442</v>
      </c>
      <c r="L412" s="23">
        <v>2</v>
      </c>
      <c r="M412" s="24">
        <v>52000</v>
      </c>
      <c r="N412" s="24">
        <v>0</v>
      </c>
      <c r="O412" s="25">
        <v>104000</v>
      </c>
      <c r="P412" s="25">
        <v>0</v>
      </c>
      <c r="Q412" s="24">
        <v>52000</v>
      </c>
      <c r="R412" s="21" t="s">
        <v>436</v>
      </c>
      <c r="S412" s="21" t="s">
        <v>437</v>
      </c>
      <c r="T412" s="21" t="s">
        <v>17</v>
      </c>
      <c r="U412" s="21" t="s">
        <v>438</v>
      </c>
      <c r="V412" s="21" t="s">
        <v>17</v>
      </c>
      <c r="W412" s="21" t="s">
        <v>439</v>
      </c>
      <c r="X412" s="21" t="s">
        <v>439</v>
      </c>
    </row>
    <row r="413" spans="1:24" ht="10.5" hidden="1" customHeight="1" x14ac:dyDescent="0.25">
      <c r="A413" s="20">
        <v>46036</v>
      </c>
      <c r="B413" s="21" t="str">
        <f t="shared" si="6"/>
        <v>14/01/2026NL300147</v>
      </c>
      <c r="C413" s="22" t="s">
        <v>500</v>
      </c>
      <c r="D413" s="22" t="s">
        <v>17</v>
      </c>
      <c r="E413" s="22" t="s">
        <v>431</v>
      </c>
      <c r="F413" s="21" t="s">
        <v>432</v>
      </c>
      <c r="G413" s="21" t="s">
        <v>433</v>
      </c>
      <c r="H413" s="21" t="s">
        <v>501</v>
      </c>
      <c r="I413" s="21" t="s">
        <v>300</v>
      </c>
      <c r="J413" s="21" t="s">
        <v>459</v>
      </c>
      <c r="K413" s="21" t="s">
        <v>442</v>
      </c>
      <c r="L413" s="23">
        <v>2</v>
      </c>
      <c r="M413" s="24">
        <v>62000</v>
      </c>
      <c r="N413" s="24">
        <v>0</v>
      </c>
      <c r="O413" s="25">
        <v>124000</v>
      </c>
      <c r="P413" s="25">
        <v>0</v>
      </c>
      <c r="Q413" s="24">
        <v>62000</v>
      </c>
      <c r="R413" s="21" t="s">
        <v>436</v>
      </c>
      <c r="S413" s="21" t="s">
        <v>437</v>
      </c>
      <c r="T413" s="21" t="s">
        <v>17</v>
      </c>
      <c r="U413" s="21" t="s">
        <v>438</v>
      </c>
      <c r="V413" s="21" t="s">
        <v>17</v>
      </c>
      <c r="W413" s="21" t="s">
        <v>439</v>
      </c>
      <c r="X413" s="21" t="s">
        <v>439</v>
      </c>
    </row>
    <row r="414" spans="1:24" ht="10.5" hidden="1" customHeight="1" x14ac:dyDescent="0.25">
      <c r="A414" s="20">
        <v>46036</v>
      </c>
      <c r="B414" s="21" t="str">
        <f t="shared" si="6"/>
        <v>14/01/2026NL300189</v>
      </c>
      <c r="C414" s="22" t="s">
        <v>500</v>
      </c>
      <c r="D414" s="22" t="s">
        <v>17</v>
      </c>
      <c r="E414" s="22" t="s">
        <v>431</v>
      </c>
      <c r="F414" s="21" t="s">
        <v>432</v>
      </c>
      <c r="G414" s="21" t="s">
        <v>433</v>
      </c>
      <c r="H414" s="21" t="s">
        <v>501</v>
      </c>
      <c r="I414" s="21" t="s">
        <v>378</v>
      </c>
      <c r="J414" s="21" t="s">
        <v>19</v>
      </c>
      <c r="K414" s="21" t="s">
        <v>442</v>
      </c>
      <c r="L414" s="23">
        <v>3</v>
      </c>
      <c r="M414" s="24">
        <v>15000</v>
      </c>
      <c r="N414" s="24">
        <v>0</v>
      </c>
      <c r="O414" s="25">
        <v>45000</v>
      </c>
      <c r="P414" s="25">
        <v>0</v>
      </c>
      <c r="Q414" s="24">
        <v>15000</v>
      </c>
      <c r="R414" s="21" t="s">
        <v>436</v>
      </c>
      <c r="S414" s="21" t="s">
        <v>437</v>
      </c>
      <c r="T414" s="21" t="s">
        <v>17</v>
      </c>
      <c r="U414" s="21" t="s">
        <v>438</v>
      </c>
      <c r="V414" s="21" t="s">
        <v>17</v>
      </c>
      <c r="W414" s="21" t="s">
        <v>439</v>
      </c>
      <c r="X414" s="21" t="s">
        <v>439</v>
      </c>
    </row>
    <row r="415" spans="1:24" ht="10.5" hidden="1" customHeight="1" x14ac:dyDescent="0.25">
      <c r="A415" s="20">
        <v>46036</v>
      </c>
      <c r="B415" s="21" t="str">
        <f t="shared" si="6"/>
        <v>14/01/2026NL300119</v>
      </c>
      <c r="C415" s="22" t="s">
        <v>500</v>
      </c>
      <c r="D415" s="22" t="s">
        <v>17</v>
      </c>
      <c r="E415" s="22" t="s">
        <v>431</v>
      </c>
      <c r="F415" s="21" t="s">
        <v>432</v>
      </c>
      <c r="G415" s="21" t="s">
        <v>433</v>
      </c>
      <c r="H415" s="21" t="s">
        <v>501</v>
      </c>
      <c r="I415" s="21" t="s">
        <v>310</v>
      </c>
      <c r="J415" s="21" t="s">
        <v>460</v>
      </c>
      <c r="K415" s="21" t="s">
        <v>442</v>
      </c>
      <c r="L415" s="23">
        <v>1.5</v>
      </c>
      <c r="M415" s="24">
        <v>21000</v>
      </c>
      <c r="N415" s="24">
        <v>0</v>
      </c>
      <c r="O415" s="25">
        <v>31500</v>
      </c>
      <c r="P415" s="25">
        <v>0</v>
      </c>
      <c r="Q415" s="24">
        <v>21000</v>
      </c>
      <c r="R415" s="21" t="s">
        <v>436</v>
      </c>
      <c r="S415" s="21" t="s">
        <v>437</v>
      </c>
      <c r="T415" s="21" t="s">
        <v>17</v>
      </c>
      <c r="U415" s="21" t="s">
        <v>438</v>
      </c>
      <c r="V415" s="21" t="s">
        <v>17</v>
      </c>
      <c r="W415" s="21" t="s">
        <v>439</v>
      </c>
      <c r="X415" s="21" t="s">
        <v>439</v>
      </c>
    </row>
    <row r="416" spans="1:24" ht="10.5" hidden="1" customHeight="1" x14ac:dyDescent="0.25">
      <c r="A416" s="20">
        <v>46036</v>
      </c>
      <c r="B416" s="21" t="str">
        <f t="shared" si="6"/>
        <v>14/01/2026NL100101</v>
      </c>
      <c r="C416" s="22" t="s">
        <v>500</v>
      </c>
      <c r="D416" s="22" t="s">
        <v>17</v>
      </c>
      <c r="E416" s="22" t="s">
        <v>431</v>
      </c>
      <c r="F416" s="21" t="s">
        <v>432</v>
      </c>
      <c r="G416" s="21" t="s">
        <v>433</v>
      </c>
      <c r="H416" s="21" t="s">
        <v>501</v>
      </c>
      <c r="I416" s="21" t="s">
        <v>344</v>
      </c>
      <c r="J416" s="21" t="s">
        <v>107</v>
      </c>
      <c r="K416" s="21" t="s">
        <v>435</v>
      </c>
      <c r="L416" s="23">
        <v>49</v>
      </c>
      <c r="M416" s="24">
        <v>5000</v>
      </c>
      <c r="N416" s="24">
        <v>0</v>
      </c>
      <c r="O416" s="25">
        <v>245000</v>
      </c>
      <c r="P416" s="25">
        <v>0</v>
      </c>
      <c r="Q416" s="24">
        <v>5000</v>
      </c>
      <c r="R416" s="21" t="s">
        <v>436</v>
      </c>
      <c r="S416" s="21" t="s">
        <v>437</v>
      </c>
      <c r="T416" s="21" t="s">
        <v>17</v>
      </c>
      <c r="U416" s="21" t="s">
        <v>438</v>
      </c>
      <c r="V416" s="21" t="s">
        <v>17</v>
      </c>
      <c r="W416" s="21" t="s">
        <v>439</v>
      </c>
      <c r="X416" s="21" t="s">
        <v>439</v>
      </c>
    </row>
    <row r="417" spans="1:24" ht="10.5" customHeight="1" x14ac:dyDescent="0.25">
      <c r="A417" s="20">
        <v>46037</v>
      </c>
      <c r="B417" s="21" t="str">
        <f t="shared" si="6"/>
        <v>15/01/2026NL600004</v>
      </c>
      <c r="C417" s="22" t="s">
        <v>502</v>
      </c>
      <c r="D417" s="22" t="s">
        <v>17</v>
      </c>
      <c r="E417" s="22" t="s">
        <v>431</v>
      </c>
      <c r="F417" s="21" t="s">
        <v>432</v>
      </c>
      <c r="G417" s="21" t="s">
        <v>433</v>
      </c>
      <c r="H417" s="21" t="s">
        <v>503</v>
      </c>
      <c r="I417" s="21" t="s">
        <v>225</v>
      </c>
      <c r="J417" s="21" t="s">
        <v>37</v>
      </c>
      <c r="K417" s="21" t="s">
        <v>442</v>
      </c>
      <c r="L417" s="23">
        <v>9.1999999999999993</v>
      </c>
      <c r="M417" s="24">
        <v>18000</v>
      </c>
      <c r="N417" s="24">
        <v>0</v>
      </c>
      <c r="O417" s="25">
        <v>165600</v>
      </c>
      <c r="P417" s="25">
        <v>0</v>
      </c>
      <c r="Q417" s="24">
        <v>18000</v>
      </c>
      <c r="R417" s="21" t="s">
        <v>436</v>
      </c>
      <c r="S417" s="21" t="s">
        <v>437</v>
      </c>
      <c r="T417" s="21" t="s">
        <v>17</v>
      </c>
      <c r="U417" s="21" t="s">
        <v>438</v>
      </c>
      <c r="V417" s="21" t="s">
        <v>17</v>
      </c>
      <c r="W417" s="21" t="s">
        <v>439</v>
      </c>
      <c r="X417" s="21" t="s">
        <v>439</v>
      </c>
    </row>
    <row r="418" spans="1:24" ht="10.5" customHeight="1" x14ac:dyDescent="0.25">
      <c r="A418" s="20">
        <v>46037</v>
      </c>
      <c r="B418" s="21" t="str">
        <f t="shared" si="6"/>
        <v>15/01/2026NL300029</v>
      </c>
      <c r="C418" s="22" t="s">
        <v>502</v>
      </c>
      <c r="D418" s="22" t="s">
        <v>17</v>
      </c>
      <c r="E418" s="22" t="s">
        <v>431</v>
      </c>
      <c r="F418" s="21" t="s">
        <v>432</v>
      </c>
      <c r="G418" s="21" t="s">
        <v>433</v>
      </c>
      <c r="H418" s="21" t="s">
        <v>503</v>
      </c>
      <c r="I418" s="21" t="s">
        <v>213</v>
      </c>
      <c r="J418" s="21" t="s">
        <v>469</v>
      </c>
      <c r="K418" s="21" t="s">
        <v>442</v>
      </c>
      <c r="L418" s="23">
        <v>2</v>
      </c>
      <c r="M418" s="24">
        <v>22000</v>
      </c>
      <c r="N418" s="24">
        <v>0</v>
      </c>
      <c r="O418" s="25">
        <v>44000</v>
      </c>
      <c r="P418" s="25">
        <v>0</v>
      </c>
      <c r="Q418" s="24">
        <v>22000</v>
      </c>
      <c r="R418" s="21" t="s">
        <v>436</v>
      </c>
      <c r="S418" s="21" t="s">
        <v>437</v>
      </c>
      <c r="T418" s="21" t="s">
        <v>17</v>
      </c>
      <c r="U418" s="21" t="s">
        <v>438</v>
      </c>
      <c r="V418" s="21" t="s">
        <v>17</v>
      </c>
      <c r="W418" s="21" t="s">
        <v>439</v>
      </c>
      <c r="X418" s="21" t="s">
        <v>439</v>
      </c>
    </row>
    <row r="419" spans="1:24" ht="10.5" customHeight="1" x14ac:dyDescent="0.25">
      <c r="A419" s="20">
        <v>46037</v>
      </c>
      <c r="B419" s="21" t="str">
        <f t="shared" si="6"/>
        <v>15/01/2026NL300125</v>
      </c>
      <c r="C419" s="22" t="s">
        <v>502</v>
      </c>
      <c r="D419" s="22" t="s">
        <v>17</v>
      </c>
      <c r="E419" s="22" t="s">
        <v>431</v>
      </c>
      <c r="F419" s="21" t="s">
        <v>432</v>
      </c>
      <c r="G419" s="21" t="s">
        <v>433</v>
      </c>
      <c r="H419" s="21" t="s">
        <v>503</v>
      </c>
      <c r="I419" s="21" t="s">
        <v>337</v>
      </c>
      <c r="J419" s="21" t="s">
        <v>146</v>
      </c>
      <c r="K419" s="21" t="s">
        <v>442</v>
      </c>
      <c r="L419" s="23">
        <v>0.5</v>
      </c>
      <c r="M419" s="24">
        <v>42000</v>
      </c>
      <c r="N419" s="24">
        <v>0</v>
      </c>
      <c r="O419" s="25">
        <v>21000</v>
      </c>
      <c r="P419" s="25">
        <v>0</v>
      </c>
      <c r="Q419" s="24">
        <v>42000</v>
      </c>
      <c r="R419" s="21" t="s">
        <v>436</v>
      </c>
      <c r="S419" s="21" t="s">
        <v>437</v>
      </c>
      <c r="T419" s="21" t="s">
        <v>17</v>
      </c>
      <c r="U419" s="21" t="s">
        <v>438</v>
      </c>
      <c r="V419" s="21" t="s">
        <v>17</v>
      </c>
      <c r="W419" s="21" t="s">
        <v>439</v>
      </c>
      <c r="X419" s="21" t="s">
        <v>439</v>
      </c>
    </row>
    <row r="420" spans="1:24" ht="10.5" customHeight="1" x14ac:dyDescent="0.25">
      <c r="A420" s="20">
        <v>46037</v>
      </c>
      <c r="B420" s="21" t="str">
        <f t="shared" si="6"/>
        <v>15/01/2026NL300184</v>
      </c>
      <c r="C420" s="22" t="s">
        <v>502</v>
      </c>
      <c r="D420" s="22" t="s">
        <v>17</v>
      </c>
      <c r="E420" s="22" t="s">
        <v>431</v>
      </c>
      <c r="F420" s="21" t="s">
        <v>432</v>
      </c>
      <c r="G420" s="21" t="s">
        <v>433</v>
      </c>
      <c r="H420" s="21" t="s">
        <v>503</v>
      </c>
      <c r="I420" s="21" t="s">
        <v>368</v>
      </c>
      <c r="J420" s="21" t="s">
        <v>462</v>
      </c>
      <c r="K420" s="21" t="s">
        <v>442</v>
      </c>
      <c r="L420" s="23">
        <v>0.3</v>
      </c>
      <c r="M420" s="24">
        <v>18000</v>
      </c>
      <c r="N420" s="24">
        <v>0</v>
      </c>
      <c r="O420" s="25">
        <v>5400</v>
      </c>
      <c r="P420" s="25">
        <v>0</v>
      </c>
      <c r="Q420" s="24">
        <v>18000</v>
      </c>
      <c r="R420" s="21" t="s">
        <v>436</v>
      </c>
      <c r="S420" s="21" t="s">
        <v>437</v>
      </c>
      <c r="T420" s="21" t="s">
        <v>17</v>
      </c>
      <c r="U420" s="21" t="s">
        <v>438</v>
      </c>
      <c r="V420" s="21" t="s">
        <v>17</v>
      </c>
      <c r="W420" s="21" t="s">
        <v>439</v>
      </c>
      <c r="X420" s="21" t="s">
        <v>439</v>
      </c>
    </row>
    <row r="421" spans="1:24" ht="10.5" customHeight="1" x14ac:dyDescent="0.25">
      <c r="A421" s="20">
        <v>46037</v>
      </c>
      <c r="B421" s="21" t="str">
        <f t="shared" si="6"/>
        <v>15/01/2026NL100101</v>
      </c>
      <c r="C421" s="22" t="s">
        <v>502</v>
      </c>
      <c r="D421" s="22" t="s">
        <v>17</v>
      </c>
      <c r="E421" s="22" t="s">
        <v>431</v>
      </c>
      <c r="F421" s="21" t="s">
        <v>432</v>
      </c>
      <c r="G421" s="21" t="s">
        <v>433</v>
      </c>
      <c r="H421" s="21" t="s">
        <v>503</v>
      </c>
      <c r="I421" s="21" t="s">
        <v>344</v>
      </c>
      <c r="J421" s="21" t="s">
        <v>107</v>
      </c>
      <c r="K421" s="21" t="s">
        <v>435</v>
      </c>
      <c r="L421" s="23">
        <v>50</v>
      </c>
      <c r="M421" s="24">
        <v>5000</v>
      </c>
      <c r="N421" s="24">
        <v>0</v>
      </c>
      <c r="O421" s="25">
        <v>250000</v>
      </c>
      <c r="P421" s="25">
        <v>0</v>
      </c>
      <c r="Q421" s="24">
        <v>5000</v>
      </c>
      <c r="R421" s="21" t="s">
        <v>436</v>
      </c>
      <c r="S421" s="21" t="s">
        <v>437</v>
      </c>
      <c r="T421" s="21" t="s">
        <v>17</v>
      </c>
      <c r="U421" s="21" t="s">
        <v>438</v>
      </c>
      <c r="V421" s="21" t="s">
        <v>17</v>
      </c>
      <c r="W421" s="21" t="s">
        <v>439</v>
      </c>
      <c r="X421" s="21" t="s">
        <v>439</v>
      </c>
    </row>
    <row r="422" spans="1:24" ht="10.5" customHeight="1" x14ac:dyDescent="0.25">
      <c r="A422" s="20">
        <v>46037</v>
      </c>
      <c r="B422" s="21" t="str">
        <f t="shared" si="6"/>
        <v>15/01/2026NL300142</v>
      </c>
      <c r="C422" s="22" t="s">
        <v>502</v>
      </c>
      <c r="D422" s="22" t="s">
        <v>17</v>
      </c>
      <c r="E422" s="22" t="s">
        <v>431</v>
      </c>
      <c r="F422" s="21" t="s">
        <v>432</v>
      </c>
      <c r="G422" s="21" t="s">
        <v>433</v>
      </c>
      <c r="H422" s="21" t="s">
        <v>503</v>
      </c>
      <c r="I422" s="21" t="s">
        <v>317</v>
      </c>
      <c r="J422" s="21" t="s">
        <v>441</v>
      </c>
      <c r="K422" s="21" t="s">
        <v>442</v>
      </c>
      <c r="L422" s="23">
        <v>2</v>
      </c>
      <c r="M422" s="24">
        <v>50000</v>
      </c>
      <c r="N422" s="24">
        <v>0</v>
      </c>
      <c r="O422" s="25">
        <v>100000</v>
      </c>
      <c r="P422" s="25">
        <v>0</v>
      </c>
      <c r="Q422" s="24">
        <v>50000</v>
      </c>
      <c r="R422" s="21" t="s">
        <v>436</v>
      </c>
      <c r="S422" s="21" t="s">
        <v>437</v>
      </c>
      <c r="T422" s="21" t="s">
        <v>17</v>
      </c>
      <c r="U422" s="21" t="s">
        <v>438</v>
      </c>
      <c r="V422" s="21" t="s">
        <v>17</v>
      </c>
      <c r="W422" s="21" t="s">
        <v>439</v>
      </c>
      <c r="X422" s="21" t="s">
        <v>439</v>
      </c>
    </row>
    <row r="423" spans="1:24" ht="10.5" customHeight="1" x14ac:dyDescent="0.25">
      <c r="A423" s="20">
        <v>46037</v>
      </c>
      <c r="B423" s="21" t="str">
        <f t="shared" si="6"/>
        <v>15/01/2026NL300097</v>
      </c>
      <c r="C423" s="22" t="s">
        <v>502</v>
      </c>
      <c r="D423" s="22" t="s">
        <v>17</v>
      </c>
      <c r="E423" s="22" t="s">
        <v>431</v>
      </c>
      <c r="F423" s="21" t="s">
        <v>432</v>
      </c>
      <c r="G423" s="21" t="s">
        <v>433</v>
      </c>
      <c r="H423" s="21" t="s">
        <v>503</v>
      </c>
      <c r="I423" s="21" t="s">
        <v>331</v>
      </c>
      <c r="J423" s="21" t="s">
        <v>443</v>
      </c>
      <c r="K423" s="21" t="s">
        <v>442</v>
      </c>
      <c r="L423" s="23">
        <v>0.8</v>
      </c>
      <c r="M423" s="24">
        <v>90000</v>
      </c>
      <c r="N423" s="24">
        <v>0</v>
      </c>
      <c r="O423" s="25">
        <v>72000</v>
      </c>
      <c r="P423" s="25">
        <v>0</v>
      </c>
      <c r="Q423" s="24">
        <v>90000</v>
      </c>
      <c r="R423" s="21" t="s">
        <v>436</v>
      </c>
      <c r="S423" s="21" t="s">
        <v>437</v>
      </c>
      <c r="T423" s="21" t="s">
        <v>17</v>
      </c>
      <c r="U423" s="21" t="s">
        <v>438</v>
      </c>
      <c r="V423" s="21" t="s">
        <v>17</v>
      </c>
      <c r="W423" s="21" t="s">
        <v>439</v>
      </c>
      <c r="X423" s="21" t="s">
        <v>439</v>
      </c>
    </row>
    <row r="424" spans="1:24" ht="10.5" customHeight="1" x14ac:dyDescent="0.25">
      <c r="A424" s="20">
        <v>46037</v>
      </c>
      <c r="B424" s="21" t="str">
        <f t="shared" si="6"/>
        <v>15/01/2026NL300004</v>
      </c>
      <c r="C424" s="22" t="s">
        <v>502</v>
      </c>
      <c r="D424" s="22" t="s">
        <v>17</v>
      </c>
      <c r="E424" s="22" t="s">
        <v>431</v>
      </c>
      <c r="F424" s="21" t="s">
        <v>432</v>
      </c>
      <c r="G424" s="21" t="s">
        <v>433</v>
      </c>
      <c r="H424" s="21" t="s">
        <v>503</v>
      </c>
      <c r="I424" s="21" t="s">
        <v>192</v>
      </c>
      <c r="J424" s="21" t="s">
        <v>21</v>
      </c>
      <c r="K424" s="21" t="s">
        <v>442</v>
      </c>
      <c r="L424" s="23">
        <v>4.3</v>
      </c>
      <c r="M424" s="24">
        <v>19000</v>
      </c>
      <c r="N424" s="24">
        <v>0</v>
      </c>
      <c r="O424" s="25">
        <v>81700</v>
      </c>
      <c r="P424" s="25">
        <v>0</v>
      </c>
      <c r="Q424" s="24">
        <v>19000</v>
      </c>
      <c r="R424" s="21" t="s">
        <v>436</v>
      </c>
      <c r="S424" s="21" t="s">
        <v>437</v>
      </c>
      <c r="T424" s="21" t="s">
        <v>17</v>
      </c>
      <c r="U424" s="21" t="s">
        <v>438</v>
      </c>
      <c r="V424" s="21" t="s">
        <v>17</v>
      </c>
      <c r="W424" s="21" t="s">
        <v>439</v>
      </c>
      <c r="X424" s="21" t="s">
        <v>439</v>
      </c>
    </row>
    <row r="425" spans="1:24" ht="10.5" customHeight="1" x14ac:dyDescent="0.25">
      <c r="A425" s="20">
        <v>46037</v>
      </c>
      <c r="B425" s="21" t="str">
        <f t="shared" si="6"/>
        <v>15/01/2026NL300008</v>
      </c>
      <c r="C425" s="22" t="s">
        <v>502</v>
      </c>
      <c r="D425" s="22" t="s">
        <v>17</v>
      </c>
      <c r="E425" s="22" t="s">
        <v>431</v>
      </c>
      <c r="F425" s="21" t="s">
        <v>432</v>
      </c>
      <c r="G425" s="21" t="s">
        <v>433</v>
      </c>
      <c r="H425" s="21" t="s">
        <v>503</v>
      </c>
      <c r="I425" s="21" t="s">
        <v>320</v>
      </c>
      <c r="J425" s="21" t="s">
        <v>445</v>
      </c>
      <c r="K425" s="21" t="s">
        <v>442</v>
      </c>
      <c r="L425" s="23">
        <v>6</v>
      </c>
      <c r="M425" s="24">
        <v>40000</v>
      </c>
      <c r="N425" s="24">
        <v>0</v>
      </c>
      <c r="O425" s="25">
        <v>240000</v>
      </c>
      <c r="P425" s="25">
        <v>0</v>
      </c>
      <c r="Q425" s="24">
        <v>40000</v>
      </c>
      <c r="R425" s="21" t="s">
        <v>436</v>
      </c>
      <c r="S425" s="21" t="s">
        <v>437</v>
      </c>
      <c r="T425" s="21" t="s">
        <v>17</v>
      </c>
      <c r="U425" s="21" t="s">
        <v>438</v>
      </c>
      <c r="V425" s="21" t="s">
        <v>17</v>
      </c>
      <c r="W425" s="21" t="s">
        <v>439</v>
      </c>
      <c r="X425" s="21" t="s">
        <v>439</v>
      </c>
    </row>
    <row r="426" spans="1:24" ht="10.5" customHeight="1" x14ac:dyDescent="0.25">
      <c r="A426" s="20">
        <v>46037</v>
      </c>
      <c r="B426" s="21" t="str">
        <f t="shared" si="6"/>
        <v>15/01/2026NL300020</v>
      </c>
      <c r="C426" s="22" t="s">
        <v>502</v>
      </c>
      <c r="D426" s="22" t="s">
        <v>17</v>
      </c>
      <c r="E426" s="22" t="s">
        <v>431</v>
      </c>
      <c r="F426" s="21" t="s">
        <v>432</v>
      </c>
      <c r="G426" s="21" t="s">
        <v>433</v>
      </c>
      <c r="H426" s="21" t="s">
        <v>503</v>
      </c>
      <c r="I426" s="21" t="s">
        <v>326</v>
      </c>
      <c r="J426" s="21" t="s">
        <v>446</v>
      </c>
      <c r="K426" s="21" t="s">
        <v>442</v>
      </c>
      <c r="L426" s="23">
        <v>1</v>
      </c>
      <c r="M426" s="24">
        <v>30000</v>
      </c>
      <c r="N426" s="24">
        <v>0</v>
      </c>
      <c r="O426" s="25">
        <v>30000</v>
      </c>
      <c r="P426" s="25">
        <v>0</v>
      </c>
      <c r="Q426" s="24">
        <v>30000</v>
      </c>
      <c r="R426" s="21" t="s">
        <v>436</v>
      </c>
      <c r="S426" s="21" t="s">
        <v>437</v>
      </c>
      <c r="T426" s="21" t="s">
        <v>17</v>
      </c>
      <c r="U426" s="21" t="s">
        <v>438</v>
      </c>
      <c r="V426" s="21" t="s">
        <v>17</v>
      </c>
      <c r="W426" s="21" t="s">
        <v>439</v>
      </c>
      <c r="X426" s="21" t="s">
        <v>439</v>
      </c>
    </row>
    <row r="427" spans="1:24" ht="10.5" customHeight="1" x14ac:dyDescent="0.25">
      <c r="A427" s="20">
        <v>46037</v>
      </c>
      <c r="B427" s="21" t="str">
        <f t="shared" si="6"/>
        <v>15/01/2026NL300036</v>
      </c>
      <c r="C427" s="22" t="s">
        <v>502</v>
      </c>
      <c r="D427" s="22" t="s">
        <v>17</v>
      </c>
      <c r="E427" s="22" t="s">
        <v>431</v>
      </c>
      <c r="F427" s="21" t="s">
        <v>432</v>
      </c>
      <c r="G427" s="21" t="s">
        <v>433</v>
      </c>
      <c r="H427" s="21" t="s">
        <v>503</v>
      </c>
      <c r="I427" s="21" t="s">
        <v>380</v>
      </c>
      <c r="J427" s="21" t="s">
        <v>96</v>
      </c>
      <c r="K427" s="21" t="s">
        <v>442</v>
      </c>
      <c r="L427" s="23">
        <v>1</v>
      </c>
      <c r="M427" s="24">
        <v>47000</v>
      </c>
      <c r="N427" s="24">
        <v>0</v>
      </c>
      <c r="O427" s="25">
        <v>47000</v>
      </c>
      <c r="P427" s="25">
        <v>0</v>
      </c>
      <c r="Q427" s="24">
        <v>47000</v>
      </c>
      <c r="R427" s="21" t="s">
        <v>436</v>
      </c>
      <c r="S427" s="21" t="s">
        <v>437</v>
      </c>
      <c r="T427" s="21" t="s">
        <v>17</v>
      </c>
      <c r="U427" s="21" t="s">
        <v>438</v>
      </c>
      <c r="V427" s="21" t="s">
        <v>17</v>
      </c>
      <c r="W427" s="21" t="s">
        <v>439</v>
      </c>
      <c r="X427" s="21" t="s">
        <v>439</v>
      </c>
    </row>
    <row r="428" spans="1:24" ht="10.5" customHeight="1" x14ac:dyDescent="0.25">
      <c r="A428" s="20">
        <v>46037</v>
      </c>
      <c r="B428" s="21" t="str">
        <f t="shared" si="6"/>
        <v>15/01/2026NL300038</v>
      </c>
      <c r="C428" s="22" t="s">
        <v>502</v>
      </c>
      <c r="D428" s="22" t="s">
        <v>17</v>
      </c>
      <c r="E428" s="22" t="s">
        <v>431</v>
      </c>
      <c r="F428" s="21" t="s">
        <v>432</v>
      </c>
      <c r="G428" s="21" t="s">
        <v>433</v>
      </c>
      <c r="H428" s="21" t="s">
        <v>503</v>
      </c>
      <c r="I428" s="21" t="s">
        <v>217</v>
      </c>
      <c r="J428" s="21" t="s">
        <v>35</v>
      </c>
      <c r="K428" s="21" t="s">
        <v>442</v>
      </c>
      <c r="L428" s="23">
        <v>2</v>
      </c>
      <c r="M428" s="24">
        <v>32000</v>
      </c>
      <c r="N428" s="24">
        <v>0</v>
      </c>
      <c r="O428" s="25">
        <v>64000</v>
      </c>
      <c r="P428" s="25">
        <v>0</v>
      </c>
      <c r="Q428" s="24">
        <v>32000</v>
      </c>
      <c r="R428" s="21" t="s">
        <v>436</v>
      </c>
      <c r="S428" s="21" t="s">
        <v>437</v>
      </c>
      <c r="T428" s="21" t="s">
        <v>17</v>
      </c>
      <c r="U428" s="21" t="s">
        <v>438</v>
      </c>
      <c r="V428" s="21" t="s">
        <v>17</v>
      </c>
      <c r="W428" s="21" t="s">
        <v>439</v>
      </c>
      <c r="X428" s="21" t="s">
        <v>439</v>
      </c>
    </row>
    <row r="429" spans="1:24" ht="10.5" customHeight="1" x14ac:dyDescent="0.25">
      <c r="A429" s="20">
        <v>46037</v>
      </c>
      <c r="B429" s="21" t="str">
        <f t="shared" si="6"/>
        <v>15/01/2026NL300058</v>
      </c>
      <c r="C429" s="22" t="s">
        <v>502</v>
      </c>
      <c r="D429" s="22" t="s">
        <v>17</v>
      </c>
      <c r="E429" s="22" t="s">
        <v>431</v>
      </c>
      <c r="F429" s="21" t="s">
        <v>432</v>
      </c>
      <c r="G429" s="21" t="s">
        <v>433</v>
      </c>
      <c r="H429" s="21" t="s">
        <v>503</v>
      </c>
      <c r="I429" s="21" t="s">
        <v>228</v>
      </c>
      <c r="J429" s="21" t="s">
        <v>39</v>
      </c>
      <c r="K429" s="21" t="s">
        <v>442</v>
      </c>
      <c r="L429" s="23">
        <v>2</v>
      </c>
      <c r="M429" s="24">
        <v>55000</v>
      </c>
      <c r="N429" s="24">
        <v>0</v>
      </c>
      <c r="O429" s="25">
        <v>110000</v>
      </c>
      <c r="P429" s="25">
        <v>0</v>
      </c>
      <c r="Q429" s="24">
        <v>55000</v>
      </c>
      <c r="R429" s="21" t="s">
        <v>436</v>
      </c>
      <c r="S429" s="21" t="s">
        <v>437</v>
      </c>
      <c r="T429" s="21" t="s">
        <v>17</v>
      </c>
      <c r="U429" s="21" t="s">
        <v>438</v>
      </c>
      <c r="V429" s="21" t="s">
        <v>17</v>
      </c>
      <c r="W429" s="21" t="s">
        <v>439</v>
      </c>
      <c r="X429" s="21" t="s">
        <v>439</v>
      </c>
    </row>
    <row r="430" spans="1:24" ht="10.5" customHeight="1" x14ac:dyDescent="0.25">
      <c r="A430" s="20">
        <v>46037</v>
      </c>
      <c r="B430" s="21" t="str">
        <f t="shared" si="6"/>
        <v>15/01/2026NL300088</v>
      </c>
      <c r="C430" s="22" t="s">
        <v>502</v>
      </c>
      <c r="D430" s="22" t="s">
        <v>17</v>
      </c>
      <c r="E430" s="22" t="s">
        <v>431</v>
      </c>
      <c r="F430" s="21" t="s">
        <v>432</v>
      </c>
      <c r="G430" s="21" t="s">
        <v>433</v>
      </c>
      <c r="H430" s="21" t="s">
        <v>503</v>
      </c>
      <c r="I430" s="21" t="s">
        <v>254</v>
      </c>
      <c r="J430" s="21" t="s">
        <v>15</v>
      </c>
      <c r="K430" s="21" t="s">
        <v>442</v>
      </c>
      <c r="L430" s="23">
        <v>3</v>
      </c>
      <c r="M430" s="24">
        <v>27000</v>
      </c>
      <c r="N430" s="24">
        <v>0</v>
      </c>
      <c r="O430" s="25">
        <v>81000</v>
      </c>
      <c r="P430" s="25">
        <v>0</v>
      </c>
      <c r="Q430" s="24">
        <v>27000</v>
      </c>
      <c r="R430" s="21" t="s">
        <v>436</v>
      </c>
      <c r="S430" s="21" t="s">
        <v>437</v>
      </c>
      <c r="T430" s="21" t="s">
        <v>17</v>
      </c>
      <c r="U430" s="21" t="s">
        <v>438</v>
      </c>
      <c r="V430" s="21" t="s">
        <v>17</v>
      </c>
      <c r="W430" s="21" t="s">
        <v>439</v>
      </c>
      <c r="X430" s="21" t="s">
        <v>439</v>
      </c>
    </row>
    <row r="431" spans="1:24" ht="10.5" customHeight="1" x14ac:dyDescent="0.25">
      <c r="A431" s="20">
        <v>46037</v>
      </c>
      <c r="B431" s="21" t="str">
        <f t="shared" si="6"/>
        <v>15/01/2026NL300092</v>
      </c>
      <c r="C431" s="22" t="s">
        <v>502</v>
      </c>
      <c r="D431" s="22" t="s">
        <v>17</v>
      </c>
      <c r="E431" s="22" t="s">
        <v>431</v>
      </c>
      <c r="F431" s="21" t="s">
        <v>432</v>
      </c>
      <c r="G431" s="21" t="s">
        <v>433</v>
      </c>
      <c r="H431" s="21" t="s">
        <v>503</v>
      </c>
      <c r="I431" s="21" t="s">
        <v>329</v>
      </c>
      <c r="J431" s="21" t="s">
        <v>74</v>
      </c>
      <c r="K431" s="21" t="s">
        <v>442</v>
      </c>
      <c r="L431" s="23">
        <v>0.8</v>
      </c>
      <c r="M431" s="24">
        <v>90000</v>
      </c>
      <c r="N431" s="24">
        <v>0</v>
      </c>
      <c r="O431" s="25">
        <v>72000</v>
      </c>
      <c r="P431" s="25">
        <v>0</v>
      </c>
      <c r="Q431" s="24">
        <v>90000</v>
      </c>
      <c r="R431" s="21" t="s">
        <v>436</v>
      </c>
      <c r="S431" s="21" t="s">
        <v>437</v>
      </c>
      <c r="T431" s="21" t="s">
        <v>17</v>
      </c>
      <c r="U431" s="21" t="s">
        <v>438</v>
      </c>
      <c r="V431" s="21" t="s">
        <v>17</v>
      </c>
      <c r="W431" s="21" t="s">
        <v>439</v>
      </c>
      <c r="X431" s="21" t="s">
        <v>439</v>
      </c>
    </row>
    <row r="432" spans="1:24" ht="10.5" customHeight="1" x14ac:dyDescent="0.25">
      <c r="A432" s="20">
        <v>46037</v>
      </c>
      <c r="B432" s="21" t="str">
        <f t="shared" si="6"/>
        <v>15/01/2026NL300096</v>
      </c>
      <c r="C432" s="22" t="s">
        <v>502</v>
      </c>
      <c r="D432" s="22" t="s">
        <v>17</v>
      </c>
      <c r="E432" s="22" t="s">
        <v>431</v>
      </c>
      <c r="F432" s="21" t="s">
        <v>432</v>
      </c>
      <c r="G432" s="21" t="s">
        <v>433</v>
      </c>
      <c r="H432" s="21" t="s">
        <v>503</v>
      </c>
      <c r="I432" s="21" t="s">
        <v>258</v>
      </c>
      <c r="J432" s="21" t="s">
        <v>45</v>
      </c>
      <c r="K432" s="21" t="s">
        <v>442</v>
      </c>
      <c r="L432" s="23">
        <v>3</v>
      </c>
      <c r="M432" s="24">
        <v>45000</v>
      </c>
      <c r="N432" s="24">
        <v>0</v>
      </c>
      <c r="O432" s="25">
        <v>135000</v>
      </c>
      <c r="P432" s="25">
        <v>0</v>
      </c>
      <c r="Q432" s="24">
        <v>45000</v>
      </c>
      <c r="R432" s="21" t="s">
        <v>436</v>
      </c>
      <c r="S432" s="21" t="s">
        <v>437</v>
      </c>
      <c r="T432" s="21" t="s">
        <v>17</v>
      </c>
      <c r="U432" s="21" t="s">
        <v>438</v>
      </c>
      <c r="V432" s="21" t="s">
        <v>17</v>
      </c>
      <c r="W432" s="21" t="s">
        <v>439</v>
      </c>
      <c r="X432" s="21" t="s">
        <v>439</v>
      </c>
    </row>
    <row r="433" spans="1:24" ht="10.5" customHeight="1" x14ac:dyDescent="0.25">
      <c r="A433" s="20">
        <v>46037</v>
      </c>
      <c r="B433" s="21" t="str">
        <f t="shared" si="6"/>
        <v>15/01/2026NL300107</v>
      </c>
      <c r="C433" s="22" t="s">
        <v>502</v>
      </c>
      <c r="D433" s="22" t="s">
        <v>17</v>
      </c>
      <c r="E433" s="22" t="s">
        <v>431</v>
      </c>
      <c r="F433" s="21" t="s">
        <v>432</v>
      </c>
      <c r="G433" s="21" t="s">
        <v>433</v>
      </c>
      <c r="H433" s="21" t="s">
        <v>503</v>
      </c>
      <c r="I433" s="21" t="s">
        <v>193</v>
      </c>
      <c r="J433" s="21" t="s">
        <v>455</v>
      </c>
      <c r="K433" s="21" t="s">
        <v>450</v>
      </c>
      <c r="L433" s="23">
        <v>7</v>
      </c>
      <c r="M433" s="24">
        <v>8500</v>
      </c>
      <c r="N433" s="24">
        <v>0</v>
      </c>
      <c r="O433" s="25">
        <v>59500</v>
      </c>
      <c r="P433" s="25">
        <v>0</v>
      </c>
      <c r="Q433" s="24">
        <v>8500</v>
      </c>
      <c r="R433" s="21" t="s">
        <v>436</v>
      </c>
      <c r="S433" s="21" t="s">
        <v>437</v>
      </c>
      <c r="T433" s="21" t="s">
        <v>17</v>
      </c>
      <c r="U433" s="21" t="s">
        <v>438</v>
      </c>
      <c r="V433" s="21" t="s">
        <v>17</v>
      </c>
      <c r="W433" s="21" t="s">
        <v>439</v>
      </c>
      <c r="X433" s="21" t="s">
        <v>439</v>
      </c>
    </row>
    <row r="434" spans="1:24" ht="10.5" customHeight="1" x14ac:dyDescent="0.25">
      <c r="A434" s="20">
        <v>46037</v>
      </c>
      <c r="B434" s="21" t="str">
        <f t="shared" si="6"/>
        <v>15/01/2026NL300116</v>
      </c>
      <c r="C434" s="22" t="s">
        <v>502</v>
      </c>
      <c r="D434" s="22" t="s">
        <v>17</v>
      </c>
      <c r="E434" s="22" t="s">
        <v>431</v>
      </c>
      <c r="F434" s="21" t="s">
        <v>432</v>
      </c>
      <c r="G434" s="21" t="s">
        <v>433</v>
      </c>
      <c r="H434" s="21" t="s">
        <v>503</v>
      </c>
      <c r="I434" s="21" t="s">
        <v>315</v>
      </c>
      <c r="J434" s="21" t="s">
        <v>456</v>
      </c>
      <c r="K434" s="21" t="s">
        <v>442</v>
      </c>
      <c r="L434" s="23">
        <v>0.3</v>
      </c>
      <c r="M434" s="24">
        <v>148000</v>
      </c>
      <c r="N434" s="24">
        <v>0</v>
      </c>
      <c r="O434" s="25">
        <v>44400</v>
      </c>
      <c r="P434" s="25">
        <v>0</v>
      </c>
      <c r="Q434" s="24">
        <v>148000</v>
      </c>
      <c r="R434" s="21" t="s">
        <v>436</v>
      </c>
      <c r="S434" s="21" t="s">
        <v>437</v>
      </c>
      <c r="T434" s="21" t="s">
        <v>17</v>
      </c>
      <c r="U434" s="21" t="s">
        <v>438</v>
      </c>
      <c r="V434" s="21" t="s">
        <v>17</v>
      </c>
      <c r="W434" s="21" t="s">
        <v>439</v>
      </c>
      <c r="X434" s="21" t="s">
        <v>439</v>
      </c>
    </row>
    <row r="435" spans="1:24" ht="10.5" customHeight="1" x14ac:dyDescent="0.25">
      <c r="A435" s="20">
        <v>46037</v>
      </c>
      <c r="B435" s="21" t="str">
        <f t="shared" si="6"/>
        <v>15/01/2026NL300137</v>
      </c>
      <c r="C435" s="22" t="s">
        <v>502</v>
      </c>
      <c r="D435" s="22" t="s">
        <v>17</v>
      </c>
      <c r="E435" s="22" t="s">
        <v>431</v>
      </c>
      <c r="F435" s="21" t="s">
        <v>432</v>
      </c>
      <c r="G435" s="21" t="s">
        <v>433</v>
      </c>
      <c r="H435" s="21" t="s">
        <v>503</v>
      </c>
      <c r="I435" s="21" t="s">
        <v>196</v>
      </c>
      <c r="J435" s="21" t="s">
        <v>458</v>
      </c>
      <c r="K435" s="21" t="s">
        <v>442</v>
      </c>
      <c r="L435" s="23">
        <v>2</v>
      </c>
      <c r="M435" s="24">
        <v>52000</v>
      </c>
      <c r="N435" s="24">
        <v>0</v>
      </c>
      <c r="O435" s="25">
        <v>104000</v>
      </c>
      <c r="P435" s="25">
        <v>0</v>
      </c>
      <c r="Q435" s="24">
        <v>52000</v>
      </c>
      <c r="R435" s="21" t="s">
        <v>436</v>
      </c>
      <c r="S435" s="21" t="s">
        <v>437</v>
      </c>
      <c r="T435" s="21" t="s">
        <v>17</v>
      </c>
      <c r="U435" s="21" t="s">
        <v>438</v>
      </c>
      <c r="V435" s="21" t="s">
        <v>17</v>
      </c>
      <c r="W435" s="21" t="s">
        <v>439</v>
      </c>
      <c r="X435" s="21" t="s">
        <v>439</v>
      </c>
    </row>
    <row r="436" spans="1:24" ht="10.5" customHeight="1" x14ac:dyDescent="0.25">
      <c r="A436" s="20">
        <v>46037</v>
      </c>
      <c r="B436" s="21" t="str">
        <f t="shared" si="6"/>
        <v>15/01/2026NL300147</v>
      </c>
      <c r="C436" s="22" t="s">
        <v>502</v>
      </c>
      <c r="D436" s="22" t="s">
        <v>17</v>
      </c>
      <c r="E436" s="22" t="s">
        <v>431</v>
      </c>
      <c r="F436" s="21" t="s">
        <v>432</v>
      </c>
      <c r="G436" s="21" t="s">
        <v>433</v>
      </c>
      <c r="H436" s="21" t="s">
        <v>503</v>
      </c>
      <c r="I436" s="21" t="s">
        <v>300</v>
      </c>
      <c r="J436" s="21" t="s">
        <v>459</v>
      </c>
      <c r="K436" s="21" t="s">
        <v>442</v>
      </c>
      <c r="L436" s="23">
        <v>1.5</v>
      </c>
      <c r="M436" s="24">
        <v>62000</v>
      </c>
      <c r="N436" s="24">
        <v>0</v>
      </c>
      <c r="O436" s="25">
        <v>93000</v>
      </c>
      <c r="P436" s="25">
        <v>0</v>
      </c>
      <c r="Q436" s="24">
        <v>62000</v>
      </c>
      <c r="R436" s="21" t="s">
        <v>436</v>
      </c>
      <c r="S436" s="21" t="s">
        <v>437</v>
      </c>
      <c r="T436" s="21" t="s">
        <v>17</v>
      </c>
      <c r="U436" s="21" t="s">
        <v>438</v>
      </c>
      <c r="V436" s="21" t="s">
        <v>17</v>
      </c>
      <c r="W436" s="21" t="s">
        <v>439</v>
      </c>
      <c r="X436" s="21" t="s">
        <v>439</v>
      </c>
    </row>
    <row r="437" spans="1:24" ht="10.5" customHeight="1" x14ac:dyDescent="0.25">
      <c r="A437" s="20">
        <v>46037</v>
      </c>
      <c r="B437" s="21" t="str">
        <f t="shared" si="6"/>
        <v>15/01/2026NL300119</v>
      </c>
      <c r="C437" s="22" t="s">
        <v>502</v>
      </c>
      <c r="D437" s="22" t="s">
        <v>17</v>
      </c>
      <c r="E437" s="22" t="s">
        <v>431</v>
      </c>
      <c r="F437" s="21" t="s">
        <v>432</v>
      </c>
      <c r="G437" s="21" t="s">
        <v>433</v>
      </c>
      <c r="H437" s="21" t="s">
        <v>503</v>
      </c>
      <c r="I437" s="21" t="s">
        <v>310</v>
      </c>
      <c r="J437" s="21" t="s">
        <v>460</v>
      </c>
      <c r="K437" s="21" t="s">
        <v>442</v>
      </c>
      <c r="L437" s="23">
        <v>1</v>
      </c>
      <c r="M437" s="24">
        <v>21000</v>
      </c>
      <c r="N437" s="24">
        <v>0</v>
      </c>
      <c r="O437" s="25">
        <v>21000</v>
      </c>
      <c r="P437" s="25">
        <v>0</v>
      </c>
      <c r="Q437" s="24">
        <v>21000</v>
      </c>
      <c r="R437" s="21" t="s">
        <v>436</v>
      </c>
      <c r="S437" s="21" t="s">
        <v>437</v>
      </c>
      <c r="T437" s="21" t="s">
        <v>17</v>
      </c>
      <c r="U437" s="21" t="s">
        <v>438</v>
      </c>
      <c r="V437" s="21" t="s">
        <v>17</v>
      </c>
      <c r="W437" s="21" t="s">
        <v>439</v>
      </c>
      <c r="X437" s="21" t="s">
        <v>439</v>
      </c>
    </row>
    <row r="438" spans="1:24" x14ac:dyDescent="0.25">
      <c r="A438" s="26" t="s">
        <v>17</v>
      </c>
      <c r="B438" s="26" t="s">
        <v>17</v>
      </c>
      <c r="C438" s="26" t="s">
        <v>17</v>
      </c>
      <c r="D438" s="26" t="s">
        <v>17</v>
      </c>
      <c r="E438" s="26" t="s">
        <v>17</v>
      </c>
      <c r="F438" s="26" t="s">
        <v>17</v>
      </c>
      <c r="G438" s="26" t="s">
        <v>17</v>
      </c>
      <c r="H438" s="26" t="s">
        <v>17</v>
      </c>
      <c r="I438" s="26" t="s">
        <v>17</v>
      </c>
      <c r="J438" s="26" t="s">
        <v>17</v>
      </c>
      <c r="K438" s="26" t="s">
        <v>17</v>
      </c>
      <c r="L438" s="26" t="s">
        <v>17</v>
      </c>
      <c r="M438" s="26" t="s">
        <v>17</v>
      </c>
      <c r="N438" s="26" t="s">
        <v>17</v>
      </c>
      <c r="O438" s="26" t="s">
        <v>17</v>
      </c>
      <c r="P438" s="26" t="s">
        <v>17</v>
      </c>
      <c r="Q438" s="26" t="s">
        <v>17</v>
      </c>
      <c r="R438" s="26" t="s">
        <v>17</v>
      </c>
      <c r="S438" s="26" t="s">
        <v>17</v>
      </c>
      <c r="T438" s="26" t="s">
        <v>17</v>
      </c>
      <c r="U438" s="26" t="s">
        <v>17</v>
      </c>
      <c r="V438" s="26" t="s">
        <v>17</v>
      </c>
      <c r="W438" s="26" t="s">
        <v>17</v>
      </c>
      <c r="X438" s="26" t="s">
        <v>17</v>
      </c>
    </row>
  </sheetData>
  <autoFilter ref="A1:X438" xr:uid="{243809FC-8E81-4174-8F64-D360D94759AB}">
    <filterColumn colId="0">
      <filters blank="1" calendarType="gregorian">
        <dateGroupItem year="2026" month="1" day="15" dateTimeGrouping="d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D249-5031-4035-A8B6-2F236F558F51}">
  <dimension ref="A1:B146"/>
  <sheetViews>
    <sheetView workbookViewId="0">
      <selection sqref="A1:XFD1048576"/>
    </sheetView>
  </sheetViews>
  <sheetFormatPr defaultRowHeight="15" x14ac:dyDescent="0.25"/>
  <cols>
    <col min="1" max="1" width="28" bestFit="1" customWidth="1"/>
    <col min="2" max="2" width="16.5703125" bestFit="1" customWidth="1"/>
  </cols>
  <sheetData>
    <row r="1" spans="1:2" x14ac:dyDescent="0.25">
      <c r="A1" t="s">
        <v>188</v>
      </c>
      <c r="B1" t="s">
        <v>189</v>
      </c>
    </row>
    <row r="2" spans="1:2" x14ac:dyDescent="0.25">
      <c r="A2" t="s">
        <v>190</v>
      </c>
      <c r="B2" t="s">
        <v>191</v>
      </c>
    </row>
    <row r="3" spans="1:2" x14ac:dyDescent="0.25">
      <c r="A3" t="s">
        <v>21</v>
      </c>
      <c r="B3" t="s">
        <v>192</v>
      </c>
    </row>
    <row r="4" spans="1:2" x14ac:dyDescent="0.25">
      <c r="A4" t="s">
        <v>57</v>
      </c>
      <c r="B4" t="s">
        <v>193</v>
      </c>
    </row>
    <row r="5" spans="1:2" x14ac:dyDescent="0.25">
      <c r="A5" t="s">
        <v>194</v>
      </c>
      <c r="B5" t="s">
        <v>195</v>
      </c>
    </row>
    <row r="6" spans="1:2" x14ac:dyDescent="0.25">
      <c r="A6" t="s">
        <v>127</v>
      </c>
      <c r="B6" t="s">
        <v>196</v>
      </c>
    </row>
    <row r="7" spans="1:2" x14ac:dyDescent="0.25">
      <c r="A7" t="s">
        <v>197</v>
      </c>
      <c r="B7" t="s">
        <v>198</v>
      </c>
    </row>
    <row r="8" spans="1:2" x14ac:dyDescent="0.25">
      <c r="A8" t="s">
        <v>199</v>
      </c>
      <c r="B8" t="s">
        <v>200</v>
      </c>
    </row>
    <row r="9" spans="1:2" x14ac:dyDescent="0.25">
      <c r="A9" t="s">
        <v>201</v>
      </c>
      <c r="B9" t="s">
        <v>202</v>
      </c>
    </row>
    <row r="10" spans="1:2" x14ac:dyDescent="0.25">
      <c r="A10" t="s">
        <v>203</v>
      </c>
      <c r="B10" t="s">
        <v>204</v>
      </c>
    </row>
    <row r="11" spans="1:2" x14ac:dyDescent="0.25">
      <c r="A11" t="s">
        <v>205</v>
      </c>
      <c r="B11" t="s">
        <v>206</v>
      </c>
    </row>
    <row r="12" spans="1:2" x14ac:dyDescent="0.25">
      <c r="A12" t="s">
        <v>207</v>
      </c>
      <c r="B12" t="s">
        <v>208</v>
      </c>
    </row>
    <row r="13" spans="1:2" x14ac:dyDescent="0.25">
      <c r="A13" t="s">
        <v>209</v>
      </c>
      <c r="B13" t="s">
        <v>210</v>
      </c>
    </row>
    <row r="14" spans="1:2" x14ac:dyDescent="0.25">
      <c r="A14" t="s">
        <v>90</v>
      </c>
      <c r="B14" t="s">
        <v>211</v>
      </c>
    </row>
    <row r="15" spans="1:2" x14ac:dyDescent="0.25">
      <c r="A15" t="s">
        <v>212</v>
      </c>
      <c r="B15" t="s">
        <v>213</v>
      </c>
    </row>
    <row r="16" spans="1:2" x14ac:dyDescent="0.25">
      <c r="A16" t="s">
        <v>214</v>
      </c>
      <c r="B16" t="s">
        <v>215</v>
      </c>
    </row>
    <row r="17" spans="1:2" x14ac:dyDescent="0.25">
      <c r="A17" t="s">
        <v>31</v>
      </c>
      <c r="B17" t="s">
        <v>216</v>
      </c>
    </row>
    <row r="18" spans="1:2" x14ac:dyDescent="0.25">
      <c r="A18" t="s">
        <v>35</v>
      </c>
      <c r="B18" t="s">
        <v>217</v>
      </c>
    </row>
    <row r="19" spans="1:2" x14ac:dyDescent="0.25">
      <c r="A19" t="s">
        <v>218</v>
      </c>
      <c r="B19" t="s">
        <v>219</v>
      </c>
    </row>
    <row r="20" spans="1:2" x14ac:dyDescent="0.25">
      <c r="A20" t="s">
        <v>220</v>
      </c>
      <c r="B20" t="s">
        <v>221</v>
      </c>
    </row>
    <row r="21" spans="1:2" x14ac:dyDescent="0.25">
      <c r="A21" t="s">
        <v>98</v>
      </c>
      <c r="B21" t="s">
        <v>222</v>
      </c>
    </row>
    <row r="22" spans="1:2" x14ac:dyDescent="0.25">
      <c r="A22" t="s">
        <v>223</v>
      </c>
      <c r="B22" t="s">
        <v>224</v>
      </c>
    </row>
    <row r="23" spans="1:2" x14ac:dyDescent="0.25">
      <c r="A23" t="s">
        <v>37</v>
      </c>
      <c r="B23" t="s">
        <v>225</v>
      </c>
    </row>
    <row r="24" spans="1:2" x14ac:dyDescent="0.25">
      <c r="A24" t="s">
        <v>226</v>
      </c>
      <c r="B24" t="s">
        <v>227</v>
      </c>
    </row>
    <row r="25" spans="1:2" x14ac:dyDescent="0.25">
      <c r="A25" t="s">
        <v>39</v>
      </c>
      <c r="B25" t="s">
        <v>228</v>
      </c>
    </row>
    <row r="26" spans="1:2" x14ac:dyDescent="0.25">
      <c r="A26" t="s">
        <v>114</v>
      </c>
      <c r="B26" t="s">
        <v>229</v>
      </c>
    </row>
    <row r="27" spans="1:2" x14ac:dyDescent="0.25">
      <c r="A27" t="s">
        <v>41</v>
      </c>
      <c r="B27" t="s">
        <v>230</v>
      </c>
    </row>
    <row r="28" spans="1:2" x14ac:dyDescent="0.25">
      <c r="A28" t="s">
        <v>231</v>
      </c>
      <c r="B28" t="s">
        <v>230</v>
      </c>
    </row>
    <row r="29" spans="1:2" x14ac:dyDescent="0.25">
      <c r="A29" t="s">
        <v>232</v>
      </c>
      <c r="B29" t="s">
        <v>233</v>
      </c>
    </row>
    <row r="30" spans="1:2" x14ac:dyDescent="0.25">
      <c r="A30" t="s">
        <v>234</v>
      </c>
      <c r="B30" t="s">
        <v>235</v>
      </c>
    </row>
    <row r="31" spans="1:2" x14ac:dyDescent="0.25">
      <c r="A31" t="s">
        <v>64</v>
      </c>
      <c r="B31" t="s">
        <v>236</v>
      </c>
    </row>
    <row r="32" spans="1:2" x14ac:dyDescent="0.25">
      <c r="A32" t="s">
        <v>237</v>
      </c>
      <c r="B32" t="s">
        <v>238</v>
      </c>
    </row>
    <row r="33" spans="1:2" x14ac:dyDescent="0.25">
      <c r="A33" t="s">
        <v>239</v>
      </c>
      <c r="B33" t="s">
        <v>240</v>
      </c>
    </row>
    <row r="34" spans="1:2" x14ac:dyDescent="0.25">
      <c r="A34" t="s">
        <v>43</v>
      </c>
      <c r="B34" t="s">
        <v>241</v>
      </c>
    </row>
    <row r="35" spans="1:2" x14ac:dyDescent="0.25">
      <c r="A35" t="s">
        <v>242</v>
      </c>
      <c r="B35" t="s">
        <v>243</v>
      </c>
    </row>
    <row r="36" spans="1:2" x14ac:dyDescent="0.25">
      <c r="A36" t="s">
        <v>244</v>
      </c>
      <c r="B36" t="s">
        <v>245</v>
      </c>
    </row>
    <row r="37" spans="1:2" x14ac:dyDescent="0.25">
      <c r="A37" t="s">
        <v>246</v>
      </c>
      <c r="B37" t="s">
        <v>247</v>
      </c>
    </row>
    <row r="38" spans="1:2" x14ac:dyDescent="0.25">
      <c r="A38" t="s">
        <v>248</v>
      </c>
      <c r="B38" t="s">
        <v>249</v>
      </c>
    </row>
    <row r="39" spans="1:2" x14ac:dyDescent="0.25">
      <c r="A39" t="s">
        <v>250</v>
      </c>
      <c r="B39" t="s">
        <v>251</v>
      </c>
    </row>
    <row r="40" spans="1:2" x14ac:dyDescent="0.25">
      <c r="A40" t="s">
        <v>252</v>
      </c>
      <c r="B40" t="s">
        <v>253</v>
      </c>
    </row>
    <row r="41" spans="1:2" x14ac:dyDescent="0.25">
      <c r="A41" t="s">
        <v>15</v>
      </c>
      <c r="B41" t="s">
        <v>254</v>
      </c>
    </row>
    <row r="42" spans="1:2" x14ac:dyDescent="0.25">
      <c r="A42" t="s">
        <v>70</v>
      </c>
      <c r="B42" t="s">
        <v>255</v>
      </c>
    </row>
    <row r="43" spans="1:2" x14ac:dyDescent="0.25">
      <c r="A43" t="s">
        <v>72</v>
      </c>
      <c r="B43" t="s">
        <v>256</v>
      </c>
    </row>
    <row r="44" spans="1:2" x14ac:dyDescent="0.25">
      <c r="A44" t="s">
        <v>101</v>
      </c>
      <c r="B44" t="s">
        <v>257</v>
      </c>
    </row>
    <row r="45" spans="1:2" x14ac:dyDescent="0.25">
      <c r="A45" t="s">
        <v>45</v>
      </c>
      <c r="B45" t="s">
        <v>258</v>
      </c>
    </row>
    <row r="46" spans="1:2" x14ac:dyDescent="0.25">
      <c r="A46" t="s">
        <v>259</v>
      </c>
      <c r="B46" t="s">
        <v>260</v>
      </c>
    </row>
    <row r="47" spans="1:2" x14ac:dyDescent="0.25">
      <c r="A47" t="s">
        <v>261</v>
      </c>
      <c r="B47" t="s">
        <v>262</v>
      </c>
    </row>
    <row r="48" spans="1:2" x14ac:dyDescent="0.25">
      <c r="A48" t="s">
        <v>78</v>
      </c>
      <c r="B48" t="s">
        <v>263</v>
      </c>
    </row>
    <row r="49" spans="1:2" x14ac:dyDescent="0.25">
      <c r="A49" t="s">
        <v>80</v>
      </c>
      <c r="B49" t="s">
        <v>264</v>
      </c>
    </row>
    <row r="50" spans="1:2" x14ac:dyDescent="0.25">
      <c r="A50" t="s">
        <v>265</v>
      </c>
      <c r="B50" t="s">
        <v>266</v>
      </c>
    </row>
    <row r="51" spans="1:2" x14ac:dyDescent="0.25">
      <c r="A51" t="s">
        <v>267</v>
      </c>
      <c r="B51" t="s">
        <v>268</v>
      </c>
    </row>
    <row r="52" spans="1:2" x14ac:dyDescent="0.25">
      <c r="A52" t="s">
        <v>269</v>
      </c>
      <c r="B52" t="s">
        <v>270</v>
      </c>
    </row>
    <row r="53" spans="1:2" x14ac:dyDescent="0.25">
      <c r="A53" t="s">
        <v>103</v>
      </c>
      <c r="B53" t="s">
        <v>271</v>
      </c>
    </row>
    <row r="54" spans="1:2" x14ac:dyDescent="0.25">
      <c r="A54" t="s">
        <v>272</v>
      </c>
      <c r="B54" t="s">
        <v>273</v>
      </c>
    </row>
    <row r="55" spans="1:2" x14ac:dyDescent="0.25">
      <c r="A55" t="s">
        <v>274</v>
      </c>
      <c r="B55" t="s">
        <v>273</v>
      </c>
    </row>
    <row r="56" spans="1:2" x14ac:dyDescent="0.25">
      <c r="A56" t="s">
        <v>275</v>
      </c>
      <c r="B56" t="s">
        <v>276</v>
      </c>
    </row>
    <row r="57" spans="1:2" x14ac:dyDescent="0.25">
      <c r="A57" t="s">
        <v>277</v>
      </c>
      <c r="B57" t="s">
        <v>278</v>
      </c>
    </row>
    <row r="58" spans="1:2" x14ac:dyDescent="0.25">
      <c r="A58" t="s">
        <v>279</v>
      </c>
      <c r="B58" t="s">
        <v>280</v>
      </c>
    </row>
    <row r="59" spans="1:2" x14ac:dyDescent="0.25">
      <c r="A59" t="s">
        <v>51</v>
      </c>
      <c r="B59" t="s">
        <v>281</v>
      </c>
    </row>
    <row r="60" spans="1:2" x14ac:dyDescent="0.25">
      <c r="A60" t="s">
        <v>134</v>
      </c>
      <c r="B60" t="s">
        <v>282</v>
      </c>
    </row>
    <row r="61" spans="1:2" x14ac:dyDescent="0.25">
      <c r="A61" t="s">
        <v>283</v>
      </c>
      <c r="B61" t="s">
        <v>284</v>
      </c>
    </row>
    <row r="62" spans="1:2" x14ac:dyDescent="0.25">
      <c r="A62" t="s">
        <v>82</v>
      </c>
      <c r="B62" t="s">
        <v>285</v>
      </c>
    </row>
    <row r="63" spans="1:2" x14ac:dyDescent="0.25">
      <c r="A63" t="s">
        <v>286</v>
      </c>
      <c r="B63" t="s">
        <v>287</v>
      </c>
    </row>
    <row r="64" spans="1:2" x14ac:dyDescent="0.25">
      <c r="A64" t="s">
        <v>288</v>
      </c>
      <c r="B64" t="s">
        <v>289</v>
      </c>
    </row>
    <row r="65" spans="1:2" x14ac:dyDescent="0.25">
      <c r="A65" t="s">
        <v>290</v>
      </c>
      <c r="B65" t="s">
        <v>291</v>
      </c>
    </row>
    <row r="66" spans="1:2" x14ac:dyDescent="0.25">
      <c r="A66" t="s">
        <v>292</v>
      </c>
      <c r="B66" t="s">
        <v>293</v>
      </c>
    </row>
    <row r="67" spans="1:2" x14ac:dyDescent="0.25">
      <c r="A67" t="s">
        <v>294</v>
      </c>
      <c r="B67" t="s">
        <v>295</v>
      </c>
    </row>
    <row r="68" spans="1:2" x14ac:dyDescent="0.25">
      <c r="A68" t="s">
        <v>296</v>
      </c>
      <c r="B68" t="s">
        <v>297</v>
      </c>
    </row>
    <row r="69" spans="1:2" x14ac:dyDescent="0.25">
      <c r="A69" t="s">
        <v>298</v>
      </c>
      <c r="B69" t="s">
        <v>299</v>
      </c>
    </row>
    <row r="70" spans="1:2" x14ac:dyDescent="0.25">
      <c r="A70" t="s">
        <v>55</v>
      </c>
      <c r="B70" t="s">
        <v>300</v>
      </c>
    </row>
    <row r="71" spans="1:2" x14ac:dyDescent="0.25">
      <c r="A71" t="s">
        <v>301</v>
      </c>
      <c r="B71" t="s">
        <v>302</v>
      </c>
    </row>
    <row r="72" spans="1:2" x14ac:dyDescent="0.25">
      <c r="A72" t="s">
        <v>303</v>
      </c>
      <c r="B72" t="s">
        <v>304</v>
      </c>
    </row>
    <row r="73" spans="1:2" x14ac:dyDescent="0.25">
      <c r="A73" t="s">
        <v>305</v>
      </c>
      <c r="B73" t="s">
        <v>306</v>
      </c>
    </row>
    <row r="74" spans="1:2" x14ac:dyDescent="0.25">
      <c r="A74" t="s">
        <v>307</v>
      </c>
      <c r="B74" t="s">
        <v>308</v>
      </c>
    </row>
    <row r="75" spans="1:2" x14ac:dyDescent="0.25">
      <c r="A75" t="s">
        <v>23</v>
      </c>
      <c r="B75" t="s">
        <v>309</v>
      </c>
    </row>
    <row r="76" spans="1:2" x14ac:dyDescent="0.25">
      <c r="A76" t="s">
        <v>53</v>
      </c>
      <c r="B76" t="s">
        <v>310</v>
      </c>
    </row>
    <row r="77" spans="1:2" x14ac:dyDescent="0.25">
      <c r="A77" t="s">
        <v>311</v>
      </c>
      <c r="B77" t="s">
        <v>312</v>
      </c>
    </row>
    <row r="78" spans="1:2" x14ac:dyDescent="0.25">
      <c r="A78" t="s">
        <v>92</v>
      </c>
      <c r="B78" t="s">
        <v>313</v>
      </c>
    </row>
    <row r="79" spans="1:2" x14ac:dyDescent="0.25">
      <c r="A79" t="s">
        <v>314</v>
      </c>
      <c r="B79" t="s">
        <v>266</v>
      </c>
    </row>
    <row r="80" spans="1:2" x14ac:dyDescent="0.25">
      <c r="A80" t="s">
        <v>47</v>
      </c>
      <c r="B80" t="s">
        <v>315</v>
      </c>
    </row>
    <row r="81" spans="1:2" x14ac:dyDescent="0.25">
      <c r="A81" t="s">
        <v>316</v>
      </c>
      <c r="B81" t="s">
        <v>284</v>
      </c>
    </row>
    <row r="82" spans="1:2" x14ac:dyDescent="0.25">
      <c r="A82" t="s">
        <v>86</v>
      </c>
      <c r="B82" t="s">
        <v>317</v>
      </c>
    </row>
    <row r="83" spans="1:2" x14ac:dyDescent="0.25">
      <c r="A83" t="s">
        <v>318</v>
      </c>
      <c r="B83" t="s">
        <v>319</v>
      </c>
    </row>
    <row r="84" spans="1:2" x14ac:dyDescent="0.25">
      <c r="A84" t="s">
        <v>25</v>
      </c>
      <c r="B84" t="s">
        <v>320</v>
      </c>
    </row>
    <row r="85" spans="1:2" x14ac:dyDescent="0.25">
      <c r="A85" t="s">
        <v>321</v>
      </c>
      <c r="B85" t="s">
        <v>322</v>
      </c>
    </row>
    <row r="86" spans="1:2" x14ac:dyDescent="0.25">
      <c r="A86" t="s">
        <v>323</v>
      </c>
      <c r="B86" t="s">
        <v>324</v>
      </c>
    </row>
    <row r="87" spans="1:2" x14ac:dyDescent="0.25">
      <c r="A87" t="s">
        <v>27</v>
      </c>
      <c r="B87" t="s">
        <v>325</v>
      </c>
    </row>
    <row r="88" spans="1:2" x14ac:dyDescent="0.25">
      <c r="A88" t="s">
        <v>29</v>
      </c>
      <c r="B88" t="s">
        <v>326</v>
      </c>
    </row>
    <row r="89" spans="1:2" x14ac:dyDescent="0.25">
      <c r="A89" t="s">
        <v>327</v>
      </c>
      <c r="B89" t="s">
        <v>328</v>
      </c>
    </row>
    <row r="90" spans="1:2" x14ac:dyDescent="0.25">
      <c r="A90" t="s">
        <v>74</v>
      </c>
      <c r="B90" t="s">
        <v>329</v>
      </c>
    </row>
    <row r="91" spans="1:2" x14ac:dyDescent="0.25">
      <c r="A91" t="s">
        <v>118</v>
      </c>
      <c r="B91" t="s">
        <v>330</v>
      </c>
    </row>
    <row r="92" spans="1:2" x14ac:dyDescent="0.25">
      <c r="A92" t="s">
        <v>76</v>
      </c>
      <c r="B92" t="s">
        <v>331</v>
      </c>
    </row>
    <row r="93" spans="1:2" x14ac:dyDescent="0.25">
      <c r="A93" t="s">
        <v>332</v>
      </c>
      <c r="B93" t="s">
        <v>222</v>
      </c>
    </row>
    <row r="94" spans="1:2" x14ac:dyDescent="0.25">
      <c r="A94" t="s">
        <v>333</v>
      </c>
      <c r="B94" t="s">
        <v>334</v>
      </c>
    </row>
    <row r="95" spans="1:2" x14ac:dyDescent="0.25">
      <c r="A95" t="s">
        <v>335</v>
      </c>
      <c r="B95" t="s">
        <v>336</v>
      </c>
    </row>
    <row r="96" spans="1:2" x14ac:dyDescent="0.25">
      <c r="A96" t="s">
        <v>49</v>
      </c>
      <c r="B96" t="s">
        <v>337</v>
      </c>
    </row>
    <row r="97" spans="1:2" x14ac:dyDescent="0.25">
      <c r="A97" t="s">
        <v>338</v>
      </c>
      <c r="B97" t="s">
        <v>339</v>
      </c>
    </row>
    <row r="98" spans="1:2" x14ac:dyDescent="0.25">
      <c r="A98" t="s">
        <v>88</v>
      </c>
      <c r="B98" t="s">
        <v>340</v>
      </c>
    </row>
    <row r="99" spans="1:2" x14ac:dyDescent="0.25">
      <c r="A99" t="s">
        <v>341</v>
      </c>
      <c r="B99" t="s">
        <v>342</v>
      </c>
    </row>
    <row r="100" spans="1:2" x14ac:dyDescent="0.25">
      <c r="A100" t="s">
        <v>110</v>
      </c>
      <c r="B100" t="s">
        <v>343</v>
      </c>
    </row>
    <row r="101" spans="1:2" x14ac:dyDescent="0.25">
      <c r="A101" t="s">
        <v>107</v>
      </c>
      <c r="B101" t="s">
        <v>344</v>
      </c>
    </row>
    <row r="102" spans="1:2" x14ac:dyDescent="0.25">
      <c r="A102" t="s">
        <v>66</v>
      </c>
      <c r="B102" t="s">
        <v>345</v>
      </c>
    </row>
    <row r="103" spans="1:2" x14ac:dyDescent="0.25">
      <c r="A103" t="s">
        <v>346</v>
      </c>
      <c r="B103" t="s">
        <v>347</v>
      </c>
    </row>
    <row r="104" spans="1:2" x14ac:dyDescent="0.25">
      <c r="A104" t="s">
        <v>84</v>
      </c>
      <c r="B104" t="s">
        <v>348</v>
      </c>
    </row>
    <row r="105" spans="1:2" x14ac:dyDescent="0.25">
      <c r="A105" t="s">
        <v>349</v>
      </c>
      <c r="B105" t="s">
        <v>350</v>
      </c>
    </row>
    <row r="106" spans="1:2" x14ac:dyDescent="0.25">
      <c r="A106" t="s">
        <v>351</v>
      </c>
      <c r="B106" t="s">
        <v>240</v>
      </c>
    </row>
    <row r="107" spans="1:2" x14ac:dyDescent="0.25">
      <c r="A107" t="s">
        <v>116</v>
      </c>
      <c r="B107" t="s">
        <v>352</v>
      </c>
    </row>
    <row r="108" spans="1:2" x14ac:dyDescent="0.25">
      <c r="A108" t="s">
        <v>353</v>
      </c>
      <c r="B108" t="s">
        <v>354</v>
      </c>
    </row>
    <row r="109" spans="1:2" x14ac:dyDescent="0.25">
      <c r="A109" t="s">
        <v>355</v>
      </c>
      <c r="B109" t="s">
        <v>356</v>
      </c>
    </row>
    <row r="110" spans="1:2" x14ac:dyDescent="0.25">
      <c r="A110" t="s">
        <v>357</v>
      </c>
      <c r="B110" t="s">
        <v>358</v>
      </c>
    </row>
    <row r="111" spans="1:2" x14ac:dyDescent="0.25">
      <c r="A111" t="s">
        <v>359</v>
      </c>
      <c r="B111" t="s">
        <v>230</v>
      </c>
    </row>
    <row r="112" spans="1:2" x14ac:dyDescent="0.25">
      <c r="A112" t="s">
        <v>23</v>
      </c>
      <c r="B112" t="s">
        <v>309</v>
      </c>
    </row>
    <row r="113" spans="1:2" x14ac:dyDescent="0.25">
      <c r="A113" t="s">
        <v>62</v>
      </c>
      <c r="B113" t="s">
        <v>213</v>
      </c>
    </row>
    <row r="114" spans="1:2" x14ac:dyDescent="0.25">
      <c r="A114" t="s">
        <v>360</v>
      </c>
      <c r="B114" t="s">
        <v>361</v>
      </c>
    </row>
    <row r="115" spans="1:2" x14ac:dyDescent="0.25">
      <c r="A115" t="s">
        <v>362</v>
      </c>
      <c r="B115" t="s">
        <v>304</v>
      </c>
    </row>
    <row r="116" spans="1:2" x14ac:dyDescent="0.25">
      <c r="A116" t="s">
        <v>363</v>
      </c>
      <c r="B116" t="s">
        <v>304</v>
      </c>
    </row>
    <row r="117" spans="1:2" x14ac:dyDescent="0.25">
      <c r="A117" t="s">
        <v>364</v>
      </c>
      <c r="B117" t="s">
        <v>365</v>
      </c>
    </row>
    <row r="118" spans="1:2" x14ac:dyDescent="0.25">
      <c r="A118" t="s">
        <v>366</v>
      </c>
      <c r="B118" t="s">
        <v>317</v>
      </c>
    </row>
    <row r="119" spans="1:2" x14ac:dyDescent="0.25">
      <c r="A119" t="s">
        <v>112</v>
      </c>
      <c r="B119" t="s">
        <v>367</v>
      </c>
    </row>
    <row r="120" spans="1:2" x14ac:dyDescent="0.25">
      <c r="A120" t="s">
        <v>68</v>
      </c>
      <c r="B120" t="s">
        <v>368</v>
      </c>
    </row>
    <row r="121" spans="1:2" x14ac:dyDescent="0.25">
      <c r="A121" t="s">
        <v>146</v>
      </c>
      <c r="B121" t="s">
        <v>337</v>
      </c>
    </row>
    <row r="122" spans="1:2" x14ac:dyDescent="0.25">
      <c r="A122" t="s">
        <v>369</v>
      </c>
      <c r="B122" t="s">
        <v>370</v>
      </c>
    </row>
    <row r="123" spans="1:2" x14ac:dyDescent="0.25">
      <c r="A123" t="s">
        <v>371</v>
      </c>
      <c r="B123" t="s">
        <v>372</v>
      </c>
    </row>
    <row r="124" spans="1:2" x14ac:dyDescent="0.25">
      <c r="A124" t="s">
        <v>373</v>
      </c>
      <c r="B124" t="s">
        <v>374</v>
      </c>
    </row>
    <row r="125" spans="1:2" x14ac:dyDescent="0.25">
      <c r="A125" t="s">
        <v>105</v>
      </c>
      <c r="B125" t="s">
        <v>375</v>
      </c>
    </row>
    <row r="126" spans="1:2" x14ac:dyDescent="0.25">
      <c r="A126" t="s">
        <v>60</v>
      </c>
      <c r="B126" t="s">
        <v>376</v>
      </c>
    </row>
    <row r="127" spans="1:2" x14ac:dyDescent="0.25">
      <c r="A127" t="s">
        <v>94</v>
      </c>
      <c r="B127" t="s">
        <v>377</v>
      </c>
    </row>
    <row r="128" spans="1:2" x14ac:dyDescent="0.25">
      <c r="A128" t="s">
        <v>19</v>
      </c>
      <c r="B128" t="s">
        <v>378</v>
      </c>
    </row>
    <row r="129" spans="1:2" x14ac:dyDescent="0.25">
      <c r="A129" t="s">
        <v>129</v>
      </c>
      <c r="B129" t="s">
        <v>379</v>
      </c>
    </row>
    <row r="130" spans="1:2" x14ac:dyDescent="0.25">
      <c r="A130" t="s">
        <v>96</v>
      </c>
      <c r="B130" t="s">
        <v>380</v>
      </c>
    </row>
    <row r="131" spans="1:2" x14ac:dyDescent="0.25">
      <c r="A131" t="s">
        <v>381</v>
      </c>
      <c r="B131" t="s">
        <v>382</v>
      </c>
    </row>
    <row r="132" spans="1:2" x14ac:dyDescent="0.25">
      <c r="A132" t="s">
        <v>33</v>
      </c>
      <c r="B132" t="s">
        <v>383</v>
      </c>
    </row>
    <row r="133" spans="1:2" x14ac:dyDescent="0.25">
      <c r="A133" t="s">
        <v>384</v>
      </c>
      <c r="B133" t="s">
        <v>222</v>
      </c>
    </row>
    <row r="134" spans="1:2" x14ac:dyDescent="0.25">
      <c r="A134" t="s">
        <v>385</v>
      </c>
      <c r="B134" t="s">
        <v>367</v>
      </c>
    </row>
    <row r="135" spans="1:2" x14ac:dyDescent="0.25">
      <c r="A135" t="s">
        <v>335</v>
      </c>
      <c r="B135" t="s">
        <v>336</v>
      </c>
    </row>
    <row r="136" spans="1:2" x14ac:dyDescent="0.25">
      <c r="A136" t="s">
        <v>386</v>
      </c>
      <c r="B136" t="s">
        <v>387</v>
      </c>
    </row>
    <row r="137" spans="1:2" x14ac:dyDescent="0.25">
      <c r="A137" t="s">
        <v>388</v>
      </c>
      <c r="B137" t="s">
        <v>389</v>
      </c>
    </row>
    <row r="138" spans="1:2" x14ac:dyDescent="0.25">
      <c r="A138" t="s">
        <v>390</v>
      </c>
      <c r="B138" t="s">
        <v>391</v>
      </c>
    </row>
    <row r="139" spans="1:2" x14ac:dyDescent="0.25">
      <c r="A139" t="s">
        <v>392</v>
      </c>
      <c r="B139" t="s">
        <v>393</v>
      </c>
    </row>
    <row r="140" spans="1:2" x14ac:dyDescent="0.25">
      <c r="A140" t="s">
        <v>394</v>
      </c>
      <c r="B140" t="s">
        <v>395</v>
      </c>
    </row>
    <row r="141" spans="1:2" x14ac:dyDescent="0.25">
      <c r="A141" t="s">
        <v>396</v>
      </c>
      <c r="B141" t="s">
        <v>397</v>
      </c>
    </row>
    <row r="142" spans="1:2" x14ac:dyDescent="0.25">
      <c r="A142" t="s">
        <v>398</v>
      </c>
      <c r="B142" t="s">
        <v>391</v>
      </c>
    </row>
    <row r="143" spans="1:2" x14ac:dyDescent="0.25">
      <c r="A143" t="s">
        <v>399</v>
      </c>
      <c r="B143" t="s">
        <v>200</v>
      </c>
    </row>
    <row r="144" spans="1:2" x14ac:dyDescent="0.25">
      <c r="A144" t="s">
        <v>400</v>
      </c>
      <c r="B144" t="s">
        <v>401</v>
      </c>
    </row>
    <row r="145" spans="1:2" x14ac:dyDescent="0.25">
      <c r="A145" t="s">
        <v>402</v>
      </c>
      <c r="B145" t="s">
        <v>230</v>
      </c>
    </row>
    <row r="146" spans="1:2" x14ac:dyDescent="0.25">
      <c r="A146" t="s">
        <v>136</v>
      </c>
      <c r="B146" t="s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4521-2098-4834-BAEF-0A502FB2B1AE}">
  <dimension ref="A1:S498"/>
  <sheetViews>
    <sheetView showGridLines="0" tabSelected="1" workbookViewId="0">
      <pane xSplit="1" topLeftCell="B1" activePane="topRight" state="frozen"/>
      <selection pane="topRight" activeCell="S484" sqref="S484:S497"/>
    </sheetView>
  </sheetViews>
  <sheetFormatPr defaultRowHeight="15" x14ac:dyDescent="0.25"/>
  <cols>
    <col min="1" max="1" width="11.28515625" bestFit="1" customWidth="1"/>
    <col min="2" max="2" width="45.28515625" customWidth="1"/>
    <col min="3" max="4" width="22.7109375" customWidth="1"/>
    <col min="5" max="5" width="12.28515625" bestFit="1" customWidth="1"/>
    <col min="6" max="6" width="28.85546875" customWidth="1"/>
    <col min="7" max="7" width="8" customWidth="1"/>
    <col min="8" max="8" width="13.7109375" bestFit="1" customWidth="1"/>
    <col min="9" max="9" width="11.140625" bestFit="1" customWidth="1"/>
    <col min="10" max="10" width="14.28515625" bestFit="1" customWidth="1"/>
    <col min="11" max="11" width="39" hidden="1" customWidth="1"/>
    <col min="12" max="13" width="0" hidden="1" customWidth="1"/>
    <col min="14" max="14" width="15.7109375" style="14" bestFit="1" customWidth="1"/>
    <col min="15" max="15" width="12.42578125" style="16" bestFit="1" customWidth="1"/>
    <col min="16" max="16" width="19.7109375" style="16" bestFit="1" customWidth="1"/>
    <col min="17" max="17" width="10" style="14" bestFit="1" customWidth="1"/>
    <col min="18" max="18" width="11.5703125" style="16" bestFit="1" customWidth="1"/>
    <col min="19" max="19" width="18.28515625" bestFit="1" customWidth="1"/>
  </cols>
  <sheetData>
    <row r="1" spans="1:19" ht="9.6" customHeight="1" x14ac:dyDescent="0.25"/>
    <row r="2" spans="1:19" ht="102.95" customHeight="1" x14ac:dyDescent="0.25">
      <c r="A2" s="40"/>
      <c r="B2" s="38"/>
      <c r="C2" s="39"/>
      <c r="D2" s="41" t="s">
        <v>0</v>
      </c>
      <c r="E2" s="38"/>
      <c r="F2" s="38"/>
      <c r="G2" s="38"/>
      <c r="H2" s="38"/>
      <c r="I2" s="38"/>
      <c r="J2" s="38"/>
      <c r="K2" s="39"/>
    </row>
    <row r="3" spans="1:19" ht="1.1499999999999999" customHeight="1" x14ac:dyDescent="0.25"/>
    <row r="4" spans="1:19" ht="24.75" customHeight="1" x14ac:dyDescent="0.25">
      <c r="A4" s="42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9"/>
    </row>
    <row r="5" spans="1:19" ht="2.1" customHeight="1" x14ac:dyDescent="0.25"/>
    <row r="6" spans="1:19" ht="22.5" customHeight="1" x14ac:dyDescent="0.25">
      <c r="A6" s="43" t="s">
        <v>130</v>
      </c>
      <c r="B6" s="38"/>
      <c r="C6" s="38"/>
      <c r="D6" s="38"/>
      <c r="E6" s="38"/>
      <c r="F6" s="38"/>
      <c r="G6" s="38"/>
      <c r="H6" s="38"/>
      <c r="I6" s="38"/>
      <c r="J6" s="38"/>
      <c r="K6" s="39"/>
    </row>
    <row r="7" spans="1:19" ht="3" customHeight="1" x14ac:dyDescent="0.25"/>
    <row r="8" spans="1:19" ht="24.95" customHeight="1" x14ac:dyDescent="0.25">
      <c r="A8" s="37" t="s">
        <v>120</v>
      </c>
      <c r="B8" s="38"/>
      <c r="C8" s="38"/>
      <c r="D8" s="38"/>
      <c r="E8" s="38"/>
      <c r="F8" s="38"/>
      <c r="G8" s="38"/>
      <c r="H8" s="38"/>
      <c r="I8" s="38"/>
      <c r="J8" s="38"/>
      <c r="K8" s="39"/>
    </row>
    <row r="9" spans="1:19" ht="4.1500000000000004" customHeight="1" x14ac:dyDescent="0.25"/>
    <row r="10" spans="1:19" ht="23.25" customHeight="1" x14ac:dyDescent="0.25">
      <c r="A10" s="37" t="s">
        <v>3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9" ht="3.95" customHeight="1" x14ac:dyDescent="0.25"/>
    <row r="12" spans="1:19" ht="23.85" customHeight="1" x14ac:dyDescent="0.3">
      <c r="A12" s="37" t="s">
        <v>4</v>
      </c>
      <c r="B12" s="38"/>
      <c r="C12" s="38"/>
      <c r="D12" s="38"/>
      <c r="E12" s="38"/>
      <c r="F12" s="38"/>
      <c r="G12" s="38"/>
      <c r="H12" s="38"/>
      <c r="I12" s="38"/>
      <c r="J12" s="38"/>
      <c r="K12" s="39"/>
      <c r="N12" s="27">
        <f>SUBTOTAL(9,N15:N501)</f>
        <v>1428.6500000000015</v>
      </c>
      <c r="O12" s="28"/>
      <c r="P12" s="28">
        <f>SUBTOTAL(9,P15:P501)</f>
        <v>36061660</v>
      </c>
    </row>
    <row r="13" spans="1:19" ht="27" customHeight="1" x14ac:dyDescent="0.25">
      <c r="J13" s="9">
        <f>SUBTOTAL(9,J15:J498)</f>
        <v>49135400</v>
      </c>
    </row>
    <row r="14" spans="1:19" ht="16.5" x14ac:dyDescent="0.25">
      <c r="A14" s="1" t="s">
        <v>6</v>
      </c>
      <c r="B14" s="1" t="s">
        <v>121</v>
      </c>
      <c r="C14" s="1" t="s">
        <v>122</v>
      </c>
      <c r="D14" s="1" t="s">
        <v>5</v>
      </c>
      <c r="E14" s="2" t="s">
        <v>7</v>
      </c>
      <c r="F14" s="2" t="s">
        <v>8</v>
      </c>
      <c r="G14" s="1" t="s">
        <v>9</v>
      </c>
      <c r="H14" s="3" t="s">
        <v>123</v>
      </c>
      <c r="I14" s="1" t="s">
        <v>10</v>
      </c>
      <c r="J14" s="1" t="s">
        <v>11</v>
      </c>
      <c r="K14" s="1" t="s">
        <v>12</v>
      </c>
      <c r="N14" s="15" t="s">
        <v>404</v>
      </c>
      <c r="O14" s="17" t="s">
        <v>10</v>
      </c>
      <c r="P14" s="17" t="s">
        <v>11</v>
      </c>
      <c r="Q14" s="15" t="s">
        <v>405</v>
      </c>
      <c r="R14" s="17" t="s">
        <v>406</v>
      </c>
      <c r="S14" s="13" t="s">
        <v>407</v>
      </c>
    </row>
    <row r="15" spans="1:19" x14ac:dyDescent="0.25">
      <c r="A15" s="4" t="s">
        <v>131</v>
      </c>
      <c r="B15" s="5" t="s">
        <v>125</v>
      </c>
      <c r="C15" s="4" t="s">
        <v>117</v>
      </c>
      <c r="D15" s="5" t="s">
        <v>172</v>
      </c>
      <c r="E15" s="4" t="s">
        <v>18</v>
      </c>
      <c r="F15" s="4" t="s">
        <v>19</v>
      </c>
      <c r="G15" s="4" t="s">
        <v>16</v>
      </c>
      <c r="H15" s="6">
        <v>2.8</v>
      </c>
      <c r="I15" s="7">
        <v>15000</v>
      </c>
      <c r="J15" s="7">
        <f>H15*I15</f>
        <v>42000</v>
      </c>
      <c r="K15" s="8" t="s">
        <v>17</v>
      </c>
      <c r="L15" t="str">
        <f>IFERROR(VLOOKUP(F15,MÃ!$A:$B,2,0),0)</f>
        <v>NL300189</v>
      </c>
      <c r="M15" t="str">
        <f>"0"&amp;DAY(A15)&amp;"/01/2026"&amp;L15</f>
        <v>01/01/2026NL300189</v>
      </c>
      <c r="N15" s="15">
        <f>IFERROR(VLOOKUP(M15,'WS11'!$B$2:$Q$475,11,0),0)</f>
        <v>1</v>
      </c>
      <c r="O15" s="17">
        <f>IFERROR(VLOOKUP(M15,'WS11'!$B$2:$Q$475,12,0),0)</f>
        <v>15000</v>
      </c>
      <c r="P15" s="17">
        <f>N15*O15</f>
        <v>15000</v>
      </c>
      <c r="Q15" s="15">
        <f>H15-N15</f>
        <v>1.7999999999999998</v>
      </c>
      <c r="R15" s="17">
        <f>I15-O15</f>
        <v>0</v>
      </c>
      <c r="S15" s="13" t="s">
        <v>543</v>
      </c>
    </row>
    <row r="16" spans="1:19" x14ac:dyDescent="0.25">
      <c r="A16" s="4" t="s">
        <v>131</v>
      </c>
      <c r="B16" s="5" t="s">
        <v>125</v>
      </c>
      <c r="C16" s="4" t="s">
        <v>117</v>
      </c>
      <c r="D16" s="5" t="s">
        <v>172</v>
      </c>
      <c r="E16" s="4" t="s">
        <v>56</v>
      </c>
      <c r="F16" s="4" t="s">
        <v>57</v>
      </c>
      <c r="G16" s="4" t="s">
        <v>58</v>
      </c>
      <c r="H16" s="6">
        <v>12</v>
      </c>
      <c r="I16" s="7">
        <v>8500</v>
      </c>
      <c r="J16" s="7">
        <f t="shared" ref="J16:J79" si="0">H16*I16</f>
        <v>102000</v>
      </c>
      <c r="K16" s="8" t="s">
        <v>17</v>
      </c>
      <c r="L16" t="str">
        <f>IFERROR(VLOOKUP(F16,MÃ!$A:$B,2,0),0)</f>
        <v>NL300107</v>
      </c>
      <c r="M16" t="str">
        <f t="shared" ref="M16:M79" si="1">"0"&amp;DAY(A16)&amp;"/01/2026"&amp;L16</f>
        <v>01/01/2026NL300107</v>
      </c>
      <c r="N16" s="15">
        <f>IFERROR(VLOOKUP(M16,'WS11'!$B$2:$Q$475,11,0),0)</f>
        <v>10</v>
      </c>
      <c r="O16" s="17">
        <f>IFERROR(VLOOKUP(M16,'WS11'!$B$2:$Q$475,12,0),0)</f>
        <v>8500</v>
      </c>
      <c r="P16" s="17">
        <f t="shared" ref="P16:P79" si="2">N16*O16</f>
        <v>85000</v>
      </c>
      <c r="Q16" s="15">
        <f t="shared" ref="Q16:R79" si="3">H16-N16</f>
        <v>2</v>
      </c>
      <c r="R16" s="17">
        <f t="shared" si="3"/>
        <v>0</v>
      </c>
      <c r="S16" s="13" t="s">
        <v>543</v>
      </c>
    </row>
    <row r="17" spans="1:19" x14ac:dyDescent="0.25">
      <c r="A17" s="4" t="s">
        <v>131</v>
      </c>
      <c r="B17" s="5" t="s">
        <v>125</v>
      </c>
      <c r="C17" s="4" t="s">
        <v>117</v>
      </c>
      <c r="D17" s="5" t="s">
        <v>172</v>
      </c>
      <c r="E17" s="4" t="s">
        <v>22</v>
      </c>
      <c r="F17" s="4" t="s">
        <v>23</v>
      </c>
      <c r="G17" s="4" t="s">
        <v>16</v>
      </c>
      <c r="H17" s="6">
        <v>5.0999999999999996</v>
      </c>
      <c r="I17" s="7">
        <v>30000</v>
      </c>
      <c r="J17" s="7">
        <f t="shared" si="0"/>
        <v>153000</v>
      </c>
      <c r="K17" s="8" t="s">
        <v>17</v>
      </c>
      <c r="L17" t="str">
        <f>IFERROR(VLOOKUP(F17,MÃ!$A:$B,2,0),0)</f>
        <v>NL300007</v>
      </c>
      <c r="M17" t="str">
        <f t="shared" si="1"/>
        <v>01/01/2026NL300007</v>
      </c>
      <c r="N17" s="15">
        <f>IFERROR(VLOOKUP(M17,'WS11'!$B$2:$Q$475,11,0),0)</f>
        <v>3</v>
      </c>
      <c r="O17" s="17">
        <f>IFERROR(VLOOKUP(M17,'WS11'!$B$2:$Q$475,12,0),0)</f>
        <v>30000</v>
      </c>
      <c r="P17" s="17">
        <f t="shared" si="2"/>
        <v>90000</v>
      </c>
      <c r="Q17" s="15">
        <f t="shared" si="3"/>
        <v>2.0999999999999996</v>
      </c>
      <c r="R17" s="17">
        <f t="shared" si="3"/>
        <v>0</v>
      </c>
      <c r="S17" s="13" t="s">
        <v>543</v>
      </c>
    </row>
    <row r="18" spans="1:19" x14ac:dyDescent="0.25">
      <c r="A18" s="4" t="s">
        <v>131</v>
      </c>
      <c r="B18" s="5" t="s">
        <v>125</v>
      </c>
      <c r="C18" s="4" t="s">
        <v>117</v>
      </c>
      <c r="D18" s="5" t="s">
        <v>172</v>
      </c>
      <c r="E18" s="4" t="s">
        <v>24</v>
      </c>
      <c r="F18" s="4" t="s">
        <v>25</v>
      </c>
      <c r="G18" s="4" t="s">
        <v>16</v>
      </c>
      <c r="H18" s="6">
        <v>9.5</v>
      </c>
      <c r="I18" s="7">
        <v>40000</v>
      </c>
      <c r="J18" s="7">
        <f t="shared" si="0"/>
        <v>380000</v>
      </c>
      <c r="K18" s="8" t="s">
        <v>17</v>
      </c>
      <c r="L18" t="str">
        <f>IFERROR(VLOOKUP(F18,MÃ!$A:$B,2,0),0)</f>
        <v>NL300008</v>
      </c>
      <c r="M18" t="str">
        <f t="shared" si="1"/>
        <v>01/01/2026NL300008</v>
      </c>
      <c r="N18" s="15">
        <f>IFERROR(VLOOKUP(M18,'WS11'!$B$2:$Q$475,11,0),0)</f>
        <v>6</v>
      </c>
      <c r="O18" s="17">
        <f>IFERROR(VLOOKUP(M18,'WS11'!$B$2:$Q$475,12,0),0)</f>
        <v>40000</v>
      </c>
      <c r="P18" s="17">
        <f t="shared" si="2"/>
        <v>240000</v>
      </c>
      <c r="Q18" s="15">
        <f t="shared" si="3"/>
        <v>3.5</v>
      </c>
      <c r="R18" s="17">
        <f t="shared" si="3"/>
        <v>0</v>
      </c>
      <c r="S18" s="13" t="s">
        <v>543</v>
      </c>
    </row>
    <row r="19" spans="1:19" x14ac:dyDescent="0.25">
      <c r="A19" s="4" t="s">
        <v>131</v>
      </c>
      <c r="B19" s="5" t="s">
        <v>125</v>
      </c>
      <c r="C19" s="4" t="s">
        <v>117</v>
      </c>
      <c r="D19" s="5" t="s">
        <v>172</v>
      </c>
      <c r="E19" s="4" t="s">
        <v>126</v>
      </c>
      <c r="F19" s="4" t="s">
        <v>127</v>
      </c>
      <c r="G19" s="4" t="s">
        <v>16</v>
      </c>
      <c r="H19" s="6">
        <v>4.2</v>
      </c>
      <c r="I19" s="7">
        <v>52000</v>
      </c>
      <c r="J19" s="7">
        <f t="shared" si="0"/>
        <v>218400</v>
      </c>
      <c r="K19" s="8" t="s">
        <v>17</v>
      </c>
      <c r="L19" t="str">
        <f>IFERROR(VLOOKUP(F19,MÃ!$A:$B,2,0),0)</f>
        <v>NL300137</v>
      </c>
      <c r="M19" t="str">
        <f t="shared" si="1"/>
        <v>01/01/2026NL300137</v>
      </c>
      <c r="N19" s="15">
        <f>IFERROR(VLOOKUP(M19,'WS11'!$B$2:$Q$475,11,0),0)</f>
        <v>3</v>
      </c>
      <c r="O19" s="17">
        <f>IFERROR(VLOOKUP(M19,'WS11'!$B$2:$Q$475,12,0),0)</f>
        <v>52000</v>
      </c>
      <c r="P19" s="17">
        <f t="shared" si="2"/>
        <v>156000</v>
      </c>
      <c r="Q19" s="15">
        <f t="shared" si="3"/>
        <v>1.2000000000000002</v>
      </c>
      <c r="R19" s="17">
        <f t="shared" si="3"/>
        <v>0</v>
      </c>
      <c r="S19" s="13" t="s">
        <v>543</v>
      </c>
    </row>
    <row r="20" spans="1:19" x14ac:dyDescent="0.25">
      <c r="A20" s="4" t="s">
        <v>131</v>
      </c>
      <c r="B20" s="5" t="s">
        <v>125</v>
      </c>
      <c r="C20" s="4" t="s">
        <v>117</v>
      </c>
      <c r="D20" s="5" t="s">
        <v>172</v>
      </c>
      <c r="E20" s="4" t="s">
        <v>28</v>
      </c>
      <c r="F20" s="4" t="s">
        <v>29</v>
      </c>
      <c r="G20" s="4" t="s">
        <v>16</v>
      </c>
      <c r="H20" s="6">
        <v>2.9</v>
      </c>
      <c r="I20" s="7">
        <v>30000</v>
      </c>
      <c r="J20" s="7">
        <f t="shared" si="0"/>
        <v>87000</v>
      </c>
      <c r="K20" s="8" t="s">
        <v>17</v>
      </c>
      <c r="L20" t="str">
        <f>IFERROR(VLOOKUP(F20,MÃ!$A:$B,2,0),0)</f>
        <v>NL300020</v>
      </c>
      <c r="M20" t="str">
        <f t="shared" si="1"/>
        <v>01/01/2026NL300020</v>
      </c>
      <c r="N20" s="15">
        <f>IFERROR(VLOOKUP(M20,'WS11'!$B$2:$Q$475,11,0),0)</f>
        <v>2</v>
      </c>
      <c r="O20" s="17">
        <f>IFERROR(VLOOKUP(M20,'WS11'!$B$2:$Q$475,12,0),0)</f>
        <v>30000</v>
      </c>
      <c r="P20" s="17">
        <f t="shared" si="2"/>
        <v>60000</v>
      </c>
      <c r="Q20" s="15">
        <f t="shared" si="3"/>
        <v>0.89999999999999991</v>
      </c>
      <c r="R20" s="17">
        <f t="shared" si="3"/>
        <v>0</v>
      </c>
      <c r="S20" s="13" t="s">
        <v>543</v>
      </c>
    </row>
    <row r="21" spans="1:19" x14ac:dyDescent="0.25">
      <c r="A21" s="4" t="s">
        <v>131</v>
      </c>
      <c r="B21" s="5" t="s">
        <v>125</v>
      </c>
      <c r="C21" s="4" t="s">
        <v>117</v>
      </c>
      <c r="D21" s="5" t="s">
        <v>172</v>
      </c>
      <c r="E21" s="4" t="s">
        <v>89</v>
      </c>
      <c r="F21" s="4" t="s">
        <v>90</v>
      </c>
      <c r="G21" s="4" t="s">
        <v>16</v>
      </c>
      <c r="H21" s="6">
        <v>1.1000000000000001</v>
      </c>
      <c r="I21" s="7">
        <v>44000</v>
      </c>
      <c r="J21" s="7">
        <f t="shared" si="0"/>
        <v>48400.000000000007</v>
      </c>
      <c r="K21" s="8" t="s">
        <v>17</v>
      </c>
      <c r="L21" t="str">
        <f>IFERROR(VLOOKUP(F21,MÃ!$A:$B,2,0),0)</f>
        <v>NL300025</v>
      </c>
      <c r="M21" t="str">
        <f t="shared" si="1"/>
        <v>01/01/2026NL300025</v>
      </c>
      <c r="N21" s="15">
        <f>IFERROR(VLOOKUP(M21,'WS11'!$B$2:$Q$475,11,0),0)</f>
        <v>0.7</v>
      </c>
      <c r="O21" s="17">
        <f>IFERROR(VLOOKUP(M21,'WS11'!$B$2:$Q$475,12,0),0)</f>
        <v>44000</v>
      </c>
      <c r="P21" s="17">
        <f t="shared" si="2"/>
        <v>30799.999999999996</v>
      </c>
      <c r="Q21" s="15">
        <f t="shared" si="3"/>
        <v>0.40000000000000013</v>
      </c>
      <c r="R21" s="17">
        <f t="shared" si="3"/>
        <v>0</v>
      </c>
      <c r="S21" s="13" t="s">
        <v>543</v>
      </c>
    </row>
    <row r="22" spans="1:19" x14ac:dyDescent="0.25">
      <c r="A22" s="4" t="s">
        <v>131</v>
      </c>
      <c r="B22" s="5" t="s">
        <v>125</v>
      </c>
      <c r="C22" s="4" t="s">
        <v>117</v>
      </c>
      <c r="D22" s="5" t="s">
        <v>172</v>
      </c>
      <c r="E22" s="4" t="s">
        <v>91</v>
      </c>
      <c r="F22" s="4" t="s">
        <v>92</v>
      </c>
      <c r="G22" s="4" t="s">
        <v>16</v>
      </c>
      <c r="H22" s="6">
        <v>0.6</v>
      </c>
      <c r="I22" s="7">
        <v>34000</v>
      </c>
      <c r="J22" s="7">
        <f t="shared" si="0"/>
        <v>20400</v>
      </c>
      <c r="K22" s="8" t="s">
        <v>17</v>
      </c>
      <c r="L22" t="str">
        <f>IFERROR(VLOOKUP(F22,MÃ!$A:$B,2,0),0)</f>
        <v>NL300030</v>
      </c>
      <c r="M22" t="str">
        <f t="shared" si="1"/>
        <v>01/01/2026NL300030</v>
      </c>
      <c r="N22" s="15">
        <f>IFERROR(VLOOKUP(M22,'WS11'!$B$2:$Q$475,11,0),0)</f>
        <v>0.6</v>
      </c>
      <c r="O22" s="17">
        <f>IFERROR(VLOOKUP(M22,'WS11'!$B$2:$Q$475,12,0),0)</f>
        <v>34000</v>
      </c>
      <c r="P22" s="17">
        <f t="shared" si="2"/>
        <v>20400</v>
      </c>
      <c r="Q22" s="15">
        <f t="shared" si="3"/>
        <v>0</v>
      </c>
      <c r="R22" s="17">
        <f t="shared" si="3"/>
        <v>0</v>
      </c>
      <c r="S22" s="13"/>
    </row>
    <row r="23" spans="1:19" x14ac:dyDescent="0.25">
      <c r="A23" s="4" t="s">
        <v>131</v>
      </c>
      <c r="B23" s="5" t="s">
        <v>125</v>
      </c>
      <c r="C23" s="4" t="s">
        <v>117</v>
      </c>
      <c r="D23" s="5" t="s">
        <v>172</v>
      </c>
      <c r="E23" s="4" t="s">
        <v>61</v>
      </c>
      <c r="F23" s="4" t="s">
        <v>62</v>
      </c>
      <c r="G23" s="4" t="s">
        <v>16</v>
      </c>
      <c r="H23" s="6">
        <v>1</v>
      </c>
      <c r="I23" s="7">
        <v>22000</v>
      </c>
      <c r="J23" s="7">
        <f t="shared" si="0"/>
        <v>22000</v>
      </c>
      <c r="K23" s="8" t="s">
        <v>17</v>
      </c>
      <c r="L23" t="str">
        <f>IFERROR(VLOOKUP(F23,MÃ!$A:$B,2,0),0)</f>
        <v>NL300029</v>
      </c>
      <c r="M23" t="str">
        <f t="shared" si="1"/>
        <v>01/01/2026NL300029</v>
      </c>
      <c r="N23" s="15">
        <f>IFERROR(VLOOKUP(M23,'WS11'!$B$2:$Q$475,11,0),0)</f>
        <v>1</v>
      </c>
      <c r="O23" s="17">
        <f>IFERROR(VLOOKUP(M23,'WS11'!$B$2:$Q$475,12,0),0)</f>
        <v>22000</v>
      </c>
      <c r="P23" s="17">
        <f t="shared" si="2"/>
        <v>22000</v>
      </c>
      <c r="Q23" s="15">
        <f t="shared" si="3"/>
        <v>0</v>
      </c>
      <c r="R23" s="17">
        <f t="shared" si="3"/>
        <v>0</v>
      </c>
      <c r="S23" s="13"/>
    </row>
    <row r="24" spans="1:19" x14ac:dyDescent="0.25">
      <c r="A24" s="4" t="s">
        <v>131</v>
      </c>
      <c r="B24" s="5" t="s">
        <v>125</v>
      </c>
      <c r="C24" s="4" t="s">
        <v>117</v>
      </c>
      <c r="D24" s="5" t="s">
        <v>172</v>
      </c>
      <c r="E24" s="4" t="s">
        <v>93</v>
      </c>
      <c r="F24" s="4" t="s">
        <v>94</v>
      </c>
      <c r="G24" s="4" t="s">
        <v>16</v>
      </c>
      <c r="H24" s="6">
        <v>0.5</v>
      </c>
      <c r="I24" s="7">
        <v>95000</v>
      </c>
      <c r="J24" s="7">
        <f t="shared" si="0"/>
        <v>47500</v>
      </c>
      <c r="K24" s="8" t="s">
        <v>17</v>
      </c>
      <c r="L24" t="str">
        <f>IFERROR(VLOOKUP(F24,MÃ!$A:$B,2,0),0)</f>
        <v>NL600068</v>
      </c>
      <c r="M24" t="str">
        <f t="shared" si="1"/>
        <v>01/01/2026NL600068</v>
      </c>
      <c r="N24" s="15">
        <f>IFERROR(VLOOKUP(M24,'WS11'!$B$2:$Q$475,11,0),0)</f>
        <v>0.5</v>
      </c>
      <c r="O24" s="17">
        <f>IFERROR(VLOOKUP(M24,'WS11'!$B$2:$Q$475,12,0),0)</f>
        <v>95000</v>
      </c>
      <c r="P24" s="17">
        <f t="shared" si="2"/>
        <v>47500</v>
      </c>
      <c r="Q24" s="15">
        <f t="shared" si="3"/>
        <v>0</v>
      </c>
      <c r="R24" s="17">
        <f t="shared" si="3"/>
        <v>0</v>
      </c>
      <c r="S24" s="13"/>
    </row>
    <row r="25" spans="1:19" x14ac:dyDescent="0.25">
      <c r="A25" s="4" t="s">
        <v>131</v>
      </c>
      <c r="B25" s="5" t="s">
        <v>125</v>
      </c>
      <c r="C25" s="4" t="s">
        <v>117</v>
      </c>
      <c r="D25" s="5" t="s">
        <v>172</v>
      </c>
      <c r="E25" s="4" t="s">
        <v>30</v>
      </c>
      <c r="F25" s="4" t="s">
        <v>31</v>
      </c>
      <c r="G25" s="4" t="s">
        <v>16</v>
      </c>
      <c r="H25" s="6">
        <v>1.2</v>
      </c>
      <c r="I25" s="7">
        <v>38000</v>
      </c>
      <c r="J25" s="7">
        <f t="shared" si="0"/>
        <v>45600</v>
      </c>
      <c r="K25" s="8" t="s">
        <v>17</v>
      </c>
      <c r="L25" t="str">
        <f>IFERROR(VLOOKUP(F25,MÃ!$A:$B,2,0),0)</f>
        <v>NL300054</v>
      </c>
      <c r="M25" t="str">
        <f t="shared" si="1"/>
        <v>01/01/2026NL300054</v>
      </c>
      <c r="N25" s="15">
        <f>IFERROR(VLOOKUP(M25,'WS11'!$B$2:$Q$475,11,0),0)</f>
        <v>1</v>
      </c>
      <c r="O25" s="17">
        <f>IFERROR(VLOOKUP(M25,'WS11'!$B$2:$Q$475,12,0),0)</f>
        <v>38000</v>
      </c>
      <c r="P25" s="17">
        <f t="shared" si="2"/>
        <v>38000</v>
      </c>
      <c r="Q25" s="15">
        <f t="shared" si="3"/>
        <v>0.19999999999999996</v>
      </c>
      <c r="R25" s="17">
        <f t="shared" si="3"/>
        <v>0</v>
      </c>
      <c r="S25" s="13" t="s">
        <v>543</v>
      </c>
    </row>
    <row r="26" spans="1:19" x14ac:dyDescent="0.25">
      <c r="A26" s="4" t="s">
        <v>131</v>
      </c>
      <c r="B26" s="5" t="s">
        <v>125</v>
      </c>
      <c r="C26" s="4" t="s">
        <v>117</v>
      </c>
      <c r="D26" s="5" t="s">
        <v>172</v>
      </c>
      <c r="E26" s="4" t="s">
        <v>95</v>
      </c>
      <c r="F26" s="4" t="s">
        <v>96</v>
      </c>
      <c r="G26" s="4" t="s">
        <v>16</v>
      </c>
      <c r="H26" s="6">
        <v>2.5</v>
      </c>
      <c r="I26" s="7">
        <v>47000</v>
      </c>
      <c r="J26" s="7">
        <f t="shared" si="0"/>
        <v>117500</v>
      </c>
      <c r="K26" s="8" t="s">
        <v>17</v>
      </c>
      <c r="L26" t="str">
        <f>IFERROR(VLOOKUP(F26,MÃ!$A:$B,2,0),0)</f>
        <v>NL300036</v>
      </c>
      <c r="M26" t="str">
        <f t="shared" si="1"/>
        <v>01/01/2026NL300036</v>
      </c>
      <c r="N26" s="15">
        <f>IFERROR(VLOOKUP(M26,'WS11'!$B$2:$Q$475,11,0),0)</f>
        <v>2</v>
      </c>
      <c r="O26" s="17">
        <f>IFERROR(VLOOKUP(M26,'WS11'!$B$2:$Q$475,12,0),0)</f>
        <v>47000</v>
      </c>
      <c r="P26" s="17">
        <f t="shared" si="2"/>
        <v>94000</v>
      </c>
      <c r="Q26" s="15">
        <f t="shared" si="3"/>
        <v>0.5</v>
      </c>
      <c r="R26" s="17">
        <f t="shared" si="3"/>
        <v>0</v>
      </c>
      <c r="S26" s="13" t="s">
        <v>543</v>
      </c>
    </row>
    <row r="27" spans="1:19" x14ac:dyDescent="0.25">
      <c r="A27" s="4" t="s">
        <v>131</v>
      </c>
      <c r="B27" s="5" t="s">
        <v>125</v>
      </c>
      <c r="C27" s="4" t="s">
        <v>117</v>
      </c>
      <c r="D27" s="5" t="s">
        <v>172</v>
      </c>
      <c r="E27" s="4" t="s">
        <v>34</v>
      </c>
      <c r="F27" s="4" t="s">
        <v>35</v>
      </c>
      <c r="G27" s="4" t="s">
        <v>16</v>
      </c>
      <c r="H27" s="6">
        <v>4</v>
      </c>
      <c r="I27" s="7">
        <v>32000</v>
      </c>
      <c r="J27" s="7">
        <f t="shared" si="0"/>
        <v>128000</v>
      </c>
      <c r="K27" s="8" t="s">
        <v>17</v>
      </c>
      <c r="L27" t="str">
        <f>IFERROR(VLOOKUP(F27,MÃ!$A:$B,2,0),0)</f>
        <v>NL300038</v>
      </c>
      <c r="M27" t="str">
        <f t="shared" si="1"/>
        <v>01/01/2026NL300038</v>
      </c>
      <c r="N27" s="15">
        <f>IFERROR(VLOOKUP(M27,'WS11'!$B$2:$Q$475,11,0),0)</f>
        <v>2.5</v>
      </c>
      <c r="O27" s="17">
        <f>IFERROR(VLOOKUP(M27,'WS11'!$B$2:$Q$475,12,0),0)</f>
        <v>32000</v>
      </c>
      <c r="P27" s="17">
        <f t="shared" si="2"/>
        <v>80000</v>
      </c>
      <c r="Q27" s="15">
        <f t="shared" si="3"/>
        <v>1.5</v>
      </c>
      <c r="R27" s="17">
        <f t="shared" si="3"/>
        <v>0</v>
      </c>
      <c r="S27" s="13" t="s">
        <v>543</v>
      </c>
    </row>
    <row r="28" spans="1:19" x14ac:dyDescent="0.25">
      <c r="A28" s="4" t="s">
        <v>131</v>
      </c>
      <c r="B28" s="5" t="s">
        <v>125</v>
      </c>
      <c r="C28" s="4" t="s">
        <v>117</v>
      </c>
      <c r="D28" s="5" t="s">
        <v>172</v>
      </c>
      <c r="E28" s="4" t="s">
        <v>97</v>
      </c>
      <c r="F28" s="4" t="s">
        <v>98</v>
      </c>
      <c r="G28" s="4" t="s">
        <v>99</v>
      </c>
      <c r="H28" s="6">
        <v>5</v>
      </c>
      <c r="I28" s="7">
        <v>15000</v>
      </c>
      <c r="J28" s="7">
        <f t="shared" si="0"/>
        <v>75000</v>
      </c>
      <c r="K28" s="8" t="s">
        <v>17</v>
      </c>
      <c r="L28" t="str">
        <f>IFERROR(VLOOKUP(F28,MÃ!$A:$B,2,0),0)</f>
        <v>NL300041</v>
      </c>
      <c r="M28" t="str">
        <f t="shared" si="1"/>
        <v>01/01/2026NL300041</v>
      </c>
      <c r="N28" s="15">
        <f>IFERROR(VLOOKUP(M28,'WS11'!$B$2:$Q$475,11,0),0)</f>
        <v>5</v>
      </c>
      <c r="O28" s="17">
        <f>IFERROR(VLOOKUP(M28,'WS11'!$B$2:$Q$475,12,0),0)</f>
        <v>15000</v>
      </c>
      <c r="P28" s="17">
        <f t="shared" si="2"/>
        <v>75000</v>
      </c>
      <c r="Q28" s="15">
        <f t="shared" si="3"/>
        <v>0</v>
      </c>
      <c r="R28" s="17">
        <f t="shared" si="3"/>
        <v>0</v>
      </c>
      <c r="S28" s="13"/>
    </row>
    <row r="29" spans="1:19" x14ac:dyDescent="0.25">
      <c r="A29" s="4" t="s">
        <v>131</v>
      </c>
      <c r="B29" s="5" t="s">
        <v>125</v>
      </c>
      <c r="C29" s="4" t="s">
        <v>117</v>
      </c>
      <c r="D29" s="5" t="s">
        <v>172</v>
      </c>
      <c r="E29" s="4" t="s">
        <v>36</v>
      </c>
      <c r="F29" s="4" t="s">
        <v>37</v>
      </c>
      <c r="G29" s="4" t="s">
        <v>16</v>
      </c>
      <c r="H29" s="6">
        <v>20</v>
      </c>
      <c r="I29" s="7">
        <v>18000</v>
      </c>
      <c r="J29" s="7">
        <f t="shared" si="0"/>
        <v>360000</v>
      </c>
      <c r="K29" s="8" t="s">
        <v>17</v>
      </c>
      <c r="L29" t="str">
        <f>IFERROR(VLOOKUP(F29,MÃ!$A:$B,2,0),0)</f>
        <v>NL600004</v>
      </c>
      <c r="M29" t="str">
        <f t="shared" si="1"/>
        <v>01/01/2026NL600004</v>
      </c>
      <c r="N29" s="15">
        <f>IFERROR(VLOOKUP(M29,'WS11'!$B$2:$Q$475,11,0),0)</f>
        <v>20</v>
      </c>
      <c r="O29" s="17">
        <f>IFERROR(VLOOKUP(M29,'WS11'!$B$2:$Q$475,12,0),0)</f>
        <v>18000</v>
      </c>
      <c r="P29" s="17">
        <f t="shared" si="2"/>
        <v>360000</v>
      </c>
      <c r="Q29" s="15">
        <f t="shared" si="3"/>
        <v>0</v>
      </c>
      <c r="R29" s="17">
        <f t="shared" si="3"/>
        <v>0</v>
      </c>
      <c r="S29" s="13"/>
    </row>
    <row r="30" spans="1:19" x14ac:dyDescent="0.25">
      <c r="A30" s="4" t="s">
        <v>131</v>
      </c>
      <c r="B30" s="5" t="s">
        <v>125</v>
      </c>
      <c r="C30" s="4" t="s">
        <v>117</v>
      </c>
      <c r="D30" s="5" t="s">
        <v>172</v>
      </c>
      <c r="E30" s="4" t="s">
        <v>38</v>
      </c>
      <c r="F30" s="4" t="s">
        <v>39</v>
      </c>
      <c r="G30" s="4" t="s">
        <v>16</v>
      </c>
      <c r="H30" s="6">
        <v>3</v>
      </c>
      <c r="I30" s="7">
        <v>55000</v>
      </c>
      <c r="J30" s="7">
        <f t="shared" si="0"/>
        <v>165000</v>
      </c>
      <c r="K30" s="8" t="s">
        <v>17</v>
      </c>
      <c r="L30" t="str">
        <f>IFERROR(VLOOKUP(F30,MÃ!$A:$B,2,0),0)</f>
        <v>NL300058</v>
      </c>
      <c r="M30" t="str">
        <f t="shared" si="1"/>
        <v>01/01/2026NL300058</v>
      </c>
      <c r="N30" s="15">
        <f>IFERROR(VLOOKUP(M30,'WS11'!$B$2:$Q$475,11,0),0)</f>
        <v>1.5</v>
      </c>
      <c r="O30" s="17">
        <f>IFERROR(VLOOKUP(M30,'WS11'!$B$2:$Q$475,12,0),0)</f>
        <v>55000</v>
      </c>
      <c r="P30" s="17">
        <f t="shared" si="2"/>
        <v>82500</v>
      </c>
      <c r="Q30" s="15">
        <f t="shared" si="3"/>
        <v>1.5</v>
      </c>
      <c r="R30" s="17">
        <f t="shared" si="3"/>
        <v>0</v>
      </c>
      <c r="S30" s="13" t="s">
        <v>543</v>
      </c>
    </row>
    <row r="31" spans="1:19" x14ac:dyDescent="0.25">
      <c r="A31" s="4" t="s">
        <v>131</v>
      </c>
      <c r="B31" s="5" t="s">
        <v>125</v>
      </c>
      <c r="C31" s="4" t="s">
        <v>117</v>
      </c>
      <c r="D31" s="5" t="s">
        <v>172</v>
      </c>
      <c r="E31" s="4" t="s">
        <v>113</v>
      </c>
      <c r="F31" s="4" t="s">
        <v>114</v>
      </c>
      <c r="G31" s="4" t="s">
        <v>16</v>
      </c>
      <c r="H31" s="6">
        <v>0.6</v>
      </c>
      <c r="I31" s="7">
        <v>13000</v>
      </c>
      <c r="J31" s="7">
        <f t="shared" si="0"/>
        <v>7800</v>
      </c>
      <c r="K31" s="8" t="s">
        <v>17</v>
      </c>
      <c r="L31" t="str">
        <f>IFERROR(VLOOKUP(F31,MÃ!$A:$B,2,0),0)</f>
        <v>NL300059</v>
      </c>
      <c r="M31" t="str">
        <f t="shared" si="1"/>
        <v>01/01/2026NL300059</v>
      </c>
      <c r="N31" s="15">
        <f>IFERROR(VLOOKUP(M31,'WS11'!$B$2:$Q$475,11,0),0)</f>
        <v>0.5</v>
      </c>
      <c r="O31" s="17">
        <f>IFERROR(VLOOKUP(M31,'WS11'!$B$2:$Q$475,12,0),0)</f>
        <v>13000</v>
      </c>
      <c r="P31" s="17">
        <f t="shared" si="2"/>
        <v>6500</v>
      </c>
      <c r="Q31" s="15">
        <f t="shared" si="3"/>
        <v>9.9999999999999978E-2</v>
      </c>
      <c r="R31" s="17">
        <f t="shared" si="3"/>
        <v>0</v>
      </c>
      <c r="S31" s="13" t="s">
        <v>543</v>
      </c>
    </row>
    <row r="32" spans="1:19" x14ac:dyDescent="0.25">
      <c r="A32" s="4" t="s">
        <v>131</v>
      </c>
      <c r="B32" s="5" t="s">
        <v>125</v>
      </c>
      <c r="C32" s="4" t="s">
        <v>117</v>
      </c>
      <c r="D32" s="5" t="s">
        <v>172</v>
      </c>
      <c r="E32" s="4" t="s">
        <v>65</v>
      </c>
      <c r="F32" s="4" t="s">
        <v>66</v>
      </c>
      <c r="G32" s="4" t="s">
        <v>16</v>
      </c>
      <c r="H32" s="6">
        <v>0.7</v>
      </c>
      <c r="I32" s="7">
        <v>23000</v>
      </c>
      <c r="J32" s="7">
        <f t="shared" si="0"/>
        <v>16099.999999999998</v>
      </c>
      <c r="K32" s="8" t="s">
        <v>17</v>
      </c>
      <c r="L32" t="str">
        <f>IFERROR(VLOOKUP(F32,MÃ!$A:$B,2,0),0)</f>
        <v>NL300070</v>
      </c>
      <c r="M32" t="str">
        <f t="shared" si="1"/>
        <v>01/01/2026NL300070</v>
      </c>
      <c r="N32" s="15">
        <f>IFERROR(VLOOKUP(M32,'WS11'!$B$2:$Q$475,11,0),0)</f>
        <v>0.5</v>
      </c>
      <c r="O32" s="17">
        <f>IFERROR(VLOOKUP(M32,'WS11'!$B$2:$Q$475,12,0),0)</f>
        <v>23000</v>
      </c>
      <c r="P32" s="17">
        <f t="shared" si="2"/>
        <v>11500</v>
      </c>
      <c r="Q32" s="15">
        <f t="shared" si="3"/>
        <v>0.19999999999999996</v>
      </c>
      <c r="R32" s="17">
        <f t="shared" si="3"/>
        <v>0</v>
      </c>
      <c r="S32" s="13" t="s">
        <v>543</v>
      </c>
    </row>
    <row r="33" spans="1:19" x14ac:dyDescent="0.25">
      <c r="A33" s="4" t="s">
        <v>131</v>
      </c>
      <c r="B33" s="5" t="s">
        <v>125</v>
      </c>
      <c r="C33" s="4" t="s">
        <v>117</v>
      </c>
      <c r="D33" s="5" t="s">
        <v>172</v>
      </c>
      <c r="E33" s="4" t="s">
        <v>67</v>
      </c>
      <c r="F33" s="4" t="s">
        <v>68</v>
      </c>
      <c r="G33" s="4" t="s">
        <v>16</v>
      </c>
      <c r="H33" s="6">
        <v>3.8</v>
      </c>
      <c r="I33" s="7">
        <v>18000</v>
      </c>
      <c r="J33" s="7">
        <f t="shared" si="0"/>
        <v>68400</v>
      </c>
      <c r="K33" s="8" t="s">
        <v>17</v>
      </c>
      <c r="L33" t="str">
        <f>IFERROR(VLOOKUP(F33,MÃ!$A:$B,2,0),0)</f>
        <v>NL300184</v>
      </c>
      <c r="M33" t="str">
        <f t="shared" si="1"/>
        <v>01/01/2026NL300184</v>
      </c>
      <c r="N33" s="15">
        <f>IFERROR(VLOOKUP(M33,'WS11'!$B$2:$Q$475,11,0),0)</f>
        <v>3.8</v>
      </c>
      <c r="O33" s="17">
        <f>IFERROR(VLOOKUP(M33,'WS11'!$B$2:$Q$475,12,0),0)</f>
        <v>18000</v>
      </c>
      <c r="P33" s="17">
        <f t="shared" si="2"/>
        <v>68400</v>
      </c>
      <c r="Q33" s="15">
        <f t="shared" si="3"/>
        <v>0</v>
      </c>
      <c r="R33" s="17">
        <f t="shared" si="3"/>
        <v>0</v>
      </c>
      <c r="S33" s="13"/>
    </row>
    <row r="34" spans="1:19" x14ac:dyDescent="0.25">
      <c r="A34" s="4" t="s">
        <v>131</v>
      </c>
      <c r="B34" s="5" t="s">
        <v>125</v>
      </c>
      <c r="C34" s="4" t="s">
        <v>117</v>
      </c>
      <c r="D34" s="5" t="s">
        <v>172</v>
      </c>
      <c r="E34" s="4" t="s">
        <v>14</v>
      </c>
      <c r="F34" s="4" t="s">
        <v>15</v>
      </c>
      <c r="G34" s="4" t="s">
        <v>16</v>
      </c>
      <c r="H34" s="6">
        <v>3.2</v>
      </c>
      <c r="I34" s="7">
        <v>27000</v>
      </c>
      <c r="J34" s="7">
        <f t="shared" si="0"/>
        <v>86400</v>
      </c>
      <c r="K34" s="8" t="s">
        <v>17</v>
      </c>
      <c r="L34" t="str">
        <f>IFERROR(VLOOKUP(F34,MÃ!$A:$B,2,0),0)</f>
        <v>NL300088</v>
      </c>
      <c r="M34" t="str">
        <f t="shared" si="1"/>
        <v>01/01/2026NL300088</v>
      </c>
      <c r="N34" s="15">
        <f>IFERROR(VLOOKUP(M34,'WS11'!$B$2:$Q$475,11,0),0)</f>
        <v>2</v>
      </c>
      <c r="O34" s="17">
        <f>IFERROR(VLOOKUP(M34,'WS11'!$B$2:$Q$475,12,0),0)</f>
        <v>27000</v>
      </c>
      <c r="P34" s="17">
        <f t="shared" si="2"/>
        <v>54000</v>
      </c>
      <c r="Q34" s="15">
        <f t="shared" si="3"/>
        <v>1.2000000000000002</v>
      </c>
      <c r="R34" s="17">
        <f t="shared" si="3"/>
        <v>0</v>
      </c>
      <c r="S34" s="13" t="s">
        <v>543</v>
      </c>
    </row>
    <row r="35" spans="1:19" x14ac:dyDescent="0.25">
      <c r="A35" s="4" t="s">
        <v>131</v>
      </c>
      <c r="B35" s="5" t="s">
        <v>125</v>
      </c>
      <c r="C35" s="4" t="s">
        <v>117</v>
      </c>
      <c r="D35" s="5" t="s">
        <v>172</v>
      </c>
      <c r="E35" s="4" t="s">
        <v>69</v>
      </c>
      <c r="F35" s="4" t="s">
        <v>70</v>
      </c>
      <c r="G35" s="4" t="s">
        <v>16</v>
      </c>
      <c r="H35" s="6">
        <v>3</v>
      </c>
      <c r="I35" s="7">
        <v>145000</v>
      </c>
      <c r="J35" s="7">
        <f t="shared" si="0"/>
        <v>435000</v>
      </c>
      <c r="K35" s="8" t="s">
        <v>17</v>
      </c>
      <c r="L35" t="str">
        <f>IFERROR(VLOOKUP(F35,MÃ!$A:$B,2,0),0)</f>
        <v>NL300090</v>
      </c>
      <c r="M35" t="str">
        <f t="shared" si="1"/>
        <v>01/01/2026NL300090</v>
      </c>
      <c r="N35" s="15">
        <f>IFERROR(VLOOKUP(M35,'WS11'!$B$2:$Q$475,11,0),0)</f>
        <v>2</v>
      </c>
      <c r="O35" s="17">
        <f>IFERROR(VLOOKUP(M35,'WS11'!$B$2:$Q$475,12,0),0)</f>
        <v>145000</v>
      </c>
      <c r="P35" s="17">
        <f t="shared" si="2"/>
        <v>290000</v>
      </c>
      <c r="Q35" s="15">
        <f t="shared" si="3"/>
        <v>1</v>
      </c>
      <c r="R35" s="17">
        <f t="shared" si="3"/>
        <v>0</v>
      </c>
      <c r="S35" s="13" t="s">
        <v>543</v>
      </c>
    </row>
    <row r="36" spans="1:19" x14ac:dyDescent="0.25">
      <c r="A36" s="4" t="s">
        <v>131</v>
      </c>
      <c r="B36" s="5" t="s">
        <v>125</v>
      </c>
      <c r="C36" s="4" t="s">
        <v>117</v>
      </c>
      <c r="D36" s="5" t="s">
        <v>172</v>
      </c>
      <c r="E36" s="4" t="s">
        <v>71</v>
      </c>
      <c r="F36" s="4" t="s">
        <v>72</v>
      </c>
      <c r="G36" s="4" t="s">
        <v>16</v>
      </c>
      <c r="H36" s="6">
        <v>1</v>
      </c>
      <c r="I36" s="7">
        <v>47000</v>
      </c>
      <c r="J36" s="7">
        <f t="shared" si="0"/>
        <v>47000</v>
      </c>
      <c r="K36" s="8" t="s">
        <v>17</v>
      </c>
      <c r="L36" t="str">
        <f>IFERROR(VLOOKUP(F36,MÃ!$A:$B,2,0),0)</f>
        <v>NL300091</v>
      </c>
      <c r="M36" t="str">
        <f t="shared" si="1"/>
        <v>01/01/2026NL300091</v>
      </c>
      <c r="N36" s="15">
        <f>IFERROR(VLOOKUP(M36,'WS11'!$B$2:$Q$475,11,0),0)</f>
        <v>0.9</v>
      </c>
      <c r="O36" s="17">
        <f>IFERROR(VLOOKUP(M36,'WS11'!$B$2:$Q$475,12,0),0)</f>
        <v>47000</v>
      </c>
      <c r="P36" s="17">
        <f t="shared" si="2"/>
        <v>42300</v>
      </c>
      <c r="Q36" s="15">
        <f t="shared" si="3"/>
        <v>9.9999999999999978E-2</v>
      </c>
      <c r="R36" s="17">
        <f t="shared" si="3"/>
        <v>0</v>
      </c>
      <c r="S36" s="13" t="s">
        <v>543</v>
      </c>
    </row>
    <row r="37" spans="1:19" x14ac:dyDescent="0.25">
      <c r="A37" s="4" t="s">
        <v>131</v>
      </c>
      <c r="B37" s="5" t="s">
        <v>125</v>
      </c>
      <c r="C37" s="4" t="s">
        <v>117</v>
      </c>
      <c r="D37" s="5" t="s">
        <v>172</v>
      </c>
      <c r="E37" s="4" t="s">
        <v>73</v>
      </c>
      <c r="F37" s="4" t="s">
        <v>74</v>
      </c>
      <c r="G37" s="4" t="s">
        <v>16</v>
      </c>
      <c r="H37" s="6">
        <v>2</v>
      </c>
      <c r="I37" s="7">
        <v>90000</v>
      </c>
      <c r="J37" s="7">
        <f t="shared" si="0"/>
        <v>180000</v>
      </c>
      <c r="K37" s="8" t="s">
        <v>17</v>
      </c>
      <c r="L37" t="str">
        <f>IFERROR(VLOOKUP(F37,MÃ!$A:$B,2,0),0)</f>
        <v>NL300092</v>
      </c>
      <c r="M37" t="str">
        <f t="shared" si="1"/>
        <v>01/01/2026NL300092</v>
      </c>
      <c r="N37" s="15">
        <f>IFERROR(VLOOKUP(M37,'WS11'!$B$2:$Q$475,11,0),0)</f>
        <v>1.6</v>
      </c>
      <c r="O37" s="17">
        <f>IFERROR(VLOOKUP(M37,'WS11'!$B$2:$Q$475,12,0),0)</f>
        <v>90000</v>
      </c>
      <c r="P37" s="17">
        <f t="shared" si="2"/>
        <v>144000</v>
      </c>
      <c r="Q37" s="15">
        <f t="shared" si="3"/>
        <v>0.39999999999999991</v>
      </c>
      <c r="R37" s="17">
        <f t="shared" si="3"/>
        <v>0</v>
      </c>
      <c r="S37" s="13" t="s">
        <v>543</v>
      </c>
    </row>
    <row r="38" spans="1:19" x14ac:dyDescent="0.25">
      <c r="A38" s="4" t="s">
        <v>131</v>
      </c>
      <c r="B38" s="5" t="s">
        <v>125</v>
      </c>
      <c r="C38" s="4" t="s">
        <v>117</v>
      </c>
      <c r="D38" s="5" t="s">
        <v>172</v>
      </c>
      <c r="E38" s="4" t="s">
        <v>100</v>
      </c>
      <c r="F38" s="4" t="s">
        <v>101</v>
      </c>
      <c r="G38" s="4" t="s">
        <v>16</v>
      </c>
      <c r="H38" s="6">
        <v>1.5</v>
      </c>
      <c r="I38" s="7">
        <v>80000</v>
      </c>
      <c r="J38" s="7">
        <f t="shared" si="0"/>
        <v>120000</v>
      </c>
      <c r="K38" s="8" t="s">
        <v>17</v>
      </c>
      <c r="L38" t="str">
        <f>IFERROR(VLOOKUP(F38,MÃ!$A:$B,2,0),0)</f>
        <v>NL300094</v>
      </c>
      <c r="M38" t="str">
        <f t="shared" si="1"/>
        <v>01/01/2026NL300094</v>
      </c>
      <c r="N38" s="15">
        <f>IFERROR(VLOOKUP(M38,'WS11'!$B$2:$Q$475,11,0),0)</f>
        <v>1.3</v>
      </c>
      <c r="O38" s="17">
        <f>IFERROR(VLOOKUP(M38,'WS11'!$B$2:$Q$475,12,0),0)</f>
        <v>80000</v>
      </c>
      <c r="P38" s="17">
        <f t="shared" si="2"/>
        <v>104000</v>
      </c>
      <c r="Q38" s="15">
        <f t="shared" si="3"/>
        <v>0.19999999999999996</v>
      </c>
      <c r="R38" s="17">
        <f t="shared" si="3"/>
        <v>0</v>
      </c>
      <c r="S38" s="13" t="s">
        <v>543</v>
      </c>
    </row>
    <row r="39" spans="1:19" x14ac:dyDescent="0.25">
      <c r="A39" s="4" t="s">
        <v>131</v>
      </c>
      <c r="B39" s="5" t="s">
        <v>125</v>
      </c>
      <c r="C39" s="4" t="s">
        <v>117</v>
      </c>
      <c r="D39" s="5" t="s">
        <v>172</v>
      </c>
      <c r="E39" s="4" t="s">
        <v>44</v>
      </c>
      <c r="F39" s="4" t="s">
        <v>45</v>
      </c>
      <c r="G39" s="4" t="s">
        <v>16</v>
      </c>
      <c r="H39" s="6">
        <v>5.0999999999999996</v>
      </c>
      <c r="I39" s="7">
        <v>45000</v>
      </c>
      <c r="J39" s="7">
        <f t="shared" si="0"/>
        <v>229499.99999999997</v>
      </c>
      <c r="K39" s="8" t="s">
        <v>17</v>
      </c>
      <c r="L39" t="str">
        <f>IFERROR(VLOOKUP(F39,MÃ!$A:$B,2,0),0)</f>
        <v>NL300096</v>
      </c>
      <c r="M39" t="str">
        <f t="shared" si="1"/>
        <v>01/01/2026NL300096</v>
      </c>
      <c r="N39" s="15">
        <f>IFERROR(VLOOKUP(M39,'WS11'!$B$2:$Q$475,11,0),0)</f>
        <v>4</v>
      </c>
      <c r="O39" s="17">
        <f>IFERROR(VLOOKUP(M39,'WS11'!$B$2:$Q$475,12,0),0)</f>
        <v>45000</v>
      </c>
      <c r="P39" s="17">
        <f t="shared" si="2"/>
        <v>180000</v>
      </c>
      <c r="Q39" s="15">
        <f t="shared" si="3"/>
        <v>1.0999999999999996</v>
      </c>
      <c r="R39" s="17">
        <f t="shared" si="3"/>
        <v>0</v>
      </c>
      <c r="S39" s="13" t="s">
        <v>543</v>
      </c>
    </row>
    <row r="40" spans="1:19" x14ac:dyDescent="0.25">
      <c r="A40" s="4" t="s">
        <v>131</v>
      </c>
      <c r="B40" s="5" t="s">
        <v>125</v>
      </c>
      <c r="C40" s="4" t="s">
        <v>117</v>
      </c>
      <c r="D40" s="5" t="s">
        <v>172</v>
      </c>
      <c r="E40" s="4" t="s">
        <v>75</v>
      </c>
      <c r="F40" s="4" t="s">
        <v>76</v>
      </c>
      <c r="G40" s="4" t="s">
        <v>16</v>
      </c>
      <c r="H40" s="6">
        <v>1.6</v>
      </c>
      <c r="I40" s="7">
        <v>90000</v>
      </c>
      <c r="J40" s="7">
        <f t="shared" si="0"/>
        <v>144000</v>
      </c>
      <c r="K40" s="8" t="s">
        <v>17</v>
      </c>
      <c r="L40" t="str">
        <f>IFERROR(VLOOKUP(F40,MÃ!$A:$B,2,0),0)</f>
        <v>NL300097</v>
      </c>
      <c r="M40" t="str">
        <f t="shared" si="1"/>
        <v>01/01/2026NL300097</v>
      </c>
      <c r="N40" s="15">
        <f>IFERROR(VLOOKUP(M40,'WS11'!$B$2:$Q$475,11,0),0)</f>
        <v>1.4</v>
      </c>
      <c r="O40" s="17">
        <f>IFERROR(VLOOKUP(M40,'WS11'!$B$2:$Q$475,12,0),0)</f>
        <v>90000</v>
      </c>
      <c r="P40" s="17">
        <f t="shared" si="2"/>
        <v>125999.99999999999</v>
      </c>
      <c r="Q40" s="15">
        <f t="shared" si="3"/>
        <v>0.20000000000000018</v>
      </c>
      <c r="R40" s="17">
        <f t="shared" si="3"/>
        <v>0</v>
      </c>
      <c r="S40" s="13" t="s">
        <v>543</v>
      </c>
    </row>
    <row r="41" spans="1:19" x14ac:dyDescent="0.25">
      <c r="A41" s="4" t="s">
        <v>131</v>
      </c>
      <c r="B41" s="5" t="s">
        <v>125</v>
      </c>
      <c r="C41" s="4" t="s">
        <v>117</v>
      </c>
      <c r="D41" s="5" t="s">
        <v>172</v>
      </c>
      <c r="E41" s="4" t="s">
        <v>77</v>
      </c>
      <c r="F41" s="4" t="s">
        <v>78</v>
      </c>
      <c r="G41" s="4" t="s">
        <v>16</v>
      </c>
      <c r="H41" s="6">
        <v>2.9</v>
      </c>
      <c r="I41" s="7">
        <v>45000</v>
      </c>
      <c r="J41" s="7">
        <f t="shared" si="0"/>
        <v>130500</v>
      </c>
      <c r="K41" s="8" t="s">
        <v>17</v>
      </c>
      <c r="L41" t="str">
        <f>IFERROR(VLOOKUP(F41,MÃ!$A:$B,2,0),0)</f>
        <v>NL300085</v>
      </c>
      <c r="M41" t="str">
        <f t="shared" si="1"/>
        <v>01/01/2026NL300085</v>
      </c>
      <c r="N41" s="15">
        <f>IFERROR(VLOOKUP(M41,'WS11'!$B$2:$Q$475,11,0),0)</f>
        <v>2</v>
      </c>
      <c r="O41" s="17">
        <f>IFERROR(VLOOKUP(M41,'WS11'!$B$2:$Q$475,12,0),0)</f>
        <v>45000</v>
      </c>
      <c r="P41" s="17">
        <f t="shared" si="2"/>
        <v>90000</v>
      </c>
      <c r="Q41" s="15">
        <f t="shared" si="3"/>
        <v>0.89999999999999991</v>
      </c>
      <c r="R41" s="17">
        <f t="shared" si="3"/>
        <v>0</v>
      </c>
      <c r="S41" s="13" t="s">
        <v>543</v>
      </c>
    </row>
    <row r="42" spans="1:19" x14ac:dyDescent="0.25">
      <c r="A42" s="4" t="s">
        <v>131</v>
      </c>
      <c r="B42" s="5" t="s">
        <v>125</v>
      </c>
      <c r="C42" s="4" t="s">
        <v>117</v>
      </c>
      <c r="D42" s="5" t="s">
        <v>172</v>
      </c>
      <c r="E42" s="4" t="s">
        <v>79</v>
      </c>
      <c r="F42" s="4" t="s">
        <v>80</v>
      </c>
      <c r="G42" s="4" t="s">
        <v>16</v>
      </c>
      <c r="H42" s="6">
        <v>0.3</v>
      </c>
      <c r="I42" s="7">
        <v>70000</v>
      </c>
      <c r="J42" s="7">
        <f t="shared" si="0"/>
        <v>21000</v>
      </c>
      <c r="K42" s="8" t="s">
        <v>17</v>
      </c>
      <c r="L42" t="str">
        <f>IFERROR(VLOOKUP(F42,MÃ!$A:$B,2,0),0)</f>
        <v>NL300126</v>
      </c>
      <c r="M42" t="str">
        <f t="shared" si="1"/>
        <v>01/01/2026NL300126</v>
      </c>
      <c r="N42" s="15">
        <f>IFERROR(VLOOKUP(M42,'WS11'!$B$2:$Q$475,11,0),0)</f>
        <v>0.3</v>
      </c>
      <c r="O42" s="17">
        <f>IFERROR(VLOOKUP(M42,'WS11'!$B$2:$Q$475,12,0),0)</f>
        <v>70000</v>
      </c>
      <c r="P42" s="17">
        <f t="shared" si="2"/>
        <v>21000</v>
      </c>
      <c r="Q42" s="15">
        <f t="shared" si="3"/>
        <v>0</v>
      </c>
      <c r="R42" s="17">
        <f t="shared" si="3"/>
        <v>0</v>
      </c>
      <c r="S42" s="13"/>
    </row>
    <row r="43" spans="1:19" x14ac:dyDescent="0.25">
      <c r="A43" s="4" t="s">
        <v>131</v>
      </c>
      <c r="B43" s="5" t="s">
        <v>125</v>
      </c>
      <c r="C43" s="4" t="s">
        <v>117</v>
      </c>
      <c r="D43" s="5" t="s">
        <v>172</v>
      </c>
      <c r="E43" s="4" t="s">
        <v>102</v>
      </c>
      <c r="F43" s="4" t="s">
        <v>103</v>
      </c>
      <c r="G43" s="4" t="s">
        <v>16</v>
      </c>
      <c r="H43" s="6">
        <v>1.5</v>
      </c>
      <c r="I43" s="7">
        <v>145000</v>
      </c>
      <c r="J43" s="7">
        <f t="shared" si="0"/>
        <v>217500</v>
      </c>
      <c r="K43" s="8" t="s">
        <v>17</v>
      </c>
      <c r="L43" t="str">
        <f>IFERROR(VLOOKUP(F43,MÃ!$A:$B,2,0),0)</f>
        <v>NL300113</v>
      </c>
      <c r="M43" t="str">
        <f t="shared" si="1"/>
        <v>01/01/2026NL300113</v>
      </c>
      <c r="N43" s="15">
        <f>IFERROR(VLOOKUP(M43,'WS11'!$B$2:$Q$475,11,0),0)</f>
        <v>1.2</v>
      </c>
      <c r="O43" s="17">
        <f>IFERROR(VLOOKUP(M43,'WS11'!$B$2:$Q$475,12,0),0)</f>
        <v>145000</v>
      </c>
      <c r="P43" s="17">
        <f t="shared" si="2"/>
        <v>174000</v>
      </c>
      <c r="Q43" s="15">
        <f t="shared" si="3"/>
        <v>0.30000000000000004</v>
      </c>
      <c r="R43" s="17">
        <f t="shared" si="3"/>
        <v>0</v>
      </c>
      <c r="S43" s="13" t="s">
        <v>543</v>
      </c>
    </row>
    <row r="44" spans="1:19" x14ac:dyDescent="0.25">
      <c r="A44" s="4" t="s">
        <v>131</v>
      </c>
      <c r="B44" s="5" t="s">
        <v>125</v>
      </c>
      <c r="C44" s="4" t="s">
        <v>117</v>
      </c>
      <c r="D44" s="5" t="s">
        <v>172</v>
      </c>
      <c r="E44" s="4" t="s">
        <v>128</v>
      </c>
      <c r="F44" s="4" t="s">
        <v>129</v>
      </c>
      <c r="G44" s="4" t="s">
        <v>16</v>
      </c>
      <c r="H44" s="6">
        <v>0.1</v>
      </c>
      <c r="I44" s="7">
        <v>185000</v>
      </c>
      <c r="J44" s="7">
        <f t="shared" si="0"/>
        <v>18500</v>
      </c>
      <c r="K44" s="8" t="s">
        <v>17</v>
      </c>
      <c r="L44" t="str">
        <f>IFERROR(VLOOKUP(F44,MÃ!$A:$B,2,0),0)</f>
        <v>NL300111</v>
      </c>
      <c r="M44" t="str">
        <f t="shared" si="1"/>
        <v>01/01/2026NL300111</v>
      </c>
      <c r="N44" s="15">
        <f>IFERROR(VLOOKUP(M44,'WS11'!$B$2:$Q$475,11,0),0)</f>
        <v>0.1</v>
      </c>
      <c r="O44" s="17">
        <f>IFERROR(VLOOKUP(M44,'WS11'!$B$2:$Q$475,12,0),0)</f>
        <v>185000</v>
      </c>
      <c r="P44" s="17">
        <f t="shared" si="2"/>
        <v>18500</v>
      </c>
      <c r="Q44" s="15">
        <f t="shared" si="3"/>
        <v>0</v>
      </c>
      <c r="R44" s="17">
        <f t="shared" si="3"/>
        <v>0</v>
      </c>
      <c r="S44" s="13"/>
    </row>
    <row r="45" spans="1:19" x14ac:dyDescent="0.25">
      <c r="A45" s="4" t="s">
        <v>131</v>
      </c>
      <c r="B45" s="5" t="s">
        <v>125</v>
      </c>
      <c r="C45" s="4" t="s">
        <v>117</v>
      </c>
      <c r="D45" s="5" t="s">
        <v>172</v>
      </c>
      <c r="E45" s="4" t="s">
        <v>46</v>
      </c>
      <c r="F45" s="4" t="s">
        <v>47</v>
      </c>
      <c r="G45" s="4" t="s">
        <v>16</v>
      </c>
      <c r="H45" s="6">
        <v>0.5</v>
      </c>
      <c r="I45" s="7">
        <v>148000</v>
      </c>
      <c r="J45" s="7">
        <f t="shared" si="0"/>
        <v>74000</v>
      </c>
      <c r="K45" s="8" t="s">
        <v>17</v>
      </c>
      <c r="L45" t="str">
        <f>IFERROR(VLOOKUP(F45,MÃ!$A:$B,2,0),0)</f>
        <v>NL300116</v>
      </c>
      <c r="M45" t="str">
        <f t="shared" si="1"/>
        <v>01/01/2026NL300116</v>
      </c>
      <c r="N45" s="15">
        <f>IFERROR(VLOOKUP(M45,'WS11'!$B$2:$Q$475,11,0),0)</f>
        <v>0</v>
      </c>
      <c r="O45" s="17">
        <f>IFERROR(VLOOKUP(M45,'WS11'!$B$2:$Q$475,12,0),0)</f>
        <v>0</v>
      </c>
      <c r="P45" s="17">
        <f t="shared" si="2"/>
        <v>0</v>
      </c>
      <c r="Q45" s="15">
        <f t="shared" si="3"/>
        <v>0.5</v>
      </c>
      <c r="R45" s="17">
        <f t="shared" si="3"/>
        <v>148000</v>
      </c>
      <c r="S45" s="13" t="s">
        <v>540</v>
      </c>
    </row>
    <row r="46" spans="1:19" x14ac:dyDescent="0.25">
      <c r="A46" s="4" t="s">
        <v>131</v>
      </c>
      <c r="B46" s="5" t="s">
        <v>125</v>
      </c>
      <c r="C46" s="4" t="s">
        <v>117</v>
      </c>
      <c r="D46" s="5" t="s">
        <v>172</v>
      </c>
      <c r="E46" s="4" t="s">
        <v>48</v>
      </c>
      <c r="F46" s="4" t="s">
        <v>49</v>
      </c>
      <c r="G46" s="4" t="s">
        <v>16</v>
      </c>
      <c r="H46" s="6">
        <v>0.4</v>
      </c>
      <c r="I46" s="7">
        <v>42000</v>
      </c>
      <c r="J46" s="7">
        <f t="shared" si="0"/>
        <v>16800</v>
      </c>
      <c r="K46" s="8" t="s">
        <v>17</v>
      </c>
      <c r="L46" t="str">
        <f>IFERROR(VLOOKUP(F46,MÃ!$A:$B,2,0),0)</f>
        <v>NL300125</v>
      </c>
      <c r="M46" t="str">
        <f t="shared" si="1"/>
        <v>01/01/2026NL300125</v>
      </c>
      <c r="N46" s="15">
        <f>IFERROR(VLOOKUP(M46,'WS11'!$B$2:$Q$475,11,0),0)</f>
        <v>0.4</v>
      </c>
      <c r="O46" s="17">
        <f>IFERROR(VLOOKUP(M46,'WS11'!$B$2:$Q$475,12,0),0)</f>
        <v>42000</v>
      </c>
      <c r="P46" s="17">
        <f t="shared" si="2"/>
        <v>16800</v>
      </c>
      <c r="Q46" s="15">
        <f t="shared" si="3"/>
        <v>0</v>
      </c>
      <c r="R46" s="17">
        <f t="shared" si="3"/>
        <v>0</v>
      </c>
      <c r="S46" s="13"/>
    </row>
    <row r="47" spans="1:19" x14ac:dyDescent="0.25">
      <c r="A47" s="4" t="s">
        <v>131</v>
      </c>
      <c r="B47" s="5" t="s">
        <v>125</v>
      </c>
      <c r="C47" s="4" t="s">
        <v>117</v>
      </c>
      <c r="D47" s="5" t="s">
        <v>172</v>
      </c>
      <c r="E47" s="4" t="s">
        <v>50</v>
      </c>
      <c r="F47" s="4" t="s">
        <v>51</v>
      </c>
      <c r="G47" s="4" t="s">
        <v>16</v>
      </c>
      <c r="H47" s="6">
        <v>0.2</v>
      </c>
      <c r="I47" s="7">
        <v>22000</v>
      </c>
      <c r="J47" s="7">
        <f t="shared" si="0"/>
        <v>4400</v>
      </c>
      <c r="K47" s="8" t="s">
        <v>17</v>
      </c>
      <c r="L47" t="str">
        <f>IFERROR(VLOOKUP(F47,MÃ!$A:$B,2,0),0)</f>
        <v>NL300121</v>
      </c>
      <c r="M47" t="str">
        <f t="shared" si="1"/>
        <v>01/01/2026NL300121</v>
      </c>
      <c r="N47" s="15">
        <f>IFERROR(VLOOKUP(M47,'WS11'!$B$2:$Q$475,11,0),0)</f>
        <v>0.2</v>
      </c>
      <c r="O47" s="17">
        <f>IFERROR(VLOOKUP(M47,'WS11'!$B$2:$Q$475,12,0),0)</f>
        <v>22000</v>
      </c>
      <c r="P47" s="17">
        <f t="shared" si="2"/>
        <v>4400</v>
      </c>
      <c r="Q47" s="15">
        <f t="shared" si="3"/>
        <v>0</v>
      </c>
      <c r="R47" s="17">
        <f t="shared" si="3"/>
        <v>0</v>
      </c>
      <c r="S47" s="13"/>
    </row>
    <row r="48" spans="1:19" x14ac:dyDescent="0.25">
      <c r="A48" s="4" t="s">
        <v>131</v>
      </c>
      <c r="B48" s="5" t="s">
        <v>125</v>
      </c>
      <c r="C48" s="4" t="s">
        <v>117</v>
      </c>
      <c r="D48" s="5" t="s">
        <v>172</v>
      </c>
      <c r="E48" s="4" t="s">
        <v>133</v>
      </c>
      <c r="F48" s="4" t="s">
        <v>134</v>
      </c>
      <c r="G48" s="4" t="s">
        <v>16</v>
      </c>
      <c r="H48" s="6">
        <v>1</v>
      </c>
      <c r="I48" s="7">
        <v>36000</v>
      </c>
      <c r="J48" s="7">
        <f t="shared" si="0"/>
        <v>36000</v>
      </c>
      <c r="K48" s="8" t="s">
        <v>17</v>
      </c>
      <c r="L48" t="str">
        <f>IFERROR(VLOOKUP(F48,MÃ!$A:$B,2,0),0)</f>
        <v>NL300140</v>
      </c>
      <c r="M48" t="str">
        <f t="shared" si="1"/>
        <v>01/01/2026NL300140</v>
      </c>
      <c r="N48" s="15">
        <f>IFERROR(VLOOKUP(M48,'WS11'!$B$2:$Q$475,11,0),0)</f>
        <v>0.7</v>
      </c>
      <c r="O48" s="17">
        <f>IFERROR(VLOOKUP(M48,'WS11'!$B$2:$Q$475,12,0),0)</f>
        <v>36000</v>
      </c>
      <c r="P48" s="17">
        <f t="shared" si="2"/>
        <v>25200</v>
      </c>
      <c r="Q48" s="15">
        <f t="shared" si="3"/>
        <v>0.30000000000000004</v>
      </c>
      <c r="R48" s="17">
        <f t="shared" si="3"/>
        <v>0</v>
      </c>
      <c r="S48" s="13" t="s">
        <v>543</v>
      </c>
    </row>
    <row r="49" spans="1:19" x14ac:dyDescent="0.25">
      <c r="A49" s="4" t="s">
        <v>131</v>
      </c>
      <c r="B49" s="5" t="s">
        <v>125</v>
      </c>
      <c r="C49" s="4" t="s">
        <v>117</v>
      </c>
      <c r="D49" s="5" t="s">
        <v>172</v>
      </c>
      <c r="E49" s="4" t="s">
        <v>52</v>
      </c>
      <c r="F49" s="4" t="s">
        <v>53</v>
      </c>
      <c r="G49" s="4" t="s">
        <v>16</v>
      </c>
      <c r="H49" s="6">
        <v>1.3</v>
      </c>
      <c r="I49" s="7">
        <v>21000</v>
      </c>
      <c r="J49" s="7">
        <f t="shared" si="0"/>
        <v>27300</v>
      </c>
      <c r="K49" s="8" t="s">
        <v>17</v>
      </c>
      <c r="L49" t="str">
        <f>IFERROR(VLOOKUP(F49,MÃ!$A:$B,2,0),0)</f>
        <v>NL300119</v>
      </c>
      <c r="M49" t="str">
        <f t="shared" si="1"/>
        <v>01/01/2026NL300119</v>
      </c>
      <c r="N49" s="15">
        <f>IFERROR(VLOOKUP(M49,'WS11'!$B$2:$Q$475,11,0),0)</f>
        <v>0.9</v>
      </c>
      <c r="O49" s="17">
        <f>IFERROR(VLOOKUP(M49,'WS11'!$B$2:$Q$475,12,0),0)</f>
        <v>21000</v>
      </c>
      <c r="P49" s="17">
        <f t="shared" si="2"/>
        <v>18900</v>
      </c>
      <c r="Q49" s="15">
        <f t="shared" si="3"/>
        <v>0.4</v>
      </c>
      <c r="R49" s="17">
        <f t="shared" si="3"/>
        <v>0</v>
      </c>
      <c r="S49" s="13" t="s">
        <v>543</v>
      </c>
    </row>
    <row r="50" spans="1:19" x14ac:dyDescent="0.25">
      <c r="A50" s="4" t="s">
        <v>131</v>
      </c>
      <c r="B50" s="5" t="s">
        <v>125</v>
      </c>
      <c r="C50" s="4" t="s">
        <v>117</v>
      </c>
      <c r="D50" s="5" t="s">
        <v>172</v>
      </c>
      <c r="E50" s="4" t="s">
        <v>104</v>
      </c>
      <c r="F50" s="4" t="s">
        <v>105</v>
      </c>
      <c r="G50" s="4" t="s">
        <v>16</v>
      </c>
      <c r="H50" s="6">
        <v>0.2</v>
      </c>
      <c r="I50" s="7">
        <v>92000</v>
      </c>
      <c r="J50" s="7">
        <f t="shared" si="0"/>
        <v>18400</v>
      </c>
      <c r="K50" s="8" t="s">
        <v>17</v>
      </c>
      <c r="L50" t="str">
        <f>IFERROR(VLOOKUP(F50,MÃ!$A:$B,2,0),0)</f>
        <v>NL300141</v>
      </c>
      <c r="M50" t="str">
        <f t="shared" si="1"/>
        <v>01/01/2026NL300141</v>
      </c>
      <c r="N50" s="15">
        <f>IFERROR(VLOOKUP(M50,'WS11'!$B$2:$Q$475,11,0),0)</f>
        <v>0.2</v>
      </c>
      <c r="O50" s="17">
        <f>IFERROR(VLOOKUP(M50,'WS11'!$B$2:$Q$475,12,0),0)</f>
        <v>92000</v>
      </c>
      <c r="P50" s="17">
        <f t="shared" si="2"/>
        <v>18400</v>
      </c>
      <c r="Q50" s="15">
        <f t="shared" si="3"/>
        <v>0</v>
      </c>
      <c r="R50" s="17">
        <f t="shared" si="3"/>
        <v>0</v>
      </c>
      <c r="S50" s="13"/>
    </row>
    <row r="51" spans="1:19" x14ac:dyDescent="0.25">
      <c r="A51" s="4" t="s">
        <v>131</v>
      </c>
      <c r="B51" s="5" t="s">
        <v>125</v>
      </c>
      <c r="C51" s="4" t="s">
        <v>117</v>
      </c>
      <c r="D51" s="5" t="s">
        <v>172</v>
      </c>
      <c r="E51" s="4" t="s">
        <v>85</v>
      </c>
      <c r="F51" s="4" t="s">
        <v>86</v>
      </c>
      <c r="G51" s="4" t="s">
        <v>16</v>
      </c>
      <c r="H51" s="6">
        <v>3</v>
      </c>
      <c r="I51" s="7">
        <v>50000</v>
      </c>
      <c r="J51" s="7">
        <f t="shared" si="0"/>
        <v>150000</v>
      </c>
      <c r="K51" s="8" t="s">
        <v>17</v>
      </c>
      <c r="L51" t="str">
        <f>IFERROR(VLOOKUP(F51,MÃ!$A:$B,2,0),0)</f>
        <v>NL300142</v>
      </c>
      <c r="M51" t="str">
        <f t="shared" si="1"/>
        <v>01/01/2026NL300142</v>
      </c>
      <c r="N51" s="15">
        <f>IFERROR(VLOOKUP(M51,'WS11'!$B$2:$Q$475,11,0),0)</f>
        <v>2.5</v>
      </c>
      <c r="O51" s="17">
        <f>IFERROR(VLOOKUP(M51,'WS11'!$B$2:$Q$475,12,0),0)</f>
        <v>50000</v>
      </c>
      <c r="P51" s="17">
        <f t="shared" si="2"/>
        <v>125000</v>
      </c>
      <c r="Q51" s="15">
        <f t="shared" si="3"/>
        <v>0.5</v>
      </c>
      <c r="R51" s="17">
        <f t="shared" si="3"/>
        <v>0</v>
      </c>
      <c r="S51" s="13" t="s">
        <v>543</v>
      </c>
    </row>
    <row r="52" spans="1:19" x14ac:dyDescent="0.25">
      <c r="A52" s="4" t="s">
        <v>131</v>
      </c>
      <c r="B52" s="5" t="s">
        <v>125</v>
      </c>
      <c r="C52" s="4" t="s">
        <v>117</v>
      </c>
      <c r="D52" s="5" t="s">
        <v>172</v>
      </c>
      <c r="E52" s="4" t="s">
        <v>135</v>
      </c>
      <c r="F52" s="4" t="s">
        <v>136</v>
      </c>
      <c r="G52" s="4" t="s">
        <v>108</v>
      </c>
      <c r="H52" s="6">
        <v>20</v>
      </c>
      <c r="I52" s="7">
        <v>9000</v>
      </c>
      <c r="J52" s="7">
        <f t="shared" si="0"/>
        <v>180000</v>
      </c>
      <c r="K52" s="8" t="s">
        <v>17</v>
      </c>
      <c r="L52" t="str">
        <f>IFERROR(VLOOKUP(F52,MÃ!$A:$B,2,0),0)</f>
        <v>NL100279</v>
      </c>
      <c r="M52" t="str">
        <f t="shared" si="1"/>
        <v>01/01/2026NL100279</v>
      </c>
      <c r="N52" s="15">
        <f>IFERROR(VLOOKUP(M52,'WS11'!$B$2:$Q$475,11,0),0)</f>
        <v>20</v>
      </c>
      <c r="O52" s="17">
        <f>IFERROR(VLOOKUP(M52,'WS11'!$B$2:$Q$475,12,0),0)</f>
        <v>9000</v>
      </c>
      <c r="P52" s="17">
        <f t="shared" si="2"/>
        <v>180000</v>
      </c>
      <c r="Q52" s="15">
        <f t="shared" si="3"/>
        <v>0</v>
      </c>
      <c r="R52" s="17">
        <f t="shared" si="3"/>
        <v>0</v>
      </c>
      <c r="S52" s="13"/>
    </row>
    <row r="53" spans="1:19" x14ac:dyDescent="0.25">
      <c r="A53" s="4" t="s">
        <v>131</v>
      </c>
      <c r="B53" s="5" t="s">
        <v>125</v>
      </c>
      <c r="C53" s="4" t="s">
        <v>117</v>
      </c>
      <c r="D53" s="5" t="s">
        <v>172</v>
      </c>
      <c r="E53" s="4" t="s">
        <v>106</v>
      </c>
      <c r="F53" s="4" t="s">
        <v>107</v>
      </c>
      <c r="G53" s="4" t="s">
        <v>108</v>
      </c>
      <c r="H53" s="6">
        <v>50</v>
      </c>
      <c r="I53" s="7">
        <v>5000</v>
      </c>
      <c r="J53" s="7">
        <f t="shared" si="0"/>
        <v>250000</v>
      </c>
      <c r="K53" s="8" t="s">
        <v>17</v>
      </c>
      <c r="L53" t="str">
        <f>IFERROR(VLOOKUP(F53,MÃ!$A:$B,2,0),0)</f>
        <v>NL100101</v>
      </c>
      <c r="M53" t="str">
        <f t="shared" si="1"/>
        <v>01/01/2026NL100101</v>
      </c>
      <c r="N53" s="15">
        <f>IFERROR(VLOOKUP(M53,'WS11'!$B$2:$Q$475,11,0),0)</f>
        <v>40</v>
      </c>
      <c r="O53" s="17">
        <f>IFERROR(VLOOKUP(M53,'WS11'!$B$2:$Q$475,12,0),0)</f>
        <v>5000</v>
      </c>
      <c r="P53" s="17">
        <f t="shared" si="2"/>
        <v>200000</v>
      </c>
      <c r="Q53" s="15">
        <f t="shared" si="3"/>
        <v>10</v>
      </c>
      <c r="R53" s="17">
        <f t="shared" si="3"/>
        <v>0</v>
      </c>
      <c r="S53" s="13" t="s">
        <v>543</v>
      </c>
    </row>
    <row r="54" spans="1:19" x14ac:dyDescent="0.25">
      <c r="A54" s="4" t="s">
        <v>131</v>
      </c>
      <c r="B54" s="5" t="s">
        <v>125</v>
      </c>
      <c r="C54" s="4" t="s">
        <v>117</v>
      </c>
      <c r="D54" s="5" t="s">
        <v>172</v>
      </c>
      <c r="E54" s="4" t="s">
        <v>54</v>
      </c>
      <c r="F54" s="4" t="s">
        <v>55</v>
      </c>
      <c r="G54" s="4" t="s">
        <v>16</v>
      </c>
      <c r="H54" s="6">
        <v>6</v>
      </c>
      <c r="I54" s="7">
        <v>62000</v>
      </c>
      <c r="J54" s="7">
        <f t="shared" si="0"/>
        <v>372000</v>
      </c>
      <c r="K54" s="8" t="s">
        <v>17</v>
      </c>
      <c r="L54" t="str">
        <f>IFERROR(VLOOKUP(F54,MÃ!$A:$B,2,0),0)</f>
        <v>NL300147</v>
      </c>
      <c r="M54" t="str">
        <f t="shared" si="1"/>
        <v>01/01/2026NL300147</v>
      </c>
      <c r="N54" s="15">
        <f>IFERROR(VLOOKUP(M54,'WS11'!$B$2:$Q$475,11,0),0)</f>
        <v>4</v>
      </c>
      <c r="O54" s="17">
        <f>IFERROR(VLOOKUP(M54,'WS11'!$B$2:$Q$475,12,0),0)</f>
        <v>62000</v>
      </c>
      <c r="P54" s="17">
        <f t="shared" si="2"/>
        <v>248000</v>
      </c>
      <c r="Q54" s="15">
        <f t="shared" si="3"/>
        <v>2</v>
      </c>
      <c r="R54" s="17">
        <f t="shared" si="3"/>
        <v>0</v>
      </c>
      <c r="S54" s="13" t="s">
        <v>543</v>
      </c>
    </row>
    <row r="55" spans="1:19" x14ac:dyDescent="0.25">
      <c r="A55" s="4" t="s">
        <v>137</v>
      </c>
      <c r="B55" s="5" t="s">
        <v>125</v>
      </c>
      <c r="C55" s="4" t="s">
        <v>117</v>
      </c>
      <c r="D55" s="5" t="s">
        <v>173</v>
      </c>
      <c r="E55" s="4" t="s">
        <v>18</v>
      </c>
      <c r="F55" s="4" t="s">
        <v>19</v>
      </c>
      <c r="G55" s="4" t="s">
        <v>16</v>
      </c>
      <c r="H55" s="6">
        <v>3</v>
      </c>
      <c r="I55" s="7">
        <v>15000</v>
      </c>
      <c r="J55" s="7">
        <f t="shared" si="0"/>
        <v>45000</v>
      </c>
      <c r="K55" s="8" t="s">
        <v>17</v>
      </c>
      <c r="L55" t="str">
        <f>IFERROR(VLOOKUP(F55,MÃ!$A:$B,2,0),0)</f>
        <v>NL300189</v>
      </c>
      <c r="M55" t="str">
        <f t="shared" si="1"/>
        <v>02/01/2026NL300189</v>
      </c>
      <c r="N55" s="15">
        <f>IFERROR(VLOOKUP(M55,'WS11'!$B$2:$Q$475,11,0),0)</f>
        <v>1</v>
      </c>
      <c r="O55" s="17">
        <f>IFERROR(VLOOKUP(M55,'WS11'!$B$2:$Q$475,12,0),0)</f>
        <v>15000</v>
      </c>
      <c r="P55" s="17">
        <f t="shared" si="2"/>
        <v>15000</v>
      </c>
      <c r="Q55" s="15">
        <f t="shared" si="3"/>
        <v>2</v>
      </c>
      <c r="R55" s="17">
        <f t="shared" si="3"/>
        <v>0</v>
      </c>
      <c r="S55" s="13" t="s">
        <v>543</v>
      </c>
    </row>
    <row r="56" spans="1:19" x14ac:dyDescent="0.25">
      <c r="A56" s="4" t="s">
        <v>137</v>
      </c>
      <c r="B56" s="5" t="s">
        <v>125</v>
      </c>
      <c r="C56" s="4" t="s">
        <v>117</v>
      </c>
      <c r="D56" s="5" t="s">
        <v>173</v>
      </c>
      <c r="E56" s="4" t="s">
        <v>56</v>
      </c>
      <c r="F56" s="4" t="s">
        <v>57</v>
      </c>
      <c r="G56" s="4" t="s">
        <v>58</v>
      </c>
      <c r="H56" s="6">
        <v>15</v>
      </c>
      <c r="I56" s="7">
        <v>8500</v>
      </c>
      <c r="J56" s="7">
        <f t="shared" si="0"/>
        <v>127500</v>
      </c>
      <c r="K56" s="8" t="s">
        <v>17</v>
      </c>
      <c r="L56" t="str">
        <f>IFERROR(VLOOKUP(F56,MÃ!$A:$B,2,0),0)</f>
        <v>NL300107</v>
      </c>
      <c r="M56" t="str">
        <f t="shared" si="1"/>
        <v>02/01/2026NL300107</v>
      </c>
      <c r="N56" s="15">
        <f>IFERROR(VLOOKUP(M56,'WS11'!$B$2:$Q$475,11,0),0)</f>
        <v>12</v>
      </c>
      <c r="O56" s="17">
        <f>IFERROR(VLOOKUP(M56,'WS11'!$B$2:$Q$475,12,0),0)</f>
        <v>8500</v>
      </c>
      <c r="P56" s="17">
        <f t="shared" si="2"/>
        <v>102000</v>
      </c>
      <c r="Q56" s="15">
        <f t="shared" si="3"/>
        <v>3</v>
      </c>
      <c r="R56" s="17">
        <f t="shared" si="3"/>
        <v>0</v>
      </c>
      <c r="S56" s="13" t="s">
        <v>543</v>
      </c>
    </row>
    <row r="57" spans="1:19" x14ac:dyDescent="0.25">
      <c r="A57" s="4" t="s">
        <v>137</v>
      </c>
      <c r="B57" s="5" t="s">
        <v>125</v>
      </c>
      <c r="C57" s="4" t="s">
        <v>117</v>
      </c>
      <c r="D57" s="5" t="s">
        <v>173</v>
      </c>
      <c r="E57" s="4" t="s">
        <v>24</v>
      </c>
      <c r="F57" s="4" t="s">
        <v>25</v>
      </c>
      <c r="G57" s="4" t="s">
        <v>16</v>
      </c>
      <c r="H57" s="6">
        <v>7.2</v>
      </c>
      <c r="I57" s="7">
        <v>40000</v>
      </c>
      <c r="J57" s="7">
        <f t="shared" si="0"/>
        <v>288000</v>
      </c>
      <c r="K57" s="8" t="s">
        <v>17</v>
      </c>
      <c r="L57" t="str">
        <f>IFERROR(VLOOKUP(F57,MÃ!$A:$B,2,0),0)</f>
        <v>NL300008</v>
      </c>
      <c r="M57" t="str">
        <f t="shared" si="1"/>
        <v>02/01/2026NL300008</v>
      </c>
      <c r="N57" s="15">
        <f>IFERROR(VLOOKUP(M57,'WS11'!$B$2:$Q$475,11,0),0)</f>
        <v>4</v>
      </c>
      <c r="O57" s="17">
        <f>IFERROR(VLOOKUP(M57,'WS11'!$B$2:$Q$475,12,0),0)</f>
        <v>40000</v>
      </c>
      <c r="P57" s="17">
        <f t="shared" si="2"/>
        <v>160000</v>
      </c>
      <c r="Q57" s="15">
        <f t="shared" si="3"/>
        <v>3.2</v>
      </c>
      <c r="R57" s="17">
        <f t="shared" si="3"/>
        <v>0</v>
      </c>
      <c r="S57" s="13" t="s">
        <v>543</v>
      </c>
    </row>
    <row r="58" spans="1:19" x14ac:dyDescent="0.25">
      <c r="A58" s="4" t="s">
        <v>137</v>
      </c>
      <c r="B58" s="5" t="s">
        <v>125</v>
      </c>
      <c r="C58" s="4" t="s">
        <v>117</v>
      </c>
      <c r="D58" s="5" t="s">
        <v>173</v>
      </c>
      <c r="E58" s="4" t="s">
        <v>126</v>
      </c>
      <c r="F58" s="4" t="s">
        <v>127</v>
      </c>
      <c r="G58" s="4" t="s">
        <v>16</v>
      </c>
      <c r="H58" s="6">
        <v>4</v>
      </c>
      <c r="I58" s="7">
        <v>52000</v>
      </c>
      <c r="J58" s="7">
        <f t="shared" si="0"/>
        <v>208000</v>
      </c>
      <c r="K58" s="8" t="s">
        <v>17</v>
      </c>
      <c r="L58" t="str">
        <f>IFERROR(VLOOKUP(F58,MÃ!$A:$B,2,0),0)</f>
        <v>NL300137</v>
      </c>
      <c r="M58" t="str">
        <f t="shared" si="1"/>
        <v>02/01/2026NL300137</v>
      </c>
      <c r="N58" s="15">
        <f>IFERROR(VLOOKUP(M58,'WS11'!$B$2:$Q$475,11,0),0)</f>
        <v>2</v>
      </c>
      <c r="O58" s="17">
        <f>IFERROR(VLOOKUP(M58,'WS11'!$B$2:$Q$475,12,0),0)</f>
        <v>52000</v>
      </c>
      <c r="P58" s="17">
        <f t="shared" si="2"/>
        <v>104000</v>
      </c>
      <c r="Q58" s="15">
        <f t="shared" si="3"/>
        <v>2</v>
      </c>
      <c r="R58" s="17">
        <f t="shared" si="3"/>
        <v>0</v>
      </c>
      <c r="S58" s="13" t="s">
        <v>543</v>
      </c>
    </row>
    <row r="59" spans="1:19" x14ac:dyDescent="0.25">
      <c r="A59" s="4" t="s">
        <v>137</v>
      </c>
      <c r="B59" s="5" t="s">
        <v>125</v>
      </c>
      <c r="C59" s="4" t="s">
        <v>117</v>
      </c>
      <c r="D59" s="5" t="s">
        <v>173</v>
      </c>
      <c r="E59" s="4" t="s">
        <v>28</v>
      </c>
      <c r="F59" s="4" t="s">
        <v>29</v>
      </c>
      <c r="G59" s="4" t="s">
        <v>16</v>
      </c>
      <c r="H59" s="6">
        <v>1.7</v>
      </c>
      <c r="I59" s="7">
        <v>30000</v>
      </c>
      <c r="J59" s="7">
        <f t="shared" si="0"/>
        <v>51000</v>
      </c>
      <c r="K59" s="8" t="s">
        <v>17</v>
      </c>
      <c r="L59" t="str">
        <f>IFERROR(VLOOKUP(F59,MÃ!$A:$B,2,0),0)</f>
        <v>NL300020</v>
      </c>
      <c r="M59" t="str">
        <f t="shared" si="1"/>
        <v>02/01/2026NL300020</v>
      </c>
      <c r="N59" s="15">
        <f>IFERROR(VLOOKUP(M59,'WS11'!$B$2:$Q$475,11,0),0)</f>
        <v>0</v>
      </c>
      <c r="O59" s="17">
        <f>IFERROR(VLOOKUP(M59,'WS11'!$B$2:$Q$475,12,0),0)</f>
        <v>0</v>
      </c>
      <c r="P59" s="17">
        <f t="shared" si="2"/>
        <v>0</v>
      </c>
      <c r="Q59" s="15">
        <f t="shared" si="3"/>
        <v>1.7</v>
      </c>
      <c r="R59" s="17">
        <f t="shared" si="3"/>
        <v>30000</v>
      </c>
      <c r="S59" s="13" t="s">
        <v>540</v>
      </c>
    </row>
    <row r="60" spans="1:19" x14ac:dyDescent="0.25">
      <c r="A60" s="4" t="s">
        <v>137</v>
      </c>
      <c r="B60" s="5" t="s">
        <v>125</v>
      </c>
      <c r="C60" s="4" t="s">
        <v>117</v>
      </c>
      <c r="D60" s="5" t="s">
        <v>173</v>
      </c>
      <c r="E60" s="4" t="s">
        <v>89</v>
      </c>
      <c r="F60" s="4" t="s">
        <v>90</v>
      </c>
      <c r="G60" s="4" t="s">
        <v>16</v>
      </c>
      <c r="H60" s="6">
        <v>1</v>
      </c>
      <c r="I60" s="7">
        <v>44000</v>
      </c>
      <c r="J60" s="7">
        <f t="shared" si="0"/>
        <v>44000</v>
      </c>
      <c r="K60" s="8" t="s">
        <v>17</v>
      </c>
      <c r="L60" t="str">
        <f>IFERROR(VLOOKUP(F60,MÃ!$A:$B,2,0),0)</f>
        <v>NL300025</v>
      </c>
      <c r="M60" t="str">
        <f t="shared" si="1"/>
        <v>02/01/2026NL300025</v>
      </c>
      <c r="N60" s="15">
        <f>IFERROR(VLOOKUP(M60,'WS11'!$B$2:$Q$475,11,0),0)</f>
        <v>0.7</v>
      </c>
      <c r="O60" s="17">
        <f>IFERROR(VLOOKUP(M60,'WS11'!$B$2:$Q$475,12,0),0)</f>
        <v>44000</v>
      </c>
      <c r="P60" s="17">
        <f t="shared" si="2"/>
        <v>30799.999999999996</v>
      </c>
      <c r="Q60" s="15">
        <f t="shared" si="3"/>
        <v>0.30000000000000004</v>
      </c>
      <c r="R60" s="17">
        <f t="shared" si="3"/>
        <v>0</v>
      </c>
      <c r="S60" s="13" t="s">
        <v>543</v>
      </c>
    </row>
    <row r="61" spans="1:19" x14ac:dyDescent="0.25">
      <c r="A61" s="4" t="s">
        <v>137</v>
      </c>
      <c r="B61" s="5" t="s">
        <v>125</v>
      </c>
      <c r="C61" s="4" t="s">
        <v>117</v>
      </c>
      <c r="D61" s="5" t="s">
        <v>173</v>
      </c>
      <c r="E61" s="4" t="s">
        <v>61</v>
      </c>
      <c r="F61" s="4" t="s">
        <v>62</v>
      </c>
      <c r="G61" s="4" t="s">
        <v>16</v>
      </c>
      <c r="H61" s="6">
        <v>0.5</v>
      </c>
      <c r="I61" s="7">
        <v>22000</v>
      </c>
      <c r="J61" s="7">
        <f t="shared" si="0"/>
        <v>11000</v>
      </c>
      <c r="K61" s="8" t="s">
        <v>17</v>
      </c>
      <c r="L61" t="str">
        <f>IFERROR(VLOOKUP(F61,MÃ!$A:$B,2,0),0)</f>
        <v>NL300029</v>
      </c>
      <c r="M61" t="str">
        <f t="shared" si="1"/>
        <v>02/01/2026NL300029</v>
      </c>
      <c r="N61" s="15">
        <f>IFERROR(VLOOKUP(M61,'WS11'!$B$2:$Q$475,11,0),0)</f>
        <v>0.5</v>
      </c>
      <c r="O61" s="17">
        <f>IFERROR(VLOOKUP(M61,'WS11'!$B$2:$Q$475,12,0),0)</f>
        <v>22000</v>
      </c>
      <c r="P61" s="17">
        <f t="shared" si="2"/>
        <v>11000</v>
      </c>
      <c r="Q61" s="15">
        <f t="shared" si="3"/>
        <v>0</v>
      </c>
      <c r="R61" s="17">
        <f t="shared" si="3"/>
        <v>0</v>
      </c>
      <c r="S61" s="13"/>
    </row>
    <row r="62" spans="1:19" x14ac:dyDescent="0.25">
      <c r="A62" s="4" t="s">
        <v>137</v>
      </c>
      <c r="B62" s="5" t="s">
        <v>125</v>
      </c>
      <c r="C62" s="4" t="s">
        <v>117</v>
      </c>
      <c r="D62" s="5" t="s">
        <v>173</v>
      </c>
      <c r="E62" s="4" t="s">
        <v>30</v>
      </c>
      <c r="F62" s="4" t="s">
        <v>31</v>
      </c>
      <c r="G62" s="4" t="s">
        <v>16</v>
      </c>
      <c r="H62" s="6">
        <v>1</v>
      </c>
      <c r="I62" s="7">
        <v>38000</v>
      </c>
      <c r="J62" s="7">
        <f t="shared" si="0"/>
        <v>38000</v>
      </c>
      <c r="K62" s="8" t="s">
        <v>17</v>
      </c>
      <c r="L62" t="str">
        <f>IFERROR(VLOOKUP(F62,MÃ!$A:$B,2,0),0)</f>
        <v>NL300054</v>
      </c>
      <c r="M62" t="str">
        <f t="shared" si="1"/>
        <v>02/01/2026NL300054</v>
      </c>
      <c r="N62" s="15">
        <f>IFERROR(VLOOKUP(M62,'WS11'!$B$2:$Q$475,11,0),0)</f>
        <v>0.8</v>
      </c>
      <c r="O62" s="17">
        <f>IFERROR(VLOOKUP(M62,'WS11'!$B$2:$Q$475,12,0),0)</f>
        <v>38000</v>
      </c>
      <c r="P62" s="17">
        <f t="shared" si="2"/>
        <v>30400</v>
      </c>
      <c r="Q62" s="15">
        <f t="shared" si="3"/>
        <v>0.19999999999999996</v>
      </c>
      <c r="R62" s="17">
        <f t="shared" si="3"/>
        <v>0</v>
      </c>
      <c r="S62" s="13" t="s">
        <v>543</v>
      </c>
    </row>
    <row r="63" spans="1:19" x14ac:dyDescent="0.25">
      <c r="A63" s="4" t="s">
        <v>137</v>
      </c>
      <c r="B63" s="5" t="s">
        <v>125</v>
      </c>
      <c r="C63" s="4" t="s">
        <v>117</v>
      </c>
      <c r="D63" s="5" t="s">
        <v>173</v>
      </c>
      <c r="E63" s="4" t="s">
        <v>32</v>
      </c>
      <c r="F63" s="4" t="s">
        <v>33</v>
      </c>
      <c r="G63" s="4" t="s">
        <v>16</v>
      </c>
      <c r="H63" s="6">
        <v>0.2</v>
      </c>
      <c r="I63" s="7">
        <v>25000</v>
      </c>
      <c r="J63" s="7">
        <f t="shared" si="0"/>
        <v>5000</v>
      </c>
      <c r="K63" s="8" t="s">
        <v>17</v>
      </c>
      <c r="L63" t="str">
        <f>IFERROR(VLOOKUP(F63,MÃ!$A:$B,2,0),0)</f>
        <v>NL300035</v>
      </c>
      <c r="M63" t="str">
        <f t="shared" si="1"/>
        <v>02/01/2026NL300035</v>
      </c>
      <c r="N63" s="15">
        <f>IFERROR(VLOOKUP(M63,'WS11'!$B$2:$Q$475,11,0),0)</f>
        <v>0.2</v>
      </c>
      <c r="O63" s="17">
        <f>IFERROR(VLOOKUP(M63,'WS11'!$B$2:$Q$475,12,0),0)</f>
        <v>25000</v>
      </c>
      <c r="P63" s="17">
        <f t="shared" si="2"/>
        <v>5000</v>
      </c>
      <c r="Q63" s="15">
        <f t="shared" si="3"/>
        <v>0</v>
      </c>
      <c r="R63" s="17">
        <f t="shared" si="3"/>
        <v>0</v>
      </c>
      <c r="S63" s="13"/>
    </row>
    <row r="64" spans="1:19" x14ac:dyDescent="0.25">
      <c r="A64" s="4" t="s">
        <v>137</v>
      </c>
      <c r="B64" s="5" t="s">
        <v>125</v>
      </c>
      <c r="C64" s="4" t="s">
        <v>117</v>
      </c>
      <c r="D64" s="5" t="s">
        <v>173</v>
      </c>
      <c r="E64" s="4" t="s">
        <v>95</v>
      </c>
      <c r="F64" s="4" t="s">
        <v>96</v>
      </c>
      <c r="G64" s="4" t="s">
        <v>16</v>
      </c>
      <c r="H64" s="6">
        <v>0.5</v>
      </c>
      <c r="I64" s="7">
        <v>47000</v>
      </c>
      <c r="J64" s="7">
        <f t="shared" si="0"/>
        <v>23500</v>
      </c>
      <c r="K64" s="8" t="s">
        <v>17</v>
      </c>
      <c r="L64" t="str">
        <f>IFERROR(VLOOKUP(F64,MÃ!$A:$B,2,0),0)</f>
        <v>NL300036</v>
      </c>
      <c r="M64" t="str">
        <f t="shared" si="1"/>
        <v>02/01/2026NL300036</v>
      </c>
      <c r="N64" s="15">
        <f>IFERROR(VLOOKUP(M64,'WS11'!$B$2:$Q$475,11,0),0)</f>
        <v>0.4</v>
      </c>
      <c r="O64" s="17">
        <f>IFERROR(VLOOKUP(M64,'WS11'!$B$2:$Q$475,12,0),0)</f>
        <v>47000</v>
      </c>
      <c r="P64" s="17">
        <f t="shared" si="2"/>
        <v>18800</v>
      </c>
      <c r="Q64" s="15">
        <f t="shared" si="3"/>
        <v>9.9999999999999978E-2</v>
      </c>
      <c r="R64" s="17">
        <f t="shared" si="3"/>
        <v>0</v>
      </c>
      <c r="S64" s="13" t="s">
        <v>543</v>
      </c>
    </row>
    <row r="65" spans="1:19" x14ac:dyDescent="0.25">
      <c r="A65" s="4" t="s">
        <v>137</v>
      </c>
      <c r="B65" s="5" t="s">
        <v>125</v>
      </c>
      <c r="C65" s="4" t="s">
        <v>117</v>
      </c>
      <c r="D65" s="5" t="s">
        <v>173</v>
      </c>
      <c r="E65" s="4" t="s">
        <v>34</v>
      </c>
      <c r="F65" s="4" t="s">
        <v>35</v>
      </c>
      <c r="G65" s="4" t="s">
        <v>16</v>
      </c>
      <c r="H65" s="6">
        <v>3</v>
      </c>
      <c r="I65" s="7">
        <v>32000</v>
      </c>
      <c r="J65" s="7">
        <f t="shared" si="0"/>
        <v>96000</v>
      </c>
      <c r="K65" s="8" t="s">
        <v>17</v>
      </c>
      <c r="L65" t="str">
        <f>IFERROR(VLOOKUP(F65,MÃ!$A:$B,2,0),0)</f>
        <v>NL300038</v>
      </c>
      <c r="M65" t="str">
        <f t="shared" si="1"/>
        <v>02/01/2026NL300038</v>
      </c>
      <c r="N65" s="15">
        <f>IFERROR(VLOOKUP(M65,'WS11'!$B$2:$Q$475,11,0),0)</f>
        <v>2</v>
      </c>
      <c r="O65" s="17">
        <f>IFERROR(VLOOKUP(M65,'WS11'!$B$2:$Q$475,12,0),0)</f>
        <v>32000</v>
      </c>
      <c r="P65" s="17">
        <f t="shared" si="2"/>
        <v>64000</v>
      </c>
      <c r="Q65" s="15">
        <f t="shared" si="3"/>
        <v>1</v>
      </c>
      <c r="R65" s="17">
        <f t="shared" si="3"/>
        <v>0</v>
      </c>
      <c r="S65" s="13" t="s">
        <v>543</v>
      </c>
    </row>
    <row r="66" spans="1:19" x14ac:dyDescent="0.25">
      <c r="A66" s="4" t="s">
        <v>137</v>
      </c>
      <c r="B66" s="5" t="s">
        <v>125</v>
      </c>
      <c r="C66" s="4" t="s">
        <v>117</v>
      </c>
      <c r="D66" s="5" t="s">
        <v>173</v>
      </c>
      <c r="E66" s="4" t="s">
        <v>97</v>
      </c>
      <c r="F66" s="4" t="s">
        <v>98</v>
      </c>
      <c r="G66" s="4" t="s">
        <v>99</v>
      </c>
      <c r="H66" s="6">
        <v>3</v>
      </c>
      <c r="I66" s="7">
        <v>15000</v>
      </c>
      <c r="J66" s="7">
        <f t="shared" si="0"/>
        <v>45000</v>
      </c>
      <c r="K66" s="8" t="s">
        <v>17</v>
      </c>
      <c r="L66" t="str">
        <f>IFERROR(VLOOKUP(F66,MÃ!$A:$B,2,0),0)</f>
        <v>NL300041</v>
      </c>
      <c r="M66" t="str">
        <f t="shared" si="1"/>
        <v>02/01/2026NL300041</v>
      </c>
      <c r="N66" s="15">
        <f>IFERROR(VLOOKUP(M66,'WS11'!$B$2:$Q$475,11,0),0)</f>
        <v>3</v>
      </c>
      <c r="O66" s="17">
        <f>IFERROR(VLOOKUP(M66,'WS11'!$B$2:$Q$475,12,0),0)</f>
        <v>15000</v>
      </c>
      <c r="P66" s="17">
        <f t="shared" si="2"/>
        <v>45000</v>
      </c>
      <c r="Q66" s="15">
        <f t="shared" si="3"/>
        <v>0</v>
      </c>
      <c r="R66" s="17">
        <f t="shared" si="3"/>
        <v>0</v>
      </c>
      <c r="S66" s="13"/>
    </row>
    <row r="67" spans="1:19" x14ac:dyDescent="0.25">
      <c r="A67" s="4" t="s">
        <v>137</v>
      </c>
      <c r="B67" s="5" t="s">
        <v>125</v>
      </c>
      <c r="C67" s="4" t="s">
        <v>117</v>
      </c>
      <c r="D67" s="5" t="s">
        <v>173</v>
      </c>
      <c r="E67" s="4" t="s">
        <v>36</v>
      </c>
      <c r="F67" s="4" t="s">
        <v>37</v>
      </c>
      <c r="G67" s="4" t="s">
        <v>16</v>
      </c>
      <c r="H67" s="6">
        <v>22</v>
      </c>
      <c r="I67" s="7">
        <v>18000</v>
      </c>
      <c r="J67" s="7">
        <f t="shared" si="0"/>
        <v>396000</v>
      </c>
      <c r="K67" s="8" t="s">
        <v>17</v>
      </c>
      <c r="L67" t="str">
        <f>IFERROR(VLOOKUP(F67,MÃ!$A:$B,2,0),0)</f>
        <v>NL600004</v>
      </c>
      <c r="M67" t="str">
        <f t="shared" si="1"/>
        <v>02/01/2026NL600004</v>
      </c>
      <c r="N67" s="15">
        <f>IFERROR(VLOOKUP(M67,'WS11'!$B$2:$Q$475,11,0),0)</f>
        <v>22</v>
      </c>
      <c r="O67" s="17">
        <f>IFERROR(VLOOKUP(M67,'WS11'!$B$2:$Q$475,12,0),0)</f>
        <v>18000</v>
      </c>
      <c r="P67" s="17">
        <f t="shared" si="2"/>
        <v>396000</v>
      </c>
      <c r="Q67" s="15">
        <f t="shared" si="3"/>
        <v>0</v>
      </c>
      <c r="R67" s="17">
        <f t="shared" si="3"/>
        <v>0</v>
      </c>
      <c r="S67" s="13"/>
    </row>
    <row r="68" spans="1:19" x14ac:dyDescent="0.25">
      <c r="A68" s="4" t="s">
        <v>137</v>
      </c>
      <c r="B68" s="5" t="s">
        <v>125</v>
      </c>
      <c r="C68" s="4" t="s">
        <v>117</v>
      </c>
      <c r="D68" s="5" t="s">
        <v>173</v>
      </c>
      <c r="E68" s="4" t="s">
        <v>38</v>
      </c>
      <c r="F68" s="4" t="s">
        <v>39</v>
      </c>
      <c r="G68" s="4" t="s">
        <v>16</v>
      </c>
      <c r="H68" s="6">
        <v>2</v>
      </c>
      <c r="I68" s="7">
        <v>55000</v>
      </c>
      <c r="J68" s="7">
        <f t="shared" si="0"/>
        <v>110000</v>
      </c>
      <c r="K68" s="8" t="s">
        <v>17</v>
      </c>
      <c r="L68" t="str">
        <f>IFERROR(VLOOKUP(F68,MÃ!$A:$B,2,0),0)</f>
        <v>NL300058</v>
      </c>
      <c r="M68" t="str">
        <f t="shared" si="1"/>
        <v>02/01/2026NL300058</v>
      </c>
      <c r="N68" s="15">
        <f>IFERROR(VLOOKUP(M68,'WS11'!$B$2:$Q$475,11,0),0)</f>
        <v>1</v>
      </c>
      <c r="O68" s="17">
        <f>IFERROR(VLOOKUP(M68,'WS11'!$B$2:$Q$475,12,0),0)</f>
        <v>55000</v>
      </c>
      <c r="P68" s="17">
        <f t="shared" si="2"/>
        <v>55000</v>
      </c>
      <c r="Q68" s="15">
        <f t="shared" si="3"/>
        <v>1</v>
      </c>
      <c r="R68" s="17">
        <f t="shared" si="3"/>
        <v>0</v>
      </c>
      <c r="S68" s="13" t="s">
        <v>543</v>
      </c>
    </row>
    <row r="69" spans="1:19" x14ac:dyDescent="0.25">
      <c r="A69" s="4" t="s">
        <v>137</v>
      </c>
      <c r="B69" s="5" t="s">
        <v>125</v>
      </c>
      <c r="C69" s="4" t="s">
        <v>117</v>
      </c>
      <c r="D69" s="5" t="s">
        <v>173</v>
      </c>
      <c r="E69" s="4" t="s">
        <v>14</v>
      </c>
      <c r="F69" s="4" t="s">
        <v>15</v>
      </c>
      <c r="G69" s="4" t="s">
        <v>16</v>
      </c>
      <c r="H69" s="6">
        <v>5</v>
      </c>
      <c r="I69" s="7">
        <v>27000</v>
      </c>
      <c r="J69" s="7">
        <f t="shared" si="0"/>
        <v>135000</v>
      </c>
      <c r="K69" s="8" t="s">
        <v>17</v>
      </c>
      <c r="L69" t="str">
        <f>IFERROR(VLOOKUP(F69,MÃ!$A:$B,2,0),0)</f>
        <v>NL300088</v>
      </c>
      <c r="M69" t="str">
        <f t="shared" si="1"/>
        <v>02/01/2026NL300088</v>
      </c>
      <c r="N69" s="15">
        <f>IFERROR(VLOOKUP(M69,'WS11'!$B$2:$Q$475,11,0),0)</f>
        <v>3</v>
      </c>
      <c r="O69" s="17">
        <f>IFERROR(VLOOKUP(M69,'WS11'!$B$2:$Q$475,12,0),0)</f>
        <v>27000</v>
      </c>
      <c r="P69" s="17">
        <f t="shared" si="2"/>
        <v>81000</v>
      </c>
      <c r="Q69" s="15">
        <f t="shared" si="3"/>
        <v>2</v>
      </c>
      <c r="R69" s="17">
        <f t="shared" si="3"/>
        <v>0</v>
      </c>
      <c r="S69" s="13" t="s">
        <v>543</v>
      </c>
    </row>
    <row r="70" spans="1:19" x14ac:dyDescent="0.25">
      <c r="A70" s="4" t="s">
        <v>137</v>
      </c>
      <c r="B70" s="5" t="s">
        <v>125</v>
      </c>
      <c r="C70" s="4" t="s">
        <v>117</v>
      </c>
      <c r="D70" s="5" t="s">
        <v>173</v>
      </c>
      <c r="E70" s="4" t="s">
        <v>69</v>
      </c>
      <c r="F70" s="4" t="s">
        <v>70</v>
      </c>
      <c r="G70" s="4" t="s">
        <v>16</v>
      </c>
      <c r="H70" s="6">
        <v>3</v>
      </c>
      <c r="I70" s="7">
        <v>145000</v>
      </c>
      <c r="J70" s="7">
        <f t="shared" si="0"/>
        <v>435000</v>
      </c>
      <c r="K70" s="8" t="s">
        <v>17</v>
      </c>
      <c r="L70" t="str">
        <f>IFERROR(VLOOKUP(F70,MÃ!$A:$B,2,0),0)</f>
        <v>NL300090</v>
      </c>
      <c r="M70" t="str">
        <f t="shared" si="1"/>
        <v>02/01/2026NL300090</v>
      </c>
      <c r="N70" s="15">
        <f>IFERROR(VLOOKUP(M70,'WS11'!$B$2:$Q$475,11,0),0)</f>
        <v>2</v>
      </c>
      <c r="O70" s="17">
        <f>IFERROR(VLOOKUP(M70,'WS11'!$B$2:$Q$475,12,0),0)</f>
        <v>145000</v>
      </c>
      <c r="P70" s="17">
        <f t="shared" si="2"/>
        <v>290000</v>
      </c>
      <c r="Q70" s="15">
        <f t="shared" si="3"/>
        <v>1</v>
      </c>
      <c r="R70" s="17">
        <f t="shared" si="3"/>
        <v>0</v>
      </c>
      <c r="S70" s="13" t="s">
        <v>543</v>
      </c>
    </row>
    <row r="71" spans="1:19" x14ac:dyDescent="0.25">
      <c r="A71" s="4" t="s">
        <v>137</v>
      </c>
      <c r="B71" s="5" t="s">
        <v>125</v>
      </c>
      <c r="C71" s="4" t="s">
        <v>117</v>
      </c>
      <c r="D71" s="5" t="s">
        <v>173</v>
      </c>
      <c r="E71" s="4" t="s">
        <v>71</v>
      </c>
      <c r="F71" s="4" t="s">
        <v>72</v>
      </c>
      <c r="G71" s="4" t="s">
        <v>16</v>
      </c>
      <c r="H71" s="6">
        <v>1</v>
      </c>
      <c r="I71" s="7">
        <v>47000</v>
      </c>
      <c r="J71" s="7">
        <f t="shared" si="0"/>
        <v>47000</v>
      </c>
      <c r="K71" s="8" t="s">
        <v>17</v>
      </c>
      <c r="L71" t="str">
        <f>IFERROR(VLOOKUP(F71,MÃ!$A:$B,2,0),0)</f>
        <v>NL300091</v>
      </c>
      <c r="M71" t="str">
        <f t="shared" si="1"/>
        <v>02/01/2026NL300091</v>
      </c>
      <c r="N71" s="15">
        <f>IFERROR(VLOOKUP(M71,'WS11'!$B$2:$Q$475,11,0),0)</f>
        <v>0.9</v>
      </c>
      <c r="O71" s="17">
        <f>IFERROR(VLOOKUP(M71,'WS11'!$B$2:$Q$475,12,0),0)</f>
        <v>47000</v>
      </c>
      <c r="P71" s="17">
        <f t="shared" si="2"/>
        <v>42300</v>
      </c>
      <c r="Q71" s="15">
        <f t="shared" si="3"/>
        <v>9.9999999999999978E-2</v>
      </c>
      <c r="R71" s="17">
        <f t="shared" si="3"/>
        <v>0</v>
      </c>
      <c r="S71" s="13" t="s">
        <v>543</v>
      </c>
    </row>
    <row r="72" spans="1:19" x14ac:dyDescent="0.25">
      <c r="A72" s="4" t="s">
        <v>137</v>
      </c>
      <c r="B72" s="5" t="s">
        <v>125</v>
      </c>
      <c r="C72" s="4" t="s">
        <v>117</v>
      </c>
      <c r="D72" s="5" t="s">
        <v>173</v>
      </c>
      <c r="E72" s="4" t="s">
        <v>73</v>
      </c>
      <c r="F72" s="4" t="s">
        <v>74</v>
      </c>
      <c r="G72" s="4" t="s">
        <v>16</v>
      </c>
      <c r="H72" s="6">
        <v>1.6</v>
      </c>
      <c r="I72" s="7">
        <v>90000</v>
      </c>
      <c r="J72" s="7">
        <f t="shared" si="0"/>
        <v>144000</v>
      </c>
      <c r="K72" s="8" t="s">
        <v>17</v>
      </c>
      <c r="L72" t="str">
        <f>IFERROR(VLOOKUP(F72,MÃ!$A:$B,2,0),0)</f>
        <v>NL300092</v>
      </c>
      <c r="M72" t="str">
        <f t="shared" si="1"/>
        <v>02/01/2026NL300092</v>
      </c>
      <c r="N72" s="15">
        <f>IFERROR(VLOOKUP(M72,'WS11'!$B$2:$Q$475,11,0),0)</f>
        <v>1.2</v>
      </c>
      <c r="O72" s="17">
        <f>IFERROR(VLOOKUP(M72,'WS11'!$B$2:$Q$475,12,0),0)</f>
        <v>90000</v>
      </c>
      <c r="P72" s="17">
        <f t="shared" si="2"/>
        <v>108000</v>
      </c>
      <c r="Q72" s="15">
        <f t="shared" si="3"/>
        <v>0.40000000000000013</v>
      </c>
      <c r="R72" s="17">
        <f t="shared" si="3"/>
        <v>0</v>
      </c>
      <c r="S72" s="13" t="s">
        <v>543</v>
      </c>
    </row>
    <row r="73" spans="1:19" x14ac:dyDescent="0.25">
      <c r="A73" s="4" t="s">
        <v>137</v>
      </c>
      <c r="B73" s="5" t="s">
        <v>125</v>
      </c>
      <c r="C73" s="4" t="s">
        <v>117</v>
      </c>
      <c r="D73" s="5" t="s">
        <v>173</v>
      </c>
      <c r="E73" s="4" t="s">
        <v>100</v>
      </c>
      <c r="F73" s="4" t="s">
        <v>101</v>
      </c>
      <c r="G73" s="4" t="s">
        <v>16</v>
      </c>
      <c r="H73" s="6">
        <v>1</v>
      </c>
      <c r="I73" s="7">
        <v>80000</v>
      </c>
      <c r="J73" s="7">
        <f t="shared" si="0"/>
        <v>80000</v>
      </c>
      <c r="K73" s="8" t="s">
        <v>17</v>
      </c>
      <c r="L73" t="str">
        <f>IFERROR(VLOOKUP(F73,MÃ!$A:$B,2,0),0)</f>
        <v>NL300094</v>
      </c>
      <c r="M73" t="str">
        <f t="shared" si="1"/>
        <v>02/01/2026NL300094</v>
      </c>
      <c r="N73" s="15">
        <f>IFERROR(VLOOKUP(M73,'WS11'!$B$2:$Q$475,11,0),0)</f>
        <v>0.9</v>
      </c>
      <c r="O73" s="17">
        <f>IFERROR(VLOOKUP(M73,'WS11'!$B$2:$Q$475,12,0),0)</f>
        <v>80000</v>
      </c>
      <c r="P73" s="17">
        <f t="shared" si="2"/>
        <v>72000</v>
      </c>
      <c r="Q73" s="15">
        <f t="shared" si="3"/>
        <v>9.9999999999999978E-2</v>
      </c>
      <c r="R73" s="17">
        <f t="shared" si="3"/>
        <v>0</v>
      </c>
      <c r="S73" s="13" t="s">
        <v>543</v>
      </c>
    </row>
    <row r="74" spans="1:19" x14ac:dyDescent="0.25">
      <c r="A74" s="4" t="s">
        <v>137</v>
      </c>
      <c r="B74" s="5" t="s">
        <v>125</v>
      </c>
      <c r="C74" s="4" t="s">
        <v>117</v>
      </c>
      <c r="D74" s="5" t="s">
        <v>173</v>
      </c>
      <c r="E74" s="4" t="s">
        <v>44</v>
      </c>
      <c r="F74" s="4" t="s">
        <v>45</v>
      </c>
      <c r="G74" s="4" t="s">
        <v>16</v>
      </c>
      <c r="H74" s="6">
        <v>4</v>
      </c>
      <c r="I74" s="7">
        <v>45000</v>
      </c>
      <c r="J74" s="7">
        <f t="shared" si="0"/>
        <v>180000</v>
      </c>
      <c r="K74" s="8" t="s">
        <v>17</v>
      </c>
      <c r="L74" t="str">
        <f>IFERROR(VLOOKUP(F74,MÃ!$A:$B,2,0),0)</f>
        <v>NL300096</v>
      </c>
      <c r="M74" t="str">
        <f t="shared" si="1"/>
        <v>02/01/2026NL300096</v>
      </c>
      <c r="N74" s="15">
        <f>IFERROR(VLOOKUP(M74,'WS11'!$B$2:$Q$475,11,0),0)</f>
        <v>3.7</v>
      </c>
      <c r="O74" s="17">
        <f>IFERROR(VLOOKUP(M74,'WS11'!$B$2:$Q$475,12,0),0)</f>
        <v>45000</v>
      </c>
      <c r="P74" s="17">
        <f t="shared" si="2"/>
        <v>166500</v>
      </c>
      <c r="Q74" s="15">
        <f t="shared" si="3"/>
        <v>0.29999999999999982</v>
      </c>
      <c r="R74" s="17">
        <f t="shared" si="3"/>
        <v>0</v>
      </c>
      <c r="S74" s="13" t="s">
        <v>543</v>
      </c>
    </row>
    <row r="75" spans="1:19" x14ac:dyDescent="0.25">
      <c r="A75" s="4" t="s">
        <v>137</v>
      </c>
      <c r="B75" s="5" t="s">
        <v>125</v>
      </c>
      <c r="C75" s="4" t="s">
        <v>117</v>
      </c>
      <c r="D75" s="5" t="s">
        <v>173</v>
      </c>
      <c r="E75" s="4" t="s">
        <v>75</v>
      </c>
      <c r="F75" s="4" t="s">
        <v>76</v>
      </c>
      <c r="G75" s="4" t="s">
        <v>16</v>
      </c>
      <c r="H75" s="6">
        <v>1.5</v>
      </c>
      <c r="I75" s="7">
        <v>90000</v>
      </c>
      <c r="J75" s="7">
        <f t="shared" si="0"/>
        <v>135000</v>
      </c>
      <c r="K75" s="8" t="s">
        <v>17</v>
      </c>
      <c r="L75" t="str">
        <f>IFERROR(VLOOKUP(F75,MÃ!$A:$B,2,0),0)</f>
        <v>NL300097</v>
      </c>
      <c r="M75" t="str">
        <f t="shared" si="1"/>
        <v>02/01/2026NL300097</v>
      </c>
      <c r="N75" s="15">
        <f>IFERROR(VLOOKUP(M75,'WS11'!$B$2:$Q$475,11,0),0)</f>
        <v>1.3</v>
      </c>
      <c r="O75" s="17">
        <f>IFERROR(VLOOKUP(M75,'WS11'!$B$2:$Q$475,12,0),0)</f>
        <v>90000</v>
      </c>
      <c r="P75" s="17">
        <f t="shared" si="2"/>
        <v>117000</v>
      </c>
      <c r="Q75" s="15">
        <f t="shared" si="3"/>
        <v>0.19999999999999996</v>
      </c>
      <c r="R75" s="17">
        <f t="shared" si="3"/>
        <v>0</v>
      </c>
      <c r="S75" s="13" t="s">
        <v>543</v>
      </c>
    </row>
    <row r="76" spans="1:19" x14ac:dyDescent="0.25">
      <c r="A76" s="4" t="s">
        <v>137</v>
      </c>
      <c r="B76" s="5" t="s">
        <v>125</v>
      </c>
      <c r="C76" s="4" t="s">
        <v>117</v>
      </c>
      <c r="D76" s="5" t="s">
        <v>173</v>
      </c>
      <c r="E76" s="4" t="s">
        <v>109</v>
      </c>
      <c r="F76" s="4" t="s">
        <v>110</v>
      </c>
      <c r="G76" s="4" t="s">
        <v>16</v>
      </c>
      <c r="H76" s="6">
        <v>1</v>
      </c>
      <c r="I76" s="7">
        <v>195000</v>
      </c>
      <c r="J76" s="7">
        <f t="shared" si="0"/>
        <v>195000</v>
      </c>
      <c r="K76" s="8" t="s">
        <v>17</v>
      </c>
      <c r="L76" t="str">
        <f>IFERROR(VLOOKUP(F76,MÃ!$A:$B,2,0),0)</f>
        <v>NL300101</v>
      </c>
      <c r="M76" t="str">
        <f t="shared" si="1"/>
        <v>02/01/2026NL300101</v>
      </c>
      <c r="N76" s="15">
        <f>IFERROR(VLOOKUP(M76,'WS11'!$B$2:$Q$475,11,0),0)</f>
        <v>0.8</v>
      </c>
      <c r="O76" s="17">
        <f>IFERROR(VLOOKUP(M76,'WS11'!$B$2:$Q$475,12,0),0)</f>
        <v>195000</v>
      </c>
      <c r="P76" s="17">
        <f t="shared" si="2"/>
        <v>156000</v>
      </c>
      <c r="Q76" s="15">
        <f t="shared" si="3"/>
        <v>0.19999999999999996</v>
      </c>
      <c r="R76" s="17">
        <f t="shared" si="3"/>
        <v>0</v>
      </c>
      <c r="S76" s="13" t="s">
        <v>543</v>
      </c>
    </row>
    <row r="77" spans="1:19" x14ac:dyDescent="0.25">
      <c r="A77" s="4" t="s">
        <v>137</v>
      </c>
      <c r="B77" s="5" t="s">
        <v>125</v>
      </c>
      <c r="C77" s="4" t="s">
        <v>117</v>
      </c>
      <c r="D77" s="5" t="s">
        <v>173</v>
      </c>
      <c r="E77" s="4" t="s">
        <v>77</v>
      </c>
      <c r="F77" s="4" t="s">
        <v>78</v>
      </c>
      <c r="G77" s="4" t="s">
        <v>16</v>
      </c>
      <c r="H77" s="6">
        <v>3</v>
      </c>
      <c r="I77" s="7">
        <v>45000</v>
      </c>
      <c r="J77" s="7">
        <f t="shared" si="0"/>
        <v>135000</v>
      </c>
      <c r="K77" s="8" t="s">
        <v>17</v>
      </c>
      <c r="L77" t="str">
        <f>IFERROR(VLOOKUP(F77,MÃ!$A:$B,2,0),0)</f>
        <v>NL300085</v>
      </c>
      <c r="M77" t="str">
        <f t="shared" si="1"/>
        <v>02/01/2026NL300085</v>
      </c>
      <c r="N77" s="15">
        <f>IFERROR(VLOOKUP(M77,'WS11'!$B$2:$Q$475,11,0),0)</f>
        <v>1.5</v>
      </c>
      <c r="O77" s="17">
        <f>IFERROR(VLOOKUP(M77,'WS11'!$B$2:$Q$475,12,0),0)</f>
        <v>45000</v>
      </c>
      <c r="P77" s="17">
        <f t="shared" si="2"/>
        <v>67500</v>
      </c>
      <c r="Q77" s="15">
        <f t="shared" si="3"/>
        <v>1.5</v>
      </c>
      <c r="R77" s="17">
        <f t="shared" si="3"/>
        <v>0</v>
      </c>
      <c r="S77" s="13" t="s">
        <v>543</v>
      </c>
    </row>
    <row r="78" spans="1:19" x14ac:dyDescent="0.25">
      <c r="A78" s="4" t="s">
        <v>137</v>
      </c>
      <c r="B78" s="5" t="s">
        <v>125</v>
      </c>
      <c r="C78" s="4" t="s">
        <v>117</v>
      </c>
      <c r="D78" s="5" t="s">
        <v>173</v>
      </c>
      <c r="E78" s="4" t="s">
        <v>102</v>
      </c>
      <c r="F78" s="4" t="s">
        <v>103</v>
      </c>
      <c r="G78" s="4" t="s">
        <v>16</v>
      </c>
      <c r="H78" s="6">
        <v>1</v>
      </c>
      <c r="I78" s="7">
        <v>145000</v>
      </c>
      <c r="J78" s="7">
        <f t="shared" si="0"/>
        <v>145000</v>
      </c>
      <c r="K78" s="8" t="s">
        <v>17</v>
      </c>
      <c r="L78" t="str">
        <f>IFERROR(VLOOKUP(F78,MÃ!$A:$B,2,0),0)</f>
        <v>NL300113</v>
      </c>
      <c r="M78" t="str">
        <f t="shared" si="1"/>
        <v>02/01/2026NL300113</v>
      </c>
      <c r="N78" s="15">
        <f>IFERROR(VLOOKUP(M78,'WS11'!$B$2:$Q$475,11,0),0)</f>
        <v>0.7</v>
      </c>
      <c r="O78" s="17">
        <f>IFERROR(VLOOKUP(M78,'WS11'!$B$2:$Q$475,12,0),0)</f>
        <v>145000</v>
      </c>
      <c r="P78" s="17">
        <f t="shared" si="2"/>
        <v>101500</v>
      </c>
      <c r="Q78" s="15">
        <f t="shared" si="3"/>
        <v>0.30000000000000004</v>
      </c>
      <c r="R78" s="17">
        <f t="shared" si="3"/>
        <v>0</v>
      </c>
      <c r="S78" s="13" t="s">
        <v>543</v>
      </c>
    </row>
    <row r="79" spans="1:19" x14ac:dyDescent="0.25">
      <c r="A79" s="4" t="s">
        <v>137</v>
      </c>
      <c r="B79" s="5" t="s">
        <v>125</v>
      </c>
      <c r="C79" s="4" t="s">
        <v>117</v>
      </c>
      <c r="D79" s="5" t="s">
        <v>173</v>
      </c>
      <c r="E79" s="4" t="s">
        <v>46</v>
      </c>
      <c r="F79" s="4" t="s">
        <v>47</v>
      </c>
      <c r="G79" s="4" t="s">
        <v>16</v>
      </c>
      <c r="H79" s="6">
        <v>0.5</v>
      </c>
      <c r="I79" s="7">
        <v>148000</v>
      </c>
      <c r="J79" s="7">
        <f t="shared" si="0"/>
        <v>74000</v>
      </c>
      <c r="K79" s="8" t="s">
        <v>17</v>
      </c>
      <c r="L79" t="str">
        <f>IFERROR(VLOOKUP(F79,MÃ!$A:$B,2,0),0)</f>
        <v>NL300116</v>
      </c>
      <c r="M79" t="str">
        <f t="shared" si="1"/>
        <v>02/01/2026NL300116</v>
      </c>
      <c r="N79" s="15">
        <f>IFERROR(VLOOKUP(M79,'WS11'!$B$2:$Q$475,11,0),0)</f>
        <v>0.4</v>
      </c>
      <c r="O79" s="17">
        <f>IFERROR(VLOOKUP(M79,'WS11'!$B$2:$Q$475,12,0),0)</f>
        <v>148000</v>
      </c>
      <c r="P79" s="17">
        <f t="shared" si="2"/>
        <v>59200</v>
      </c>
      <c r="Q79" s="15">
        <f t="shared" si="3"/>
        <v>9.9999999999999978E-2</v>
      </c>
      <c r="R79" s="17">
        <f t="shared" si="3"/>
        <v>0</v>
      </c>
      <c r="S79" s="13" t="s">
        <v>543</v>
      </c>
    </row>
    <row r="80" spans="1:19" x14ac:dyDescent="0.25">
      <c r="A80" s="4" t="s">
        <v>137</v>
      </c>
      <c r="B80" s="5" t="s">
        <v>125</v>
      </c>
      <c r="C80" s="4" t="s">
        <v>117</v>
      </c>
      <c r="D80" s="5" t="s">
        <v>173</v>
      </c>
      <c r="E80" s="4" t="s">
        <v>48</v>
      </c>
      <c r="F80" s="4" t="s">
        <v>49</v>
      </c>
      <c r="G80" s="4" t="s">
        <v>16</v>
      </c>
      <c r="H80" s="6">
        <v>0.5</v>
      </c>
      <c r="I80" s="7">
        <v>42000</v>
      </c>
      <c r="J80" s="7">
        <f t="shared" ref="J80:J143" si="4">H80*I80</f>
        <v>21000</v>
      </c>
      <c r="K80" s="8" t="s">
        <v>17</v>
      </c>
      <c r="L80" t="str">
        <f>IFERROR(VLOOKUP(F80,MÃ!$A:$B,2,0),0)</f>
        <v>NL300125</v>
      </c>
      <c r="M80" t="str">
        <f t="shared" ref="M80:M143" si="5">"0"&amp;DAY(A80)&amp;"/01/2026"&amp;L80</f>
        <v>02/01/2026NL300125</v>
      </c>
      <c r="N80" s="15">
        <f>IFERROR(VLOOKUP(M80,'WS11'!$B$2:$Q$475,11,0),0)</f>
        <v>0.5</v>
      </c>
      <c r="O80" s="17">
        <f>IFERROR(VLOOKUP(M80,'WS11'!$B$2:$Q$475,12,0),0)</f>
        <v>42000</v>
      </c>
      <c r="P80" s="17">
        <f t="shared" ref="P80:P143" si="6">N80*O80</f>
        <v>21000</v>
      </c>
      <c r="Q80" s="15">
        <f t="shared" ref="Q80:R143" si="7">H80-N80</f>
        <v>0</v>
      </c>
      <c r="R80" s="17">
        <f t="shared" si="7"/>
        <v>0</v>
      </c>
      <c r="S80" s="13"/>
    </row>
    <row r="81" spans="1:19" x14ac:dyDescent="0.25">
      <c r="A81" s="4" t="s">
        <v>137</v>
      </c>
      <c r="B81" s="5" t="s">
        <v>125</v>
      </c>
      <c r="C81" s="4" t="s">
        <v>117</v>
      </c>
      <c r="D81" s="5" t="s">
        <v>173</v>
      </c>
      <c r="E81" s="4" t="s">
        <v>81</v>
      </c>
      <c r="F81" s="4" t="s">
        <v>82</v>
      </c>
      <c r="G81" s="4" t="s">
        <v>16</v>
      </c>
      <c r="H81" s="6">
        <v>1</v>
      </c>
      <c r="I81" s="7">
        <v>12000</v>
      </c>
      <c r="J81" s="7">
        <f t="shared" si="4"/>
        <v>12000</v>
      </c>
      <c r="K81" s="8" t="s">
        <v>17</v>
      </c>
      <c r="L81" t="str">
        <f>IFERROR(VLOOKUP(F81,MÃ!$A:$B,2,0),0)</f>
        <v>NL300132</v>
      </c>
      <c r="M81" t="str">
        <f t="shared" si="5"/>
        <v>02/01/2026NL300132</v>
      </c>
      <c r="N81" s="15">
        <f>IFERROR(VLOOKUP(M81,'WS11'!$B$2:$Q$475,11,0),0)</f>
        <v>0.8</v>
      </c>
      <c r="O81" s="17">
        <f>IFERROR(VLOOKUP(M81,'WS11'!$B$2:$Q$475,12,0),0)</f>
        <v>12000</v>
      </c>
      <c r="P81" s="17">
        <f t="shared" si="6"/>
        <v>9600</v>
      </c>
      <c r="Q81" s="15">
        <f t="shared" si="7"/>
        <v>0.19999999999999996</v>
      </c>
      <c r="R81" s="17">
        <f t="shared" si="7"/>
        <v>0</v>
      </c>
      <c r="S81" s="13" t="s">
        <v>543</v>
      </c>
    </row>
    <row r="82" spans="1:19" x14ac:dyDescent="0.25">
      <c r="A82" s="4" t="s">
        <v>137</v>
      </c>
      <c r="B82" s="5" t="s">
        <v>125</v>
      </c>
      <c r="C82" s="4" t="s">
        <v>117</v>
      </c>
      <c r="D82" s="5" t="s">
        <v>173</v>
      </c>
      <c r="E82" s="4" t="s">
        <v>85</v>
      </c>
      <c r="F82" s="4" t="s">
        <v>86</v>
      </c>
      <c r="G82" s="4" t="s">
        <v>16</v>
      </c>
      <c r="H82" s="6">
        <v>2</v>
      </c>
      <c r="I82" s="7">
        <v>50000</v>
      </c>
      <c r="J82" s="7">
        <f t="shared" si="4"/>
        <v>100000</v>
      </c>
      <c r="K82" s="8" t="s">
        <v>17</v>
      </c>
      <c r="L82" t="str">
        <f>IFERROR(VLOOKUP(F82,MÃ!$A:$B,2,0),0)</f>
        <v>NL300142</v>
      </c>
      <c r="M82" t="str">
        <f t="shared" si="5"/>
        <v>02/01/2026NL300142</v>
      </c>
      <c r="N82" s="15">
        <f>IFERROR(VLOOKUP(M82,'WS11'!$B$2:$Q$475,11,0),0)</f>
        <v>2</v>
      </c>
      <c r="O82" s="17">
        <f>IFERROR(VLOOKUP(M82,'WS11'!$B$2:$Q$475,12,0),0)</f>
        <v>50000</v>
      </c>
      <c r="P82" s="17">
        <f t="shared" si="6"/>
        <v>100000</v>
      </c>
      <c r="Q82" s="15">
        <f t="shared" si="7"/>
        <v>0</v>
      </c>
      <c r="R82" s="17">
        <f t="shared" si="7"/>
        <v>0</v>
      </c>
      <c r="S82" s="13"/>
    </row>
    <row r="83" spans="1:19" x14ac:dyDescent="0.25">
      <c r="A83" s="4" t="s">
        <v>137</v>
      </c>
      <c r="B83" s="5" t="s">
        <v>125</v>
      </c>
      <c r="C83" s="4" t="s">
        <v>117</v>
      </c>
      <c r="D83" s="5" t="s">
        <v>173</v>
      </c>
      <c r="E83" s="4" t="s">
        <v>135</v>
      </c>
      <c r="F83" s="4" t="s">
        <v>136</v>
      </c>
      <c r="G83" s="4" t="s">
        <v>108</v>
      </c>
      <c r="H83" s="6">
        <v>20</v>
      </c>
      <c r="I83" s="7">
        <v>9000</v>
      </c>
      <c r="J83" s="7">
        <f t="shared" si="4"/>
        <v>180000</v>
      </c>
      <c r="K83" s="8" t="s">
        <v>17</v>
      </c>
      <c r="L83" t="str">
        <f>IFERROR(VLOOKUP(F83,MÃ!$A:$B,2,0),0)</f>
        <v>NL100279</v>
      </c>
      <c r="M83" t="str">
        <f t="shared" si="5"/>
        <v>02/01/2026NL100279</v>
      </c>
      <c r="N83" s="15">
        <f>IFERROR(VLOOKUP(M83,'WS11'!$B$2:$Q$475,11,0),0)</f>
        <v>20</v>
      </c>
      <c r="O83" s="17">
        <f>IFERROR(VLOOKUP(M83,'WS11'!$B$2:$Q$475,12,0),0)</f>
        <v>9000</v>
      </c>
      <c r="P83" s="17">
        <f t="shared" si="6"/>
        <v>180000</v>
      </c>
      <c r="Q83" s="15">
        <f t="shared" si="7"/>
        <v>0</v>
      </c>
      <c r="R83" s="17">
        <f t="shared" si="7"/>
        <v>0</v>
      </c>
      <c r="S83" s="13"/>
    </row>
    <row r="84" spans="1:19" x14ac:dyDescent="0.25">
      <c r="A84" s="4" t="s">
        <v>137</v>
      </c>
      <c r="B84" s="5" t="s">
        <v>125</v>
      </c>
      <c r="C84" s="4" t="s">
        <v>117</v>
      </c>
      <c r="D84" s="5" t="s">
        <v>173</v>
      </c>
      <c r="E84" s="4" t="s">
        <v>106</v>
      </c>
      <c r="F84" s="4" t="s">
        <v>107</v>
      </c>
      <c r="G84" s="4" t="s">
        <v>108</v>
      </c>
      <c r="H84" s="6">
        <v>100</v>
      </c>
      <c r="I84" s="7">
        <v>5000</v>
      </c>
      <c r="J84" s="7">
        <f t="shared" si="4"/>
        <v>500000</v>
      </c>
      <c r="K84" s="8" t="s">
        <v>17</v>
      </c>
      <c r="L84" t="str">
        <f>IFERROR(VLOOKUP(F84,MÃ!$A:$B,2,0),0)</f>
        <v>NL100101</v>
      </c>
      <c r="M84" t="str">
        <f t="shared" si="5"/>
        <v>02/01/2026NL100101</v>
      </c>
      <c r="N84" s="15"/>
      <c r="O84" s="17">
        <f>IFERROR(VLOOKUP(M84,'WS11'!$B$2:$Q$475,12,0),0)</f>
        <v>5000</v>
      </c>
      <c r="P84" s="17">
        <f t="shared" si="6"/>
        <v>0</v>
      </c>
      <c r="Q84" s="15">
        <f t="shared" si="7"/>
        <v>100</v>
      </c>
      <c r="R84" s="17">
        <f t="shared" si="7"/>
        <v>0</v>
      </c>
      <c r="S84" s="13" t="s">
        <v>540</v>
      </c>
    </row>
    <row r="85" spans="1:19" x14ac:dyDescent="0.25">
      <c r="A85" s="4" t="s">
        <v>137</v>
      </c>
      <c r="B85" s="5" t="s">
        <v>125</v>
      </c>
      <c r="C85" s="4" t="s">
        <v>117</v>
      </c>
      <c r="D85" s="5" t="s">
        <v>173</v>
      </c>
      <c r="E85" s="4" t="s">
        <v>54</v>
      </c>
      <c r="F85" s="4" t="s">
        <v>55</v>
      </c>
      <c r="G85" s="4" t="s">
        <v>16</v>
      </c>
      <c r="H85" s="6">
        <v>5</v>
      </c>
      <c r="I85" s="7">
        <v>62000</v>
      </c>
      <c r="J85" s="7">
        <f t="shared" si="4"/>
        <v>310000</v>
      </c>
      <c r="K85" s="8" t="s">
        <v>17</v>
      </c>
      <c r="L85" t="str">
        <f>IFERROR(VLOOKUP(F85,MÃ!$A:$B,2,0),0)</f>
        <v>NL300147</v>
      </c>
      <c r="M85" t="str">
        <f t="shared" si="5"/>
        <v>02/01/2026NL300147</v>
      </c>
      <c r="N85" s="15">
        <f>IFERROR(VLOOKUP(M85,'WS11'!$B$2:$Q$475,11,0),0)</f>
        <v>3</v>
      </c>
      <c r="O85" s="17">
        <f>IFERROR(VLOOKUP(M85,'WS11'!$B$2:$Q$475,12,0),0)</f>
        <v>62000</v>
      </c>
      <c r="P85" s="17">
        <f t="shared" si="6"/>
        <v>186000</v>
      </c>
      <c r="Q85" s="15">
        <f t="shared" si="7"/>
        <v>2</v>
      </c>
      <c r="R85" s="17">
        <f t="shared" si="7"/>
        <v>0</v>
      </c>
      <c r="S85" s="13" t="s">
        <v>543</v>
      </c>
    </row>
    <row r="86" spans="1:19" x14ac:dyDescent="0.25">
      <c r="A86" s="4" t="s">
        <v>137</v>
      </c>
      <c r="B86" s="5" t="s">
        <v>125</v>
      </c>
      <c r="C86" s="4" t="s">
        <v>117</v>
      </c>
      <c r="D86" s="5" t="s">
        <v>174</v>
      </c>
      <c r="E86" s="4" t="s">
        <v>106</v>
      </c>
      <c r="F86" s="4" t="s">
        <v>107</v>
      </c>
      <c r="G86" s="4" t="s">
        <v>108</v>
      </c>
      <c r="H86" s="6">
        <v>100</v>
      </c>
      <c r="I86" s="7">
        <v>5000</v>
      </c>
      <c r="J86" s="7">
        <f t="shared" si="4"/>
        <v>500000</v>
      </c>
      <c r="K86" s="8" t="s">
        <v>17</v>
      </c>
      <c r="L86" t="str">
        <f>IFERROR(VLOOKUP(F86,MÃ!$A:$B,2,0),0)</f>
        <v>NL100101</v>
      </c>
      <c r="M86" t="str">
        <f t="shared" si="5"/>
        <v>02/01/2026NL100101</v>
      </c>
      <c r="N86" s="15">
        <f>IFERROR(VLOOKUP(M86,'WS11'!$B$2:$Q$475,11,0),0)</f>
        <v>80</v>
      </c>
      <c r="O86" s="17">
        <f>IFERROR(VLOOKUP(M86,'WS11'!$B$2:$Q$475,12,0),0)</f>
        <v>5000</v>
      </c>
      <c r="P86" s="17">
        <f t="shared" si="6"/>
        <v>400000</v>
      </c>
      <c r="Q86" s="15">
        <f t="shared" si="7"/>
        <v>20</v>
      </c>
      <c r="R86" s="17">
        <f t="shared" si="7"/>
        <v>0</v>
      </c>
      <c r="S86" s="13" t="s">
        <v>543</v>
      </c>
    </row>
    <row r="87" spans="1:19" x14ac:dyDescent="0.25">
      <c r="A87" s="4" t="s">
        <v>140</v>
      </c>
      <c r="B87" s="5" t="s">
        <v>125</v>
      </c>
      <c r="C87" s="4" t="s">
        <v>117</v>
      </c>
      <c r="D87" s="5" t="s">
        <v>175</v>
      </c>
      <c r="E87" s="4" t="s">
        <v>18</v>
      </c>
      <c r="F87" s="4" t="s">
        <v>19</v>
      </c>
      <c r="G87" s="4" t="s">
        <v>16</v>
      </c>
      <c r="H87" s="6">
        <v>2</v>
      </c>
      <c r="I87" s="7">
        <v>15000</v>
      </c>
      <c r="J87" s="7">
        <f t="shared" si="4"/>
        <v>30000</v>
      </c>
      <c r="K87" s="8" t="s">
        <v>17</v>
      </c>
      <c r="L87" t="str">
        <f>IFERROR(VLOOKUP(F87,MÃ!$A:$B,2,0),0)</f>
        <v>NL300189</v>
      </c>
      <c r="M87" t="str">
        <f t="shared" si="5"/>
        <v>03/01/2026NL300189</v>
      </c>
      <c r="N87" s="15">
        <f>IFERROR(VLOOKUP(M87,'WS11'!$B$2:$Q$475,11,0),0)</f>
        <v>1</v>
      </c>
      <c r="O87" s="17">
        <f>IFERROR(VLOOKUP(M87,'WS11'!$B$2:$Q$475,12,0),0)</f>
        <v>15000</v>
      </c>
      <c r="P87" s="17">
        <f t="shared" si="6"/>
        <v>15000</v>
      </c>
      <c r="Q87" s="15">
        <f t="shared" si="7"/>
        <v>1</v>
      </c>
      <c r="R87" s="17">
        <f t="shared" si="7"/>
        <v>0</v>
      </c>
      <c r="S87" s="13" t="s">
        <v>543</v>
      </c>
    </row>
    <row r="88" spans="1:19" x14ac:dyDescent="0.25">
      <c r="A88" s="4" t="s">
        <v>140</v>
      </c>
      <c r="B88" s="5" t="s">
        <v>125</v>
      </c>
      <c r="C88" s="4" t="s">
        <v>117</v>
      </c>
      <c r="D88" s="5" t="s">
        <v>175</v>
      </c>
      <c r="E88" s="4" t="s">
        <v>56</v>
      </c>
      <c r="F88" s="4" t="s">
        <v>57</v>
      </c>
      <c r="G88" s="4" t="s">
        <v>58</v>
      </c>
      <c r="H88" s="6">
        <v>15</v>
      </c>
      <c r="I88" s="7">
        <v>8500</v>
      </c>
      <c r="J88" s="7">
        <f t="shared" si="4"/>
        <v>127500</v>
      </c>
      <c r="K88" s="8" t="s">
        <v>17</v>
      </c>
      <c r="L88" t="str">
        <f>IFERROR(VLOOKUP(F88,MÃ!$A:$B,2,0),0)</f>
        <v>NL300107</v>
      </c>
      <c r="M88" t="str">
        <f t="shared" si="5"/>
        <v>03/01/2026NL300107</v>
      </c>
      <c r="N88" s="15">
        <f>IFERROR(VLOOKUP(M88,'WS11'!$B$2:$Q$475,11,0),0)</f>
        <v>12</v>
      </c>
      <c r="O88" s="17">
        <f>IFERROR(VLOOKUP(M88,'WS11'!$B$2:$Q$475,12,0),0)</f>
        <v>8500</v>
      </c>
      <c r="P88" s="17">
        <f t="shared" si="6"/>
        <v>102000</v>
      </c>
      <c r="Q88" s="15">
        <f t="shared" si="7"/>
        <v>3</v>
      </c>
      <c r="R88" s="17">
        <f t="shared" si="7"/>
        <v>0</v>
      </c>
      <c r="S88" s="13" t="s">
        <v>543</v>
      </c>
    </row>
    <row r="89" spans="1:19" x14ac:dyDescent="0.25">
      <c r="A89" s="4" t="s">
        <v>140</v>
      </c>
      <c r="B89" s="5" t="s">
        <v>125</v>
      </c>
      <c r="C89" s="4" t="s">
        <v>117</v>
      </c>
      <c r="D89" s="5" t="s">
        <v>175</v>
      </c>
      <c r="E89" s="4" t="s">
        <v>22</v>
      </c>
      <c r="F89" s="4" t="s">
        <v>23</v>
      </c>
      <c r="G89" s="4" t="s">
        <v>16</v>
      </c>
      <c r="H89" s="6">
        <v>3</v>
      </c>
      <c r="I89" s="7">
        <v>30000</v>
      </c>
      <c r="J89" s="7">
        <f t="shared" si="4"/>
        <v>90000</v>
      </c>
      <c r="K89" s="8" t="s">
        <v>17</v>
      </c>
      <c r="L89" t="str">
        <f>IFERROR(VLOOKUP(F89,MÃ!$A:$B,2,0),0)</f>
        <v>NL300007</v>
      </c>
      <c r="M89" t="str">
        <f t="shared" si="5"/>
        <v>03/01/2026NL300007</v>
      </c>
      <c r="N89" s="15">
        <f>IFERROR(VLOOKUP(M89,'WS11'!$B$2:$Q$475,11,0),0)</f>
        <v>3</v>
      </c>
      <c r="O89" s="17">
        <f>IFERROR(VLOOKUP(M89,'WS11'!$B$2:$Q$475,12,0),0)</f>
        <v>30000</v>
      </c>
      <c r="P89" s="17">
        <f t="shared" si="6"/>
        <v>90000</v>
      </c>
      <c r="Q89" s="15">
        <f t="shared" si="7"/>
        <v>0</v>
      </c>
      <c r="R89" s="17">
        <f t="shared" si="7"/>
        <v>0</v>
      </c>
      <c r="S89" s="13"/>
    </row>
    <row r="90" spans="1:19" x14ac:dyDescent="0.25">
      <c r="A90" s="4" t="s">
        <v>140</v>
      </c>
      <c r="B90" s="5" t="s">
        <v>125</v>
      </c>
      <c r="C90" s="4" t="s">
        <v>117</v>
      </c>
      <c r="D90" s="5" t="s">
        <v>175</v>
      </c>
      <c r="E90" s="4" t="s">
        <v>24</v>
      </c>
      <c r="F90" s="4" t="s">
        <v>25</v>
      </c>
      <c r="G90" s="4" t="s">
        <v>16</v>
      </c>
      <c r="H90" s="6">
        <v>20</v>
      </c>
      <c r="I90" s="7">
        <v>40000</v>
      </c>
      <c r="J90" s="7">
        <f t="shared" si="4"/>
        <v>800000</v>
      </c>
      <c r="K90" s="8" t="s">
        <v>17</v>
      </c>
      <c r="L90" t="str">
        <f>IFERROR(VLOOKUP(F90,MÃ!$A:$B,2,0),0)</f>
        <v>NL300008</v>
      </c>
      <c r="M90" t="str">
        <f t="shared" si="5"/>
        <v>03/01/2026NL300008</v>
      </c>
      <c r="N90" s="15">
        <f>IFERROR(VLOOKUP(M90,'WS11'!$B$2:$Q$475,11,0),0)</f>
        <v>15</v>
      </c>
      <c r="O90" s="17">
        <f>IFERROR(VLOOKUP(M90,'WS11'!$B$2:$Q$475,12,0),0)</f>
        <v>40000</v>
      </c>
      <c r="P90" s="17">
        <f t="shared" si="6"/>
        <v>600000</v>
      </c>
      <c r="Q90" s="15">
        <f t="shared" si="7"/>
        <v>5</v>
      </c>
      <c r="R90" s="17">
        <f t="shared" si="7"/>
        <v>0</v>
      </c>
      <c r="S90" s="13" t="s">
        <v>543</v>
      </c>
    </row>
    <row r="91" spans="1:19" x14ac:dyDescent="0.25">
      <c r="A91" s="4" t="s">
        <v>140</v>
      </c>
      <c r="B91" s="5" t="s">
        <v>125</v>
      </c>
      <c r="C91" s="4" t="s">
        <v>117</v>
      </c>
      <c r="D91" s="5" t="s">
        <v>175</v>
      </c>
      <c r="E91" s="4" t="s">
        <v>126</v>
      </c>
      <c r="F91" s="4" t="s">
        <v>127</v>
      </c>
      <c r="G91" s="4" t="s">
        <v>16</v>
      </c>
      <c r="H91" s="6">
        <v>4</v>
      </c>
      <c r="I91" s="7">
        <v>52000</v>
      </c>
      <c r="J91" s="7">
        <f t="shared" si="4"/>
        <v>208000</v>
      </c>
      <c r="K91" s="8" t="s">
        <v>17</v>
      </c>
      <c r="L91" t="str">
        <f>IFERROR(VLOOKUP(F91,MÃ!$A:$B,2,0),0)</f>
        <v>NL300137</v>
      </c>
      <c r="M91" t="str">
        <f t="shared" si="5"/>
        <v>03/01/2026NL300137</v>
      </c>
      <c r="N91" s="15">
        <f>IFERROR(VLOOKUP(M91,'WS11'!$B$2:$Q$475,11,0),0)</f>
        <v>3</v>
      </c>
      <c r="O91" s="17">
        <f>IFERROR(VLOOKUP(M91,'WS11'!$B$2:$Q$475,12,0),0)</f>
        <v>52000</v>
      </c>
      <c r="P91" s="17">
        <f t="shared" si="6"/>
        <v>156000</v>
      </c>
      <c r="Q91" s="15">
        <f t="shared" si="7"/>
        <v>1</v>
      </c>
      <c r="R91" s="17">
        <f t="shared" si="7"/>
        <v>0</v>
      </c>
      <c r="S91" s="13" t="s">
        <v>543</v>
      </c>
    </row>
    <row r="92" spans="1:19" x14ac:dyDescent="0.25">
      <c r="A92" s="4" t="s">
        <v>140</v>
      </c>
      <c r="B92" s="5" t="s">
        <v>125</v>
      </c>
      <c r="C92" s="4" t="s">
        <v>117</v>
      </c>
      <c r="D92" s="5" t="s">
        <v>175</v>
      </c>
      <c r="E92" s="4" t="s">
        <v>26</v>
      </c>
      <c r="F92" s="4" t="s">
        <v>27</v>
      </c>
      <c r="G92" s="4" t="s">
        <v>16</v>
      </c>
      <c r="H92" s="6">
        <v>0.5</v>
      </c>
      <c r="I92" s="7">
        <v>75000</v>
      </c>
      <c r="J92" s="7">
        <f t="shared" si="4"/>
        <v>37500</v>
      </c>
      <c r="K92" s="8" t="s">
        <v>17</v>
      </c>
      <c r="L92" t="str">
        <f>IFERROR(VLOOKUP(F92,MÃ!$A:$B,2,0),0)</f>
        <v>NL300028</v>
      </c>
      <c r="M92" t="str">
        <f t="shared" si="5"/>
        <v>03/01/2026NL300028</v>
      </c>
      <c r="N92" s="15">
        <f>IFERROR(VLOOKUP(M92,'WS11'!$B$2:$Q$475,11,0),0)</f>
        <v>0.4</v>
      </c>
      <c r="O92" s="17">
        <f>IFERROR(VLOOKUP(M92,'WS11'!$B$2:$Q$475,12,0),0)</f>
        <v>75000</v>
      </c>
      <c r="P92" s="17">
        <f t="shared" si="6"/>
        <v>30000</v>
      </c>
      <c r="Q92" s="15">
        <f t="shared" si="7"/>
        <v>9.9999999999999978E-2</v>
      </c>
      <c r="R92" s="17">
        <f t="shared" si="7"/>
        <v>0</v>
      </c>
      <c r="S92" s="13" t="s">
        <v>543</v>
      </c>
    </row>
    <row r="93" spans="1:19" x14ac:dyDescent="0.25">
      <c r="A93" s="4" t="s">
        <v>140</v>
      </c>
      <c r="B93" s="5" t="s">
        <v>125</v>
      </c>
      <c r="C93" s="4" t="s">
        <v>117</v>
      </c>
      <c r="D93" s="5" t="s">
        <v>175</v>
      </c>
      <c r="E93" s="4" t="s">
        <v>28</v>
      </c>
      <c r="F93" s="4" t="s">
        <v>29</v>
      </c>
      <c r="G93" s="4" t="s">
        <v>16</v>
      </c>
      <c r="H93" s="6">
        <v>2.4</v>
      </c>
      <c r="I93" s="7">
        <v>30000</v>
      </c>
      <c r="J93" s="7">
        <f t="shared" si="4"/>
        <v>72000</v>
      </c>
      <c r="K93" s="8" t="s">
        <v>17</v>
      </c>
      <c r="L93" t="str">
        <f>IFERROR(VLOOKUP(F93,MÃ!$A:$B,2,0),0)</f>
        <v>NL300020</v>
      </c>
      <c r="M93" t="str">
        <f t="shared" si="5"/>
        <v>03/01/2026NL300020</v>
      </c>
      <c r="N93" s="15">
        <f>IFERROR(VLOOKUP(M93,'WS11'!$B$2:$Q$475,11,0),0)</f>
        <v>1</v>
      </c>
      <c r="O93" s="17">
        <f>IFERROR(VLOOKUP(M93,'WS11'!$B$2:$Q$475,12,0),0)</f>
        <v>30000</v>
      </c>
      <c r="P93" s="17">
        <f t="shared" si="6"/>
        <v>30000</v>
      </c>
      <c r="Q93" s="15">
        <f t="shared" si="7"/>
        <v>1.4</v>
      </c>
      <c r="R93" s="17">
        <f t="shared" si="7"/>
        <v>0</v>
      </c>
      <c r="S93" s="13" t="s">
        <v>543</v>
      </c>
    </row>
    <row r="94" spans="1:19" x14ac:dyDescent="0.25">
      <c r="A94" s="4" t="s">
        <v>140</v>
      </c>
      <c r="B94" s="5" t="s">
        <v>125</v>
      </c>
      <c r="C94" s="4" t="s">
        <v>117</v>
      </c>
      <c r="D94" s="5" t="s">
        <v>175</v>
      </c>
      <c r="E94" s="4" t="s">
        <v>59</v>
      </c>
      <c r="F94" s="4" t="s">
        <v>60</v>
      </c>
      <c r="G94" s="4" t="s">
        <v>16</v>
      </c>
      <c r="H94" s="6">
        <v>0.7</v>
      </c>
      <c r="I94" s="7">
        <v>75000</v>
      </c>
      <c r="J94" s="7">
        <f t="shared" si="4"/>
        <v>52500</v>
      </c>
      <c r="K94" s="8" t="s">
        <v>17</v>
      </c>
      <c r="L94" t="str">
        <f>IFERROR(VLOOKUP(F94,MÃ!$A:$B,2,0),0)</f>
        <v>NL600067</v>
      </c>
      <c r="M94" t="str">
        <f t="shared" si="5"/>
        <v>03/01/2026NL600067</v>
      </c>
      <c r="N94" s="15">
        <f>IFERROR(VLOOKUP(M94,'WS11'!$B$2:$Q$475,11,0),0)</f>
        <v>0.7</v>
      </c>
      <c r="O94" s="17">
        <f>IFERROR(VLOOKUP(M94,'WS11'!$B$2:$Q$475,12,0),0)</f>
        <v>75000</v>
      </c>
      <c r="P94" s="17">
        <f t="shared" si="6"/>
        <v>52500</v>
      </c>
      <c r="Q94" s="15">
        <f t="shared" si="7"/>
        <v>0</v>
      </c>
      <c r="R94" s="17">
        <f t="shared" si="7"/>
        <v>0</v>
      </c>
      <c r="S94" s="13"/>
    </row>
    <row r="95" spans="1:19" x14ac:dyDescent="0.25">
      <c r="A95" s="4" t="s">
        <v>140</v>
      </c>
      <c r="B95" s="5" t="s">
        <v>125</v>
      </c>
      <c r="C95" s="4" t="s">
        <v>117</v>
      </c>
      <c r="D95" s="5" t="s">
        <v>175</v>
      </c>
      <c r="E95" s="4" t="s">
        <v>91</v>
      </c>
      <c r="F95" s="4" t="s">
        <v>92</v>
      </c>
      <c r="G95" s="4" t="s">
        <v>16</v>
      </c>
      <c r="H95" s="6">
        <v>0.5</v>
      </c>
      <c r="I95" s="7">
        <v>34000</v>
      </c>
      <c r="J95" s="7">
        <f t="shared" si="4"/>
        <v>17000</v>
      </c>
      <c r="K95" s="8" t="s">
        <v>17</v>
      </c>
      <c r="L95" t="str">
        <f>IFERROR(VLOOKUP(F95,MÃ!$A:$B,2,0),0)</f>
        <v>NL300030</v>
      </c>
      <c r="M95" t="str">
        <f t="shared" si="5"/>
        <v>03/01/2026NL300030</v>
      </c>
      <c r="N95" s="15">
        <f>IFERROR(VLOOKUP(M95,'WS11'!$B$2:$Q$475,11,0),0)</f>
        <v>0.5</v>
      </c>
      <c r="O95" s="17">
        <f>IFERROR(VLOOKUP(M95,'WS11'!$B$2:$Q$475,12,0),0)</f>
        <v>34000</v>
      </c>
      <c r="P95" s="17">
        <f t="shared" si="6"/>
        <v>17000</v>
      </c>
      <c r="Q95" s="15">
        <f t="shared" si="7"/>
        <v>0</v>
      </c>
      <c r="R95" s="17">
        <f t="shared" si="7"/>
        <v>0</v>
      </c>
      <c r="S95" s="13"/>
    </row>
    <row r="96" spans="1:19" x14ac:dyDescent="0.25">
      <c r="A96" s="4" t="s">
        <v>140</v>
      </c>
      <c r="B96" s="5" t="s">
        <v>125</v>
      </c>
      <c r="C96" s="4" t="s">
        <v>117</v>
      </c>
      <c r="D96" s="5" t="s">
        <v>175</v>
      </c>
      <c r="E96" s="4" t="s">
        <v>61</v>
      </c>
      <c r="F96" s="4" t="s">
        <v>62</v>
      </c>
      <c r="G96" s="4" t="s">
        <v>16</v>
      </c>
      <c r="H96" s="6">
        <v>0.5</v>
      </c>
      <c r="I96" s="7">
        <v>22000</v>
      </c>
      <c r="J96" s="7">
        <f t="shared" si="4"/>
        <v>11000</v>
      </c>
      <c r="K96" s="8" t="s">
        <v>17</v>
      </c>
      <c r="L96" t="str">
        <f>IFERROR(VLOOKUP(F96,MÃ!$A:$B,2,0),0)</f>
        <v>NL300029</v>
      </c>
      <c r="M96" t="str">
        <f t="shared" si="5"/>
        <v>03/01/2026NL300029</v>
      </c>
      <c r="N96" s="15">
        <f>IFERROR(VLOOKUP(M96,'WS11'!$B$2:$Q$475,11,0),0)</f>
        <v>0.5</v>
      </c>
      <c r="O96" s="17">
        <f>IFERROR(VLOOKUP(M96,'WS11'!$B$2:$Q$475,12,0),0)</f>
        <v>22000</v>
      </c>
      <c r="P96" s="17">
        <f t="shared" si="6"/>
        <v>11000</v>
      </c>
      <c r="Q96" s="15">
        <f t="shared" si="7"/>
        <v>0</v>
      </c>
      <c r="R96" s="17">
        <f t="shared" si="7"/>
        <v>0</v>
      </c>
      <c r="S96" s="13"/>
    </row>
    <row r="97" spans="1:19" x14ac:dyDescent="0.25">
      <c r="A97" s="4" t="s">
        <v>140</v>
      </c>
      <c r="B97" s="5" t="s">
        <v>125</v>
      </c>
      <c r="C97" s="4" t="s">
        <v>117</v>
      </c>
      <c r="D97" s="5" t="s">
        <v>175</v>
      </c>
      <c r="E97" s="4" t="s">
        <v>30</v>
      </c>
      <c r="F97" s="4" t="s">
        <v>31</v>
      </c>
      <c r="G97" s="4" t="s">
        <v>16</v>
      </c>
      <c r="H97" s="6">
        <v>2.1</v>
      </c>
      <c r="I97" s="7">
        <v>38000</v>
      </c>
      <c r="J97" s="7">
        <f t="shared" si="4"/>
        <v>79800</v>
      </c>
      <c r="K97" s="8" t="s">
        <v>17</v>
      </c>
      <c r="L97" t="str">
        <f>IFERROR(VLOOKUP(F97,MÃ!$A:$B,2,0),0)</f>
        <v>NL300054</v>
      </c>
      <c r="M97" t="str">
        <f t="shared" si="5"/>
        <v>03/01/2026NL300054</v>
      </c>
      <c r="N97" s="15">
        <f>IFERROR(VLOOKUP(M97,'WS11'!$B$2:$Q$475,11,0),0)</f>
        <v>1.8</v>
      </c>
      <c r="O97" s="17">
        <f>IFERROR(VLOOKUP(M97,'WS11'!$B$2:$Q$475,12,0),0)</f>
        <v>38000</v>
      </c>
      <c r="P97" s="17">
        <f t="shared" si="6"/>
        <v>68400</v>
      </c>
      <c r="Q97" s="15">
        <f t="shared" si="7"/>
        <v>0.30000000000000004</v>
      </c>
      <c r="R97" s="17">
        <f t="shared" si="7"/>
        <v>0</v>
      </c>
      <c r="S97" s="13" t="s">
        <v>543</v>
      </c>
    </row>
    <row r="98" spans="1:19" x14ac:dyDescent="0.25">
      <c r="A98" s="4" t="s">
        <v>140</v>
      </c>
      <c r="B98" s="5" t="s">
        <v>125</v>
      </c>
      <c r="C98" s="4" t="s">
        <v>117</v>
      </c>
      <c r="D98" s="5" t="s">
        <v>175</v>
      </c>
      <c r="E98" s="4" t="s">
        <v>95</v>
      </c>
      <c r="F98" s="4" t="s">
        <v>96</v>
      </c>
      <c r="G98" s="4" t="s">
        <v>16</v>
      </c>
      <c r="H98" s="6">
        <v>1.4</v>
      </c>
      <c r="I98" s="7">
        <v>47000</v>
      </c>
      <c r="J98" s="7">
        <f t="shared" si="4"/>
        <v>65800</v>
      </c>
      <c r="K98" s="8" t="s">
        <v>17</v>
      </c>
      <c r="L98" t="str">
        <f>IFERROR(VLOOKUP(F98,MÃ!$A:$B,2,0),0)</f>
        <v>NL300036</v>
      </c>
      <c r="M98" t="str">
        <f t="shared" si="5"/>
        <v>03/01/2026NL300036</v>
      </c>
      <c r="N98" s="15">
        <f>IFERROR(VLOOKUP(M98,'WS11'!$B$2:$Q$475,11,0),0)</f>
        <v>1.2</v>
      </c>
      <c r="O98" s="17">
        <f>IFERROR(VLOOKUP(M98,'WS11'!$B$2:$Q$475,12,0),0)</f>
        <v>47000</v>
      </c>
      <c r="P98" s="17">
        <f t="shared" si="6"/>
        <v>56400</v>
      </c>
      <c r="Q98" s="15">
        <f t="shared" si="7"/>
        <v>0.19999999999999996</v>
      </c>
      <c r="R98" s="17">
        <f t="shared" si="7"/>
        <v>0</v>
      </c>
      <c r="S98" s="13" t="s">
        <v>543</v>
      </c>
    </row>
    <row r="99" spans="1:19" x14ac:dyDescent="0.25">
      <c r="A99" s="4" t="s">
        <v>140</v>
      </c>
      <c r="B99" s="5" t="s">
        <v>125</v>
      </c>
      <c r="C99" s="4" t="s">
        <v>117</v>
      </c>
      <c r="D99" s="5" t="s">
        <v>175</v>
      </c>
      <c r="E99" s="4" t="s">
        <v>34</v>
      </c>
      <c r="F99" s="4" t="s">
        <v>35</v>
      </c>
      <c r="G99" s="4" t="s">
        <v>16</v>
      </c>
      <c r="H99" s="6">
        <v>3</v>
      </c>
      <c r="I99" s="7">
        <v>32000</v>
      </c>
      <c r="J99" s="7">
        <f t="shared" si="4"/>
        <v>96000</v>
      </c>
      <c r="K99" s="8" t="s">
        <v>17</v>
      </c>
      <c r="L99" t="str">
        <f>IFERROR(VLOOKUP(F99,MÃ!$A:$B,2,0),0)</f>
        <v>NL300038</v>
      </c>
      <c r="M99" t="str">
        <f t="shared" si="5"/>
        <v>03/01/2026NL300038</v>
      </c>
      <c r="N99" s="15">
        <f>IFERROR(VLOOKUP(M99,'WS11'!$B$2:$Q$475,11,0),0)</f>
        <v>2.5</v>
      </c>
      <c r="O99" s="17">
        <f>IFERROR(VLOOKUP(M99,'WS11'!$B$2:$Q$475,12,0),0)</f>
        <v>32000</v>
      </c>
      <c r="P99" s="17">
        <f t="shared" si="6"/>
        <v>80000</v>
      </c>
      <c r="Q99" s="15">
        <f t="shared" si="7"/>
        <v>0.5</v>
      </c>
      <c r="R99" s="17">
        <f t="shared" si="7"/>
        <v>0</v>
      </c>
      <c r="S99" s="13" t="s">
        <v>543</v>
      </c>
    </row>
    <row r="100" spans="1:19" x14ac:dyDescent="0.25">
      <c r="A100" s="4" t="s">
        <v>140</v>
      </c>
      <c r="B100" s="5" t="s">
        <v>125</v>
      </c>
      <c r="C100" s="4" t="s">
        <v>117</v>
      </c>
      <c r="D100" s="5" t="s">
        <v>175</v>
      </c>
      <c r="E100" s="4" t="s">
        <v>97</v>
      </c>
      <c r="F100" s="4" t="s">
        <v>98</v>
      </c>
      <c r="G100" s="4" t="s">
        <v>99</v>
      </c>
      <c r="H100" s="6">
        <v>6</v>
      </c>
      <c r="I100" s="7">
        <v>15000</v>
      </c>
      <c r="J100" s="7">
        <f t="shared" si="4"/>
        <v>90000</v>
      </c>
      <c r="K100" s="8" t="s">
        <v>17</v>
      </c>
      <c r="L100" t="str">
        <f>IFERROR(VLOOKUP(F100,MÃ!$A:$B,2,0),0)</f>
        <v>NL300041</v>
      </c>
      <c r="M100" t="str">
        <f t="shared" si="5"/>
        <v>03/01/2026NL300041</v>
      </c>
      <c r="N100" s="15">
        <f>IFERROR(VLOOKUP(M100,'WS11'!$B$2:$Q$475,11,0),0)</f>
        <v>6</v>
      </c>
      <c r="O100" s="17">
        <f>IFERROR(VLOOKUP(M100,'WS11'!$B$2:$Q$475,12,0),0)</f>
        <v>15000</v>
      </c>
      <c r="P100" s="17">
        <f t="shared" si="6"/>
        <v>90000</v>
      </c>
      <c r="Q100" s="15">
        <f t="shared" si="7"/>
        <v>0</v>
      </c>
      <c r="R100" s="17">
        <f t="shared" si="7"/>
        <v>0</v>
      </c>
      <c r="S100" s="13"/>
    </row>
    <row r="101" spans="1:19" x14ac:dyDescent="0.25">
      <c r="A101" s="4" t="s">
        <v>140</v>
      </c>
      <c r="B101" s="5" t="s">
        <v>125</v>
      </c>
      <c r="C101" s="4" t="s">
        <v>117</v>
      </c>
      <c r="D101" s="5" t="s">
        <v>175</v>
      </c>
      <c r="E101" s="4" t="s">
        <v>36</v>
      </c>
      <c r="F101" s="4" t="s">
        <v>37</v>
      </c>
      <c r="G101" s="4" t="s">
        <v>16</v>
      </c>
      <c r="H101" s="6">
        <v>16</v>
      </c>
      <c r="I101" s="7">
        <v>18000</v>
      </c>
      <c r="J101" s="7">
        <f t="shared" si="4"/>
        <v>288000</v>
      </c>
      <c r="K101" s="8" t="s">
        <v>17</v>
      </c>
      <c r="L101" t="str">
        <f>IFERROR(VLOOKUP(F101,MÃ!$A:$B,2,0),0)</f>
        <v>NL600004</v>
      </c>
      <c r="M101" t="str">
        <f t="shared" si="5"/>
        <v>03/01/2026NL600004</v>
      </c>
      <c r="N101" s="15">
        <f>IFERROR(VLOOKUP(M101,'WS11'!$B$2:$Q$475,11,0),0)</f>
        <v>16</v>
      </c>
      <c r="O101" s="17">
        <f>IFERROR(VLOOKUP(M101,'WS11'!$B$2:$Q$475,12,0),0)</f>
        <v>18000</v>
      </c>
      <c r="P101" s="17">
        <f t="shared" si="6"/>
        <v>288000</v>
      </c>
      <c r="Q101" s="15">
        <f t="shared" si="7"/>
        <v>0</v>
      </c>
      <c r="R101" s="17">
        <f t="shared" si="7"/>
        <v>0</v>
      </c>
      <c r="S101" s="13"/>
    </row>
    <row r="102" spans="1:19" x14ac:dyDescent="0.25">
      <c r="A102" s="4" t="s">
        <v>140</v>
      </c>
      <c r="B102" s="5" t="s">
        <v>125</v>
      </c>
      <c r="C102" s="4" t="s">
        <v>117</v>
      </c>
      <c r="D102" s="5" t="s">
        <v>175</v>
      </c>
      <c r="E102" s="4" t="s">
        <v>38</v>
      </c>
      <c r="F102" s="4" t="s">
        <v>39</v>
      </c>
      <c r="G102" s="4" t="s">
        <v>16</v>
      </c>
      <c r="H102" s="6">
        <v>2.6</v>
      </c>
      <c r="I102" s="7">
        <v>55000</v>
      </c>
      <c r="J102" s="7">
        <f t="shared" si="4"/>
        <v>143000</v>
      </c>
      <c r="K102" s="8" t="s">
        <v>17</v>
      </c>
      <c r="L102" t="str">
        <f>IFERROR(VLOOKUP(F102,MÃ!$A:$B,2,0),0)</f>
        <v>NL300058</v>
      </c>
      <c r="M102" t="str">
        <f t="shared" si="5"/>
        <v>03/01/2026NL300058</v>
      </c>
      <c r="N102" s="15">
        <f>IFERROR(VLOOKUP(M102,'WS11'!$B$2:$Q$475,11,0),0)</f>
        <v>2</v>
      </c>
      <c r="O102" s="17">
        <f>IFERROR(VLOOKUP(M102,'WS11'!$B$2:$Q$475,12,0),0)</f>
        <v>55000</v>
      </c>
      <c r="P102" s="17">
        <f t="shared" si="6"/>
        <v>110000</v>
      </c>
      <c r="Q102" s="15">
        <f t="shared" si="7"/>
        <v>0.60000000000000009</v>
      </c>
      <c r="R102" s="17">
        <f t="shared" si="7"/>
        <v>0</v>
      </c>
      <c r="S102" s="13" t="s">
        <v>543</v>
      </c>
    </row>
    <row r="103" spans="1:19" x14ac:dyDescent="0.25">
      <c r="A103" s="4" t="s">
        <v>140</v>
      </c>
      <c r="B103" s="5" t="s">
        <v>125</v>
      </c>
      <c r="C103" s="4" t="s">
        <v>117</v>
      </c>
      <c r="D103" s="5" t="s">
        <v>175</v>
      </c>
      <c r="E103" s="4" t="s">
        <v>115</v>
      </c>
      <c r="F103" s="4" t="s">
        <v>116</v>
      </c>
      <c r="G103" s="4" t="s">
        <v>16</v>
      </c>
      <c r="H103" s="6">
        <v>0.5</v>
      </c>
      <c r="I103" s="7">
        <v>38000</v>
      </c>
      <c r="J103" s="7">
        <f t="shared" si="4"/>
        <v>19000</v>
      </c>
      <c r="K103" s="8" t="s">
        <v>17</v>
      </c>
      <c r="L103" t="str">
        <f>IFERROR(VLOOKUP(F103,MÃ!$A:$B,2,0),0)</f>
        <v>NL300061</v>
      </c>
      <c r="M103" t="str">
        <f t="shared" si="5"/>
        <v>03/01/2026NL300061</v>
      </c>
      <c r="N103" s="15">
        <f>IFERROR(VLOOKUP(M103,'WS11'!$B$2:$Q$475,11,0),0)</f>
        <v>0.4</v>
      </c>
      <c r="O103" s="17">
        <f>IFERROR(VLOOKUP(M103,'WS11'!$B$2:$Q$475,12,0),0)</f>
        <v>38000</v>
      </c>
      <c r="P103" s="17">
        <f t="shared" si="6"/>
        <v>15200</v>
      </c>
      <c r="Q103" s="15">
        <f t="shared" si="7"/>
        <v>9.9999999999999978E-2</v>
      </c>
      <c r="R103" s="17">
        <f t="shared" si="7"/>
        <v>0</v>
      </c>
      <c r="S103" s="13" t="s">
        <v>543</v>
      </c>
    </row>
    <row r="104" spans="1:19" x14ac:dyDescent="0.25">
      <c r="A104" s="4" t="s">
        <v>140</v>
      </c>
      <c r="B104" s="5" t="s">
        <v>125</v>
      </c>
      <c r="C104" s="4" t="s">
        <v>117</v>
      </c>
      <c r="D104" s="5" t="s">
        <v>175</v>
      </c>
      <c r="E104" s="4" t="s">
        <v>63</v>
      </c>
      <c r="F104" s="4" t="s">
        <v>64</v>
      </c>
      <c r="G104" s="4" t="s">
        <v>16</v>
      </c>
      <c r="H104" s="6">
        <v>0.2</v>
      </c>
      <c r="I104" s="7">
        <v>65000</v>
      </c>
      <c r="J104" s="7">
        <f t="shared" si="4"/>
        <v>13000</v>
      </c>
      <c r="K104" s="8" t="s">
        <v>17</v>
      </c>
      <c r="L104" t="str">
        <f>IFERROR(VLOOKUP(F104,MÃ!$A:$B,2,0),0)</f>
        <v>NL300062</v>
      </c>
      <c r="M104" t="str">
        <f t="shared" si="5"/>
        <v>03/01/2026NL300062</v>
      </c>
      <c r="N104" s="15">
        <f>IFERROR(VLOOKUP(M104,'WS11'!$B$2:$Q$475,11,0),0)</f>
        <v>0.2</v>
      </c>
      <c r="O104" s="17">
        <f>IFERROR(VLOOKUP(M104,'WS11'!$B$2:$Q$475,12,0),0)</f>
        <v>65000</v>
      </c>
      <c r="P104" s="17">
        <f t="shared" si="6"/>
        <v>13000</v>
      </c>
      <c r="Q104" s="15">
        <f t="shared" si="7"/>
        <v>0</v>
      </c>
      <c r="R104" s="17">
        <f t="shared" si="7"/>
        <v>0</v>
      </c>
      <c r="S104" s="13"/>
    </row>
    <row r="105" spans="1:19" x14ac:dyDescent="0.25">
      <c r="A105" s="4" t="s">
        <v>140</v>
      </c>
      <c r="B105" s="5" t="s">
        <v>125</v>
      </c>
      <c r="C105" s="4" t="s">
        <v>117</v>
      </c>
      <c r="D105" s="5" t="s">
        <v>175</v>
      </c>
      <c r="E105" s="4" t="s">
        <v>14</v>
      </c>
      <c r="F105" s="4" t="s">
        <v>15</v>
      </c>
      <c r="G105" s="4" t="s">
        <v>16</v>
      </c>
      <c r="H105" s="6">
        <v>5</v>
      </c>
      <c r="I105" s="7">
        <v>27000</v>
      </c>
      <c r="J105" s="7">
        <f t="shared" si="4"/>
        <v>135000</v>
      </c>
      <c r="K105" s="8" t="s">
        <v>17</v>
      </c>
      <c r="L105" t="str">
        <f>IFERROR(VLOOKUP(F105,MÃ!$A:$B,2,0),0)</f>
        <v>NL300088</v>
      </c>
      <c r="M105" t="str">
        <f t="shared" si="5"/>
        <v>03/01/2026NL300088</v>
      </c>
      <c r="N105" s="15">
        <f>IFERROR(VLOOKUP(M105,'WS11'!$B$2:$Q$475,11,0),0)</f>
        <v>4</v>
      </c>
      <c r="O105" s="17">
        <f>IFERROR(VLOOKUP(M105,'WS11'!$B$2:$Q$475,12,0),0)</f>
        <v>27000</v>
      </c>
      <c r="P105" s="17">
        <f t="shared" si="6"/>
        <v>108000</v>
      </c>
      <c r="Q105" s="15">
        <f t="shared" si="7"/>
        <v>1</v>
      </c>
      <c r="R105" s="17">
        <f t="shared" si="7"/>
        <v>0</v>
      </c>
      <c r="S105" s="13" t="s">
        <v>543</v>
      </c>
    </row>
    <row r="106" spans="1:19" x14ac:dyDescent="0.25">
      <c r="A106" s="4" t="s">
        <v>140</v>
      </c>
      <c r="B106" s="5" t="s">
        <v>125</v>
      </c>
      <c r="C106" s="4" t="s">
        <v>117</v>
      </c>
      <c r="D106" s="5" t="s">
        <v>175</v>
      </c>
      <c r="E106" s="4" t="s">
        <v>69</v>
      </c>
      <c r="F106" s="4" t="s">
        <v>70</v>
      </c>
      <c r="G106" s="4" t="s">
        <v>16</v>
      </c>
      <c r="H106" s="6">
        <v>3</v>
      </c>
      <c r="I106" s="7">
        <v>145000</v>
      </c>
      <c r="J106" s="7">
        <f t="shared" si="4"/>
        <v>435000</v>
      </c>
      <c r="K106" s="8" t="s">
        <v>17</v>
      </c>
      <c r="L106" t="str">
        <f>IFERROR(VLOOKUP(F106,MÃ!$A:$B,2,0),0)</f>
        <v>NL300090</v>
      </c>
      <c r="M106" t="str">
        <f t="shared" si="5"/>
        <v>03/01/2026NL300090</v>
      </c>
      <c r="N106" s="15">
        <f>IFERROR(VLOOKUP(M106,'WS11'!$B$2:$Q$475,11,0),0)</f>
        <v>2</v>
      </c>
      <c r="O106" s="17">
        <f>IFERROR(VLOOKUP(M106,'WS11'!$B$2:$Q$475,12,0),0)</f>
        <v>145000</v>
      </c>
      <c r="P106" s="17">
        <f t="shared" si="6"/>
        <v>290000</v>
      </c>
      <c r="Q106" s="15">
        <f t="shared" si="7"/>
        <v>1</v>
      </c>
      <c r="R106" s="17">
        <f t="shared" si="7"/>
        <v>0</v>
      </c>
      <c r="S106" s="13" t="s">
        <v>543</v>
      </c>
    </row>
    <row r="107" spans="1:19" x14ac:dyDescent="0.25">
      <c r="A107" s="4" t="s">
        <v>140</v>
      </c>
      <c r="B107" s="5" t="s">
        <v>125</v>
      </c>
      <c r="C107" s="4" t="s">
        <v>117</v>
      </c>
      <c r="D107" s="5" t="s">
        <v>175</v>
      </c>
      <c r="E107" s="4" t="s">
        <v>71</v>
      </c>
      <c r="F107" s="4" t="s">
        <v>72</v>
      </c>
      <c r="G107" s="4" t="s">
        <v>16</v>
      </c>
      <c r="H107" s="6">
        <v>2</v>
      </c>
      <c r="I107" s="7">
        <v>47000</v>
      </c>
      <c r="J107" s="7">
        <f t="shared" si="4"/>
        <v>94000</v>
      </c>
      <c r="K107" s="8" t="s">
        <v>17</v>
      </c>
      <c r="L107" t="str">
        <f>IFERROR(VLOOKUP(F107,MÃ!$A:$B,2,0),0)</f>
        <v>NL300091</v>
      </c>
      <c r="M107" t="str">
        <f t="shared" si="5"/>
        <v>03/01/2026NL300091</v>
      </c>
      <c r="N107" s="15">
        <f>IFERROR(VLOOKUP(M107,'WS11'!$B$2:$Q$475,11,0),0)</f>
        <v>1.9</v>
      </c>
      <c r="O107" s="17">
        <f>IFERROR(VLOOKUP(M107,'WS11'!$B$2:$Q$475,12,0),0)</f>
        <v>47000</v>
      </c>
      <c r="P107" s="17">
        <f t="shared" si="6"/>
        <v>89300</v>
      </c>
      <c r="Q107" s="15">
        <f t="shared" si="7"/>
        <v>0.10000000000000009</v>
      </c>
      <c r="R107" s="17">
        <f t="shared" si="7"/>
        <v>0</v>
      </c>
      <c r="S107" s="13" t="s">
        <v>543</v>
      </c>
    </row>
    <row r="108" spans="1:19" x14ac:dyDescent="0.25">
      <c r="A108" s="4" t="s">
        <v>140</v>
      </c>
      <c r="B108" s="5" t="s">
        <v>125</v>
      </c>
      <c r="C108" s="4" t="s">
        <v>117</v>
      </c>
      <c r="D108" s="5" t="s">
        <v>175</v>
      </c>
      <c r="E108" s="4" t="s">
        <v>73</v>
      </c>
      <c r="F108" s="4" t="s">
        <v>74</v>
      </c>
      <c r="G108" s="4" t="s">
        <v>16</v>
      </c>
      <c r="H108" s="6">
        <v>2.4</v>
      </c>
      <c r="I108" s="7">
        <v>90000</v>
      </c>
      <c r="J108" s="7">
        <f t="shared" si="4"/>
        <v>216000</v>
      </c>
      <c r="K108" s="8" t="s">
        <v>17</v>
      </c>
      <c r="L108" t="str">
        <f>IFERROR(VLOOKUP(F108,MÃ!$A:$B,2,0),0)</f>
        <v>NL300092</v>
      </c>
      <c r="M108" t="str">
        <f t="shared" si="5"/>
        <v>03/01/2026NL300092</v>
      </c>
      <c r="N108" s="15">
        <f>IFERROR(VLOOKUP(M108,'WS11'!$B$2:$Q$475,11,0),0)</f>
        <v>2.2000000000000002</v>
      </c>
      <c r="O108" s="17">
        <f>IFERROR(VLOOKUP(M108,'WS11'!$B$2:$Q$475,12,0),0)</f>
        <v>90000</v>
      </c>
      <c r="P108" s="17">
        <f t="shared" si="6"/>
        <v>198000.00000000003</v>
      </c>
      <c r="Q108" s="15">
        <f t="shared" si="7"/>
        <v>0.19999999999999973</v>
      </c>
      <c r="R108" s="17">
        <f t="shared" si="7"/>
        <v>0</v>
      </c>
      <c r="S108" s="13" t="s">
        <v>543</v>
      </c>
    </row>
    <row r="109" spans="1:19" x14ac:dyDescent="0.25">
      <c r="A109" s="4" t="s">
        <v>140</v>
      </c>
      <c r="B109" s="5" t="s">
        <v>125</v>
      </c>
      <c r="C109" s="4" t="s">
        <v>117</v>
      </c>
      <c r="D109" s="5" t="s">
        <v>175</v>
      </c>
      <c r="E109" s="4" t="s">
        <v>100</v>
      </c>
      <c r="F109" s="4" t="s">
        <v>101</v>
      </c>
      <c r="G109" s="4" t="s">
        <v>16</v>
      </c>
      <c r="H109" s="6">
        <v>1</v>
      </c>
      <c r="I109" s="7">
        <v>80000</v>
      </c>
      <c r="J109" s="7">
        <f t="shared" si="4"/>
        <v>80000</v>
      </c>
      <c r="K109" s="8" t="s">
        <v>17</v>
      </c>
      <c r="L109" t="str">
        <f>IFERROR(VLOOKUP(F109,MÃ!$A:$B,2,0),0)</f>
        <v>NL300094</v>
      </c>
      <c r="M109" t="str">
        <f t="shared" si="5"/>
        <v>03/01/2026NL300094</v>
      </c>
      <c r="N109" s="15">
        <f>IFERROR(VLOOKUP(M109,'WS11'!$B$2:$Q$475,11,0),0)</f>
        <v>0.9</v>
      </c>
      <c r="O109" s="17">
        <f>IFERROR(VLOOKUP(M109,'WS11'!$B$2:$Q$475,12,0),0)</f>
        <v>80000</v>
      </c>
      <c r="P109" s="17">
        <f t="shared" si="6"/>
        <v>72000</v>
      </c>
      <c r="Q109" s="15">
        <f t="shared" si="7"/>
        <v>9.9999999999999978E-2</v>
      </c>
      <c r="R109" s="17">
        <f t="shared" si="7"/>
        <v>0</v>
      </c>
      <c r="S109" s="13" t="s">
        <v>543</v>
      </c>
    </row>
    <row r="110" spans="1:19" x14ac:dyDescent="0.25">
      <c r="A110" s="4" t="s">
        <v>140</v>
      </c>
      <c r="B110" s="5" t="s">
        <v>125</v>
      </c>
      <c r="C110" s="4" t="s">
        <v>117</v>
      </c>
      <c r="D110" s="5" t="s">
        <v>175</v>
      </c>
      <c r="E110" s="4" t="s">
        <v>44</v>
      </c>
      <c r="F110" s="4" t="s">
        <v>45</v>
      </c>
      <c r="G110" s="4" t="s">
        <v>16</v>
      </c>
      <c r="H110" s="6">
        <v>5</v>
      </c>
      <c r="I110" s="7">
        <v>45000</v>
      </c>
      <c r="J110" s="7">
        <f t="shared" si="4"/>
        <v>225000</v>
      </c>
      <c r="K110" s="8" t="s">
        <v>17</v>
      </c>
      <c r="L110" t="str">
        <f>IFERROR(VLOOKUP(F110,MÃ!$A:$B,2,0),0)</f>
        <v>NL300096</v>
      </c>
      <c r="M110" t="str">
        <f t="shared" si="5"/>
        <v>03/01/2026NL300096</v>
      </c>
      <c r="N110" s="15">
        <f>IFERROR(VLOOKUP(M110,'WS11'!$B$2:$Q$475,11,0),0)</f>
        <v>4.5</v>
      </c>
      <c r="O110" s="17">
        <f>IFERROR(VLOOKUP(M110,'WS11'!$B$2:$Q$475,12,0),0)</f>
        <v>45000</v>
      </c>
      <c r="P110" s="17">
        <f t="shared" si="6"/>
        <v>202500</v>
      </c>
      <c r="Q110" s="15">
        <f t="shared" si="7"/>
        <v>0.5</v>
      </c>
      <c r="R110" s="17">
        <f t="shared" si="7"/>
        <v>0</v>
      </c>
      <c r="S110" s="13" t="s">
        <v>543</v>
      </c>
    </row>
    <row r="111" spans="1:19" x14ac:dyDescent="0.25">
      <c r="A111" s="4" t="s">
        <v>140</v>
      </c>
      <c r="B111" s="5" t="s">
        <v>125</v>
      </c>
      <c r="C111" s="4" t="s">
        <v>117</v>
      </c>
      <c r="D111" s="5" t="s">
        <v>175</v>
      </c>
      <c r="E111" s="4" t="s">
        <v>77</v>
      </c>
      <c r="F111" s="4" t="s">
        <v>78</v>
      </c>
      <c r="G111" s="4" t="s">
        <v>16</v>
      </c>
      <c r="H111" s="6">
        <v>3</v>
      </c>
      <c r="I111" s="7">
        <v>45000</v>
      </c>
      <c r="J111" s="7">
        <f t="shared" si="4"/>
        <v>135000</v>
      </c>
      <c r="K111" s="8" t="s">
        <v>17</v>
      </c>
      <c r="L111" t="str">
        <f>IFERROR(VLOOKUP(F111,MÃ!$A:$B,2,0),0)</f>
        <v>NL300085</v>
      </c>
      <c r="M111" t="str">
        <f t="shared" si="5"/>
        <v>03/01/2026NL300085</v>
      </c>
      <c r="N111" s="15">
        <f>IFERROR(VLOOKUP(M111,'WS11'!$B$2:$Q$475,11,0),0)</f>
        <v>2</v>
      </c>
      <c r="O111" s="17">
        <f>IFERROR(VLOOKUP(M111,'WS11'!$B$2:$Q$475,12,0),0)</f>
        <v>45000</v>
      </c>
      <c r="P111" s="17">
        <f t="shared" si="6"/>
        <v>90000</v>
      </c>
      <c r="Q111" s="15">
        <f t="shared" si="7"/>
        <v>1</v>
      </c>
      <c r="R111" s="17">
        <f t="shared" si="7"/>
        <v>0</v>
      </c>
      <c r="S111" s="13" t="s">
        <v>543</v>
      </c>
    </row>
    <row r="112" spans="1:19" x14ac:dyDescent="0.25">
      <c r="A112" s="4" t="s">
        <v>140</v>
      </c>
      <c r="B112" s="5" t="s">
        <v>125</v>
      </c>
      <c r="C112" s="4" t="s">
        <v>117</v>
      </c>
      <c r="D112" s="5" t="s">
        <v>175</v>
      </c>
      <c r="E112" s="4" t="s">
        <v>46</v>
      </c>
      <c r="F112" s="4" t="s">
        <v>47</v>
      </c>
      <c r="G112" s="4" t="s">
        <v>16</v>
      </c>
      <c r="H112" s="6">
        <v>0.5</v>
      </c>
      <c r="I112" s="7">
        <v>148000</v>
      </c>
      <c r="J112" s="7">
        <f t="shared" si="4"/>
        <v>74000</v>
      </c>
      <c r="K112" s="8" t="s">
        <v>17</v>
      </c>
      <c r="L112" t="str">
        <f>IFERROR(VLOOKUP(F112,MÃ!$A:$B,2,0),0)</f>
        <v>NL300116</v>
      </c>
      <c r="M112" t="str">
        <f t="shared" si="5"/>
        <v>03/01/2026NL300116</v>
      </c>
      <c r="N112" s="15">
        <f>IFERROR(VLOOKUP(M112,'WS11'!$B$2:$Q$475,11,0),0)</f>
        <v>0.4</v>
      </c>
      <c r="O112" s="17">
        <f>IFERROR(VLOOKUP(M112,'WS11'!$B$2:$Q$475,12,0),0)</f>
        <v>148000</v>
      </c>
      <c r="P112" s="17">
        <f t="shared" si="6"/>
        <v>59200</v>
      </c>
      <c r="Q112" s="15">
        <f t="shared" si="7"/>
        <v>9.9999999999999978E-2</v>
      </c>
      <c r="R112" s="17">
        <f t="shared" si="7"/>
        <v>0</v>
      </c>
      <c r="S112" s="13" t="s">
        <v>543</v>
      </c>
    </row>
    <row r="113" spans="1:19" x14ac:dyDescent="0.25">
      <c r="A113" s="4" t="s">
        <v>140</v>
      </c>
      <c r="B113" s="5" t="s">
        <v>125</v>
      </c>
      <c r="C113" s="4" t="s">
        <v>117</v>
      </c>
      <c r="D113" s="5" t="s">
        <v>175</v>
      </c>
      <c r="E113" s="4" t="s">
        <v>48</v>
      </c>
      <c r="F113" s="4" t="s">
        <v>49</v>
      </c>
      <c r="G113" s="4" t="s">
        <v>16</v>
      </c>
      <c r="H113" s="6">
        <v>0.5</v>
      </c>
      <c r="I113" s="7">
        <v>42000</v>
      </c>
      <c r="J113" s="7">
        <f t="shared" si="4"/>
        <v>21000</v>
      </c>
      <c r="K113" s="8" t="s">
        <v>17</v>
      </c>
      <c r="L113" t="str">
        <f>IFERROR(VLOOKUP(F113,MÃ!$A:$B,2,0),0)</f>
        <v>NL300125</v>
      </c>
      <c r="M113" t="str">
        <f t="shared" si="5"/>
        <v>03/01/2026NL300125</v>
      </c>
      <c r="N113" s="15">
        <f>IFERROR(VLOOKUP(M113,'WS11'!$B$2:$Q$475,11,0),0)</f>
        <v>0.5</v>
      </c>
      <c r="O113" s="17">
        <f>IFERROR(VLOOKUP(M113,'WS11'!$B$2:$Q$475,12,0),0)</f>
        <v>42000</v>
      </c>
      <c r="P113" s="17">
        <f t="shared" si="6"/>
        <v>21000</v>
      </c>
      <c r="Q113" s="15">
        <f t="shared" si="7"/>
        <v>0</v>
      </c>
      <c r="R113" s="17">
        <f t="shared" si="7"/>
        <v>0</v>
      </c>
      <c r="S113" s="13"/>
    </row>
    <row r="114" spans="1:19" x14ac:dyDescent="0.25">
      <c r="A114" s="4" t="s">
        <v>140</v>
      </c>
      <c r="B114" s="5" t="s">
        <v>125</v>
      </c>
      <c r="C114" s="4" t="s">
        <v>117</v>
      </c>
      <c r="D114" s="5" t="s">
        <v>175</v>
      </c>
      <c r="E114" s="4" t="s">
        <v>52</v>
      </c>
      <c r="F114" s="4" t="s">
        <v>53</v>
      </c>
      <c r="G114" s="4" t="s">
        <v>16</v>
      </c>
      <c r="H114" s="6">
        <v>2</v>
      </c>
      <c r="I114" s="7">
        <v>21000</v>
      </c>
      <c r="J114" s="7">
        <f t="shared" si="4"/>
        <v>42000</v>
      </c>
      <c r="K114" s="8" t="s">
        <v>17</v>
      </c>
      <c r="L114" t="str">
        <f>IFERROR(VLOOKUP(F114,MÃ!$A:$B,2,0),0)</f>
        <v>NL300119</v>
      </c>
      <c r="M114" t="str">
        <f t="shared" si="5"/>
        <v>03/01/2026NL300119</v>
      </c>
      <c r="N114" s="15">
        <f>IFERROR(VLOOKUP(M114,'WS11'!$B$2:$Q$475,11,0),0)</f>
        <v>1.5</v>
      </c>
      <c r="O114" s="17">
        <f>IFERROR(VLOOKUP(M114,'WS11'!$B$2:$Q$475,12,0),0)</f>
        <v>21000</v>
      </c>
      <c r="P114" s="17">
        <f t="shared" si="6"/>
        <v>31500</v>
      </c>
      <c r="Q114" s="15">
        <f t="shared" si="7"/>
        <v>0.5</v>
      </c>
      <c r="R114" s="17">
        <f t="shared" si="7"/>
        <v>0</v>
      </c>
      <c r="S114" s="13" t="s">
        <v>543</v>
      </c>
    </row>
    <row r="115" spans="1:19" x14ac:dyDescent="0.25">
      <c r="A115" s="4" t="s">
        <v>140</v>
      </c>
      <c r="B115" s="5" t="s">
        <v>125</v>
      </c>
      <c r="C115" s="4" t="s">
        <v>117</v>
      </c>
      <c r="D115" s="5" t="s">
        <v>175</v>
      </c>
      <c r="E115" s="4" t="s">
        <v>85</v>
      </c>
      <c r="F115" s="4" t="s">
        <v>86</v>
      </c>
      <c r="G115" s="4" t="s">
        <v>16</v>
      </c>
      <c r="H115" s="6">
        <v>2</v>
      </c>
      <c r="I115" s="7">
        <v>50000</v>
      </c>
      <c r="J115" s="7">
        <f t="shared" si="4"/>
        <v>100000</v>
      </c>
      <c r="K115" s="8" t="s">
        <v>17</v>
      </c>
      <c r="L115" t="str">
        <f>IFERROR(VLOOKUP(F115,MÃ!$A:$B,2,0),0)</f>
        <v>NL300142</v>
      </c>
      <c r="M115" t="str">
        <f t="shared" si="5"/>
        <v>03/01/2026NL300142</v>
      </c>
      <c r="N115" s="15">
        <f>IFERROR(VLOOKUP(M115,'WS11'!$B$2:$Q$475,11,0),0)</f>
        <v>2</v>
      </c>
      <c r="O115" s="17">
        <f>IFERROR(VLOOKUP(M115,'WS11'!$B$2:$Q$475,12,0),0)</f>
        <v>50000</v>
      </c>
      <c r="P115" s="17">
        <f t="shared" si="6"/>
        <v>100000</v>
      </c>
      <c r="Q115" s="15">
        <f t="shared" si="7"/>
        <v>0</v>
      </c>
      <c r="R115" s="17">
        <f t="shared" si="7"/>
        <v>0</v>
      </c>
      <c r="S115" s="13"/>
    </row>
    <row r="116" spans="1:19" x14ac:dyDescent="0.25">
      <c r="A116" s="4" t="s">
        <v>140</v>
      </c>
      <c r="B116" s="5" t="s">
        <v>125</v>
      </c>
      <c r="C116" s="4" t="s">
        <v>117</v>
      </c>
      <c r="D116" s="5" t="s">
        <v>175</v>
      </c>
      <c r="E116" s="4" t="s">
        <v>135</v>
      </c>
      <c r="F116" s="4" t="s">
        <v>136</v>
      </c>
      <c r="G116" s="4" t="s">
        <v>108</v>
      </c>
      <c r="H116" s="6">
        <v>40</v>
      </c>
      <c r="I116" s="7">
        <v>9000</v>
      </c>
      <c r="J116" s="7">
        <f t="shared" si="4"/>
        <v>360000</v>
      </c>
      <c r="K116" s="8" t="s">
        <v>17</v>
      </c>
      <c r="L116" t="str">
        <f>IFERROR(VLOOKUP(F116,MÃ!$A:$B,2,0),0)</f>
        <v>NL100279</v>
      </c>
      <c r="M116" t="str">
        <f t="shared" si="5"/>
        <v>03/01/2026NL100279</v>
      </c>
      <c r="N116" s="15">
        <f>IFERROR(VLOOKUP(M116,'WS11'!$B$2:$Q$475,11,0),0)</f>
        <v>38</v>
      </c>
      <c r="O116" s="17">
        <f>IFERROR(VLOOKUP(M116,'WS11'!$B$2:$Q$475,12,0),0)</f>
        <v>9000</v>
      </c>
      <c r="P116" s="17">
        <f t="shared" si="6"/>
        <v>342000</v>
      </c>
      <c r="Q116" s="15">
        <f t="shared" si="7"/>
        <v>2</v>
      </c>
      <c r="R116" s="17">
        <f t="shared" si="7"/>
        <v>0</v>
      </c>
      <c r="S116" s="13" t="s">
        <v>543</v>
      </c>
    </row>
    <row r="117" spans="1:19" x14ac:dyDescent="0.25">
      <c r="A117" s="4" t="s">
        <v>140</v>
      </c>
      <c r="B117" s="5" t="s">
        <v>125</v>
      </c>
      <c r="C117" s="4" t="s">
        <v>117</v>
      </c>
      <c r="D117" s="5" t="s">
        <v>175</v>
      </c>
      <c r="E117" s="4" t="s">
        <v>87</v>
      </c>
      <c r="F117" s="4" t="s">
        <v>88</v>
      </c>
      <c r="G117" s="4" t="s">
        <v>16</v>
      </c>
      <c r="H117" s="6">
        <v>0.1</v>
      </c>
      <c r="I117" s="7">
        <v>220000</v>
      </c>
      <c r="J117" s="7">
        <f t="shared" si="4"/>
        <v>22000</v>
      </c>
      <c r="K117" s="8" t="s">
        <v>17</v>
      </c>
      <c r="L117" t="str">
        <f>IFERROR(VLOOKUP(F117,MÃ!$A:$B,2,0),0)</f>
        <v>NL300131</v>
      </c>
      <c r="M117" t="str">
        <f t="shared" si="5"/>
        <v>03/01/2026NL300131</v>
      </c>
      <c r="N117" s="15">
        <f>IFERROR(VLOOKUP(M117,'WS11'!$B$2:$Q$475,11,0),0)</f>
        <v>0.1</v>
      </c>
      <c r="O117" s="17">
        <f>IFERROR(VLOOKUP(M117,'WS11'!$B$2:$Q$475,12,0),0)</f>
        <v>220000</v>
      </c>
      <c r="P117" s="17">
        <f t="shared" si="6"/>
        <v>22000</v>
      </c>
      <c r="Q117" s="15">
        <f t="shared" si="7"/>
        <v>0</v>
      </c>
      <c r="R117" s="17">
        <f t="shared" si="7"/>
        <v>0</v>
      </c>
      <c r="S117" s="13"/>
    </row>
    <row r="118" spans="1:19" x14ac:dyDescent="0.25">
      <c r="A118" s="4" t="s">
        <v>140</v>
      </c>
      <c r="B118" s="5" t="s">
        <v>125</v>
      </c>
      <c r="C118" s="4" t="s">
        <v>117</v>
      </c>
      <c r="D118" s="5" t="s">
        <v>175</v>
      </c>
      <c r="E118" s="4" t="s">
        <v>54</v>
      </c>
      <c r="F118" s="4" t="s">
        <v>55</v>
      </c>
      <c r="G118" s="4" t="s">
        <v>16</v>
      </c>
      <c r="H118" s="6">
        <v>5.3</v>
      </c>
      <c r="I118" s="7">
        <v>62000</v>
      </c>
      <c r="J118" s="7">
        <f t="shared" si="4"/>
        <v>328600</v>
      </c>
      <c r="K118" s="8" t="s">
        <v>17</v>
      </c>
      <c r="L118" t="str">
        <f>IFERROR(VLOOKUP(F118,MÃ!$A:$B,2,0),0)</f>
        <v>NL300147</v>
      </c>
      <c r="M118" t="str">
        <f t="shared" si="5"/>
        <v>03/01/2026NL300147</v>
      </c>
      <c r="N118" s="15">
        <f>IFERROR(VLOOKUP(M118,'WS11'!$B$2:$Q$475,11,0),0)</f>
        <v>3</v>
      </c>
      <c r="O118" s="17">
        <f>IFERROR(VLOOKUP(M118,'WS11'!$B$2:$Q$475,12,0),0)</f>
        <v>62000</v>
      </c>
      <c r="P118" s="17">
        <f t="shared" si="6"/>
        <v>186000</v>
      </c>
      <c r="Q118" s="15">
        <f t="shared" si="7"/>
        <v>2.2999999999999998</v>
      </c>
      <c r="R118" s="17">
        <f t="shared" si="7"/>
        <v>0</v>
      </c>
      <c r="S118" s="13" t="s">
        <v>543</v>
      </c>
    </row>
    <row r="119" spans="1:19" x14ac:dyDescent="0.25">
      <c r="A119" s="4" t="s">
        <v>142</v>
      </c>
      <c r="B119" s="5" t="s">
        <v>125</v>
      </c>
      <c r="C119" s="4" t="s">
        <v>117</v>
      </c>
      <c r="D119" s="5" t="s">
        <v>176</v>
      </c>
      <c r="E119" s="4" t="s">
        <v>56</v>
      </c>
      <c r="F119" s="4" t="s">
        <v>57</v>
      </c>
      <c r="G119" s="4" t="s">
        <v>58</v>
      </c>
      <c r="H119" s="6">
        <v>7</v>
      </c>
      <c r="I119" s="7">
        <v>8500</v>
      </c>
      <c r="J119" s="7">
        <f t="shared" si="4"/>
        <v>59500</v>
      </c>
      <c r="K119" s="8" t="s">
        <v>17</v>
      </c>
      <c r="L119" t="str">
        <f>IFERROR(VLOOKUP(F119,MÃ!$A:$B,2,0),0)</f>
        <v>NL300107</v>
      </c>
      <c r="M119" t="str">
        <f t="shared" si="5"/>
        <v>04/01/2026NL300107</v>
      </c>
      <c r="N119" s="15">
        <f>IFERROR(VLOOKUP(M119,'WS11'!$B$2:$Q$475,11,0),0)</f>
        <v>5</v>
      </c>
      <c r="O119" s="17">
        <f>IFERROR(VLOOKUP(M119,'WS11'!$B$2:$Q$475,12,0),0)</f>
        <v>8500</v>
      </c>
      <c r="P119" s="17">
        <f t="shared" si="6"/>
        <v>42500</v>
      </c>
      <c r="Q119" s="15">
        <f t="shared" si="7"/>
        <v>2</v>
      </c>
      <c r="R119" s="17">
        <f t="shared" si="7"/>
        <v>0</v>
      </c>
      <c r="S119" s="13" t="s">
        <v>543</v>
      </c>
    </row>
    <row r="120" spans="1:19" x14ac:dyDescent="0.25">
      <c r="A120" s="4" t="s">
        <v>142</v>
      </c>
      <c r="B120" s="5" t="s">
        <v>125</v>
      </c>
      <c r="C120" s="4" t="s">
        <v>117</v>
      </c>
      <c r="D120" s="5" t="s">
        <v>176</v>
      </c>
      <c r="E120" s="4" t="s">
        <v>22</v>
      </c>
      <c r="F120" s="4" t="s">
        <v>23</v>
      </c>
      <c r="G120" s="4" t="s">
        <v>16</v>
      </c>
      <c r="H120" s="6">
        <v>4</v>
      </c>
      <c r="I120" s="7">
        <v>30000</v>
      </c>
      <c r="J120" s="7">
        <f t="shared" si="4"/>
        <v>120000</v>
      </c>
      <c r="K120" s="8" t="s">
        <v>17</v>
      </c>
      <c r="L120" t="str">
        <f>IFERROR(VLOOKUP(F120,MÃ!$A:$B,2,0),0)</f>
        <v>NL300007</v>
      </c>
      <c r="M120" t="str">
        <f t="shared" si="5"/>
        <v>04/01/2026NL300007</v>
      </c>
      <c r="N120" s="15">
        <f>IFERROR(VLOOKUP(M120,'WS11'!$B$2:$Q$475,11,0),0)</f>
        <v>1</v>
      </c>
      <c r="O120" s="17">
        <f>IFERROR(VLOOKUP(M120,'WS11'!$B$2:$Q$475,12,0),0)</f>
        <v>30000</v>
      </c>
      <c r="P120" s="17">
        <f t="shared" si="6"/>
        <v>30000</v>
      </c>
      <c r="Q120" s="15">
        <f t="shared" si="7"/>
        <v>3</v>
      </c>
      <c r="R120" s="17">
        <f t="shared" si="7"/>
        <v>0</v>
      </c>
      <c r="S120" s="13" t="s">
        <v>543</v>
      </c>
    </row>
    <row r="121" spans="1:19" x14ac:dyDescent="0.25">
      <c r="A121" s="4" t="s">
        <v>142</v>
      </c>
      <c r="B121" s="5" t="s">
        <v>125</v>
      </c>
      <c r="C121" s="4" t="s">
        <v>117</v>
      </c>
      <c r="D121" s="5" t="s">
        <v>176</v>
      </c>
      <c r="E121" s="4" t="s">
        <v>24</v>
      </c>
      <c r="F121" s="4" t="s">
        <v>25</v>
      </c>
      <c r="G121" s="4" t="s">
        <v>16</v>
      </c>
      <c r="H121" s="6">
        <v>14</v>
      </c>
      <c r="I121" s="7">
        <v>40000</v>
      </c>
      <c r="J121" s="7">
        <f t="shared" si="4"/>
        <v>560000</v>
      </c>
      <c r="K121" s="8" t="s">
        <v>17</v>
      </c>
      <c r="L121" t="str">
        <f>IFERROR(VLOOKUP(F121,MÃ!$A:$B,2,0),0)</f>
        <v>NL300008</v>
      </c>
      <c r="M121" t="str">
        <f t="shared" si="5"/>
        <v>04/01/2026NL300008</v>
      </c>
      <c r="N121" s="15">
        <f>IFERROR(VLOOKUP(M121,'WS11'!$B$2:$Q$475,11,0),0)</f>
        <v>10</v>
      </c>
      <c r="O121" s="17">
        <f>IFERROR(VLOOKUP(M121,'WS11'!$B$2:$Q$475,12,0),0)</f>
        <v>40000</v>
      </c>
      <c r="P121" s="17">
        <f t="shared" si="6"/>
        <v>400000</v>
      </c>
      <c r="Q121" s="15">
        <f t="shared" si="7"/>
        <v>4</v>
      </c>
      <c r="R121" s="17">
        <f t="shared" si="7"/>
        <v>0</v>
      </c>
      <c r="S121" s="13" t="s">
        <v>543</v>
      </c>
    </row>
    <row r="122" spans="1:19" x14ac:dyDescent="0.25">
      <c r="A122" s="4" t="s">
        <v>142</v>
      </c>
      <c r="B122" s="5" t="s">
        <v>125</v>
      </c>
      <c r="C122" s="4" t="s">
        <v>117</v>
      </c>
      <c r="D122" s="5" t="s">
        <v>176</v>
      </c>
      <c r="E122" s="4" t="s">
        <v>126</v>
      </c>
      <c r="F122" s="4" t="s">
        <v>127</v>
      </c>
      <c r="G122" s="4" t="s">
        <v>16</v>
      </c>
      <c r="H122" s="6">
        <v>4.3</v>
      </c>
      <c r="I122" s="7">
        <v>52000</v>
      </c>
      <c r="J122" s="7">
        <f t="shared" si="4"/>
        <v>223600</v>
      </c>
      <c r="K122" s="8" t="s">
        <v>17</v>
      </c>
      <c r="L122" t="str">
        <f>IFERROR(VLOOKUP(F122,MÃ!$A:$B,2,0),0)</f>
        <v>NL300137</v>
      </c>
      <c r="M122" t="str">
        <f t="shared" si="5"/>
        <v>04/01/2026NL300137</v>
      </c>
      <c r="N122" s="15">
        <f>IFERROR(VLOOKUP(M122,'WS11'!$B$2:$Q$475,11,0),0)</f>
        <v>2</v>
      </c>
      <c r="O122" s="17">
        <f>IFERROR(VLOOKUP(M122,'WS11'!$B$2:$Q$475,12,0),0)</f>
        <v>52000</v>
      </c>
      <c r="P122" s="17">
        <f t="shared" si="6"/>
        <v>104000</v>
      </c>
      <c r="Q122" s="15">
        <f t="shared" si="7"/>
        <v>2.2999999999999998</v>
      </c>
      <c r="R122" s="17">
        <f t="shared" si="7"/>
        <v>0</v>
      </c>
      <c r="S122" s="13" t="s">
        <v>543</v>
      </c>
    </row>
    <row r="123" spans="1:19" x14ac:dyDescent="0.25">
      <c r="A123" s="4" t="s">
        <v>142</v>
      </c>
      <c r="B123" s="5" t="s">
        <v>125</v>
      </c>
      <c r="C123" s="4" t="s">
        <v>117</v>
      </c>
      <c r="D123" s="5" t="s">
        <v>176</v>
      </c>
      <c r="E123" s="4" t="s">
        <v>28</v>
      </c>
      <c r="F123" s="4" t="s">
        <v>29</v>
      </c>
      <c r="G123" s="4" t="s">
        <v>16</v>
      </c>
      <c r="H123" s="6">
        <v>2.9</v>
      </c>
      <c r="I123" s="7">
        <v>30000</v>
      </c>
      <c r="J123" s="7">
        <f t="shared" si="4"/>
        <v>87000</v>
      </c>
      <c r="K123" s="8" t="s">
        <v>17</v>
      </c>
      <c r="L123" t="str">
        <f>IFERROR(VLOOKUP(F123,MÃ!$A:$B,2,0),0)</f>
        <v>NL300020</v>
      </c>
      <c r="M123" t="str">
        <f t="shared" si="5"/>
        <v>04/01/2026NL300020</v>
      </c>
      <c r="N123" s="15">
        <f>IFERROR(VLOOKUP(M123,'WS11'!$B$2:$Q$475,11,0),0)</f>
        <v>1</v>
      </c>
      <c r="O123" s="17">
        <f>IFERROR(VLOOKUP(M123,'WS11'!$B$2:$Q$475,12,0),0)</f>
        <v>30000</v>
      </c>
      <c r="P123" s="17">
        <f t="shared" si="6"/>
        <v>30000</v>
      </c>
      <c r="Q123" s="15">
        <f t="shared" si="7"/>
        <v>1.9</v>
      </c>
      <c r="R123" s="17">
        <f t="shared" si="7"/>
        <v>0</v>
      </c>
      <c r="S123" s="13" t="s">
        <v>543</v>
      </c>
    </row>
    <row r="124" spans="1:19" x14ac:dyDescent="0.25">
      <c r="A124" s="4" t="s">
        <v>142</v>
      </c>
      <c r="B124" s="5" t="s">
        <v>125</v>
      </c>
      <c r="C124" s="4" t="s">
        <v>117</v>
      </c>
      <c r="D124" s="5" t="s">
        <v>176</v>
      </c>
      <c r="E124" s="4" t="s">
        <v>89</v>
      </c>
      <c r="F124" s="4" t="s">
        <v>90</v>
      </c>
      <c r="G124" s="4" t="s">
        <v>16</v>
      </c>
      <c r="H124" s="6">
        <v>0.9</v>
      </c>
      <c r="I124" s="7">
        <v>44000</v>
      </c>
      <c r="J124" s="7">
        <f t="shared" si="4"/>
        <v>39600</v>
      </c>
      <c r="K124" s="8" t="s">
        <v>17</v>
      </c>
      <c r="L124" t="str">
        <f>IFERROR(VLOOKUP(F124,MÃ!$A:$B,2,0),0)</f>
        <v>NL300025</v>
      </c>
      <c r="M124" t="str">
        <f t="shared" si="5"/>
        <v>04/01/2026NL300025</v>
      </c>
      <c r="N124" s="15">
        <f>IFERROR(VLOOKUP(M124,'WS11'!$B$2:$Q$475,11,0),0)</f>
        <v>0.5</v>
      </c>
      <c r="O124" s="17">
        <f>IFERROR(VLOOKUP(M124,'WS11'!$B$2:$Q$475,12,0),0)</f>
        <v>44000</v>
      </c>
      <c r="P124" s="17">
        <f t="shared" si="6"/>
        <v>22000</v>
      </c>
      <c r="Q124" s="15">
        <f t="shared" si="7"/>
        <v>0.4</v>
      </c>
      <c r="R124" s="17">
        <f t="shared" si="7"/>
        <v>0</v>
      </c>
      <c r="S124" s="13" t="s">
        <v>543</v>
      </c>
    </row>
    <row r="125" spans="1:19" x14ac:dyDescent="0.25">
      <c r="A125" s="4" t="s">
        <v>142</v>
      </c>
      <c r="B125" s="5" t="s">
        <v>125</v>
      </c>
      <c r="C125" s="4" t="s">
        <v>117</v>
      </c>
      <c r="D125" s="5" t="s">
        <v>176</v>
      </c>
      <c r="E125" s="4" t="s">
        <v>61</v>
      </c>
      <c r="F125" s="4" t="s">
        <v>62</v>
      </c>
      <c r="G125" s="4" t="s">
        <v>16</v>
      </c>
      <c r="H125" s="6">
        <v>0.5</v>
      </c>
      <c r="I125" s="7">
        <v>22000</v>
      </c>
      <c r="J125" s="7">
        <f t="shared" si="4"/>
        <v>11000</v>
      </c>
      <c r="K125" s="8" t="s">
        <v>17</v>
      </c>
      <c r="L125" t="str">
        <f>IFERROR(VLOOKUP(F125,MÃ!$A:$B,2,0),0)</f>
        <v>NL300029</v>
      </c>
      <c r="M125" t="str">
        <f t="shared" si="5"/>
        <v>04/01/2026NL300029</v>
      </c>
      <c r="N125" s="15">
        <f>IFERROR(VLOOKUP(M125,'WS11'!$B$2:$Q$475,11,0),0)</f>
        <v>0.5</v>
      </c>
      <c r="O125" s="17">
        <f>IFERROR(VLOOKUP(M125,'WS11'!$B$2:$Q$475,12,0),0)</f>
        <v>22000</v>
      </c>
      <c r="P125" s="17">
        <f t="shared" si="6"/>
        <v>11000</v>
      </c>
      <c r="Q125" s="15">
        <f t="shared" si="7"/>
        <v>0</v>
      </c>
      <c r="R125" s="17">
        <f t="shared" si="7"/>
        <v>0</v>
      </c>
      <c r="S125" s="13"/>
    </row>
    <row r="126" spans="1:19" x14ac:dyDescent="0.25">
      <c r="A126" s="4" t="s">
        <v>142</v>
      </c>
      <c r="B126" s="5" t="s">
        <v>125</v>
      </c>
      <c r="C126" s="4" t="s">
        <v>117</v>
      </c>
      <c r="D126" s="5" t="s">
        <v>176</v>
      </c>
      <c r="E126" s="4" t="s">
        <v>30</v>
      </c>
      <c r="F126" s="4" t="s">
        <v>31</v>
      </c>
      <c r="G126" s="4" t="s">
        <v>16</v>
      </c>
      <c r="H126" s="6">
        <v>1.5</v>
      </c>
      <c r="I126" s="7">
        <v>38000</v>
      </c>
      <c r="J126" s="7">
        <f t="shared" si="4"/>
        <v>57000</v>
      </c>
      <c r="K126" s="8" t="s">
        <v>17</v>
      </c>
      <c r="L126" t="str">
        <f>IFERROR(VLOOKUP(F126,MÃ!$A:$B,2,0),0)</f>
        <v>NL300054</v>
      </c>
      <c r="M126" t="str">
        <f t="shared" si="5"/>
        <v>04/01/2026NL300054</v>
      </c>
      <c r="N126" s="15">
        <f>IFERROR(VLOOKUP(M126,'WS11'!$B$2:$Q$475,11,0),0)</f>
        <v>1.3</v>
      </c>
      <c r="O126" s="17">
        <f>IFERROR(VLOOKUP(M126,'WS11'!$B$2:$Q$475,12,0),0)</f>
        <v>38000</v>
      </c>
      <c r="P126" s="17">
        <f t="shared" si="6"/>
        <v>49400</v>
      </c>
      <c r="Q126" s="15">
        <f t="shared" si="7"/>
        <v>0.19999999999999996</v>
      </c>
      <c r="R126" s="17">
        <f t="shared" si="7"/>
        <v>0</v>
      </c>
      <c r="S126" s="13" t="s">
        <v>543</v>
      </c>
    </row>
    <row r="127" spans="1:19" x14ac:dyDescent="0.25">
      <c r="A127" s="4" t="s">
        <v>142</v>
      </c>
      <c r="B127" s="5" t="s">
        <v>125</v>
      </c>
      <c r="C127" s="4" t="s">
        <v>117</v>
      </c>
      <c r="D127" s="5" t="s">
        <v>176</v>
      </c>
      <c r="E127" s="4" t="s">
        <v>32</v>
      </c>
      <c r="F127" s="4" t="s">
        <v>33</v>
      </c>
      <c r="G127" s="4" t="s">
        <v>16</v>
      </c>
      <c r="H127" s="6">
        <v>0.2</v>
      </c>
      <c r="I127" s="7">
        <v>25000</v>
      </c>
      <c r="J127" s="7">
        <f t="shared" si="4"/>
        <v>5000</v>
      </c>
      <c r="K127" s="8" t="s">
        <v>17</v>
      </c>
      <c r="L127" t="str">
        <f>IFERROR(VLOOKUP(F127,MÃ!$A:$B,2,0),0)</f>
        <v>NL300035</v>
      </c>
      <c r="M127" t="str">
        <f t="shared" si="5"/>
        <v>04/01/2026NL300035</v>
      </c>
      <c r="N127" s="15">
        <f>IFERROR(VLOOKUP(M127,'WS11'!$B$2:$Q$475,11,0),0)</f>
        <v>0.2</v>
      </c>
      <c r="O127" s="17">
        <f>IFERROR(VLOOKUP(M127,'WS11'!$B$2:$Q$475,12,0),0)</f>
        <v>25000</v>
      </c>
      <c r="P127" s="17">
        <f t="shared" si="6"/>
        <v>5000</v>
      </c>
      <c r="Q127" s="15">
        <f t="shared" si="7"/>
        <v>0</v>
      </c>
      <c r="R127" s="17">
        <f t="shared" si="7"/>
        <v>0</v>
      </c>
      <c r="S127" s="13"/>
    </row>
    <row r="128" spans="1:19" x14ac:dyDescent="0.25">
      <c r="A128" s="4" t="s">
        <v>142</v>
      </c>
      <c r="B128" s="5" t="s">
        <v>125</v>
      </c>
      <c r="C128" s="4" t="s">
        <v>117</v>
      </c>
      <c r="D128" s="5" t="s">
        <v>176</v>
      </c>
      <c r="E128" s="4" t="s">
        <v>34</v>
      </c>
      <c r="F128" s="4" t="s">
        <v>35</v>
      </c>
      <c r="G128" s="4" t="s">
        <v>16</v>
      </c>
      <c r="H128" s="6">
        <v>2.5</v>
      </c>
      <c r="I128" s="7">
        <v>32000</v>
      </c>
      <c r="J128" s="7">
        <f t="shared" si="4"/>
        <v>80000</v>
      </c>
      <c r="K128" s="8" t="s">
        <v>17</v>
      </c>
      <c r="L128" t="str">
        <f>IFERROR(VLOOKUP(F128,MÃ!$A:$B,2,0),0)</f>
        <v>NL300038</v>
      </c>
      <c r="M128" t="str">
        <f t="shared" si="5"/>
        <v>04/01/2026NL300038</v>
      </c>
      <c r="N128" s="15">
        <f>IFERROR(VLOOKUP(M128,'WS11'!$B$2:$Q$475,11,0),0)</f>
        <v>2</v>
      </c>
      <c r="O128" s="17">
        <f>IFERROR(VLOOKUP(M128,'WS11'!$B$2:$Q$475,12,0),0)</f>
        <v>32000</v>
      </c>
      <c r="P128" s="17">
        <f t="shared" si="6"/>
        <v>64000</v>
      </c>
      <c r="Q128" s="15">
        <f t="shared" si="7"/>
        <v>0.5</v>
      </c>
      <c r="R128" s="17">
        <f t="shared" si="7"/>
        <v>0</v>
      </c>
      <c r="S128" s="13" t="s">
        <v>543</v>
      </c>
    </row>
    <row r="129" spans="1:19" x14ac:dyDescent="0.25">
      <c r="A129" s="4" t="s">
        <v>142</v>
      </c>
      <c r="B129" s="5" t="s">
        <v>125</v>
      </c>
      <c r="C129" s="4" t="s">
        <v>117</v>
      </c>
      <c r="D129" s="5" t="s">
        <v>176</v>
      </c>
      <c r="E129" s="4" t="s">
        <v>97</v>
      </c>
      <c r="F129" s="4" t="s">
        <v>98</v>
      </c>
      <c r="G129" s="4" t="s">
        <v>99</v>
      </c>
      <c r="H129" s="6">
        <v>6</v>
      </c>
      <c r="I129" s="7">
        <v>15000</v>
      </c>
      <c r="J129" s="7">
        <f t="shared" si="4"/>
        <v>90000</v>
      </c>
      <c r="K129" s="8" t="s">
        <v>17</v>
      </c>
      <c r="L129" t="str">
        <f>IFERROR(VLOOKUP(F129,MÃ!$A:$B,2,0),0)</f>
        <v>NL300041</v>
      </c>
      <c r="M129" t="str">
        <f t="shared" si="5"/>
        <v>04/01/2026NL300041</v>
      </c>
      <c r="N129" s="15">
        <f>IFERROR(VLOOKUP(M129,'WS11'!$B$2:$Q$475,11,0),0)</f>
        <v>6</v>
      </c>
      <c r="O129" s="17">
        <f>IFERROR(VLOOKUP(M129,'WS11'!$B$2:$Q$475,12,0),0)</f>
        <v>15000</v>
      </c>
      <c r="P129" s="17">
        <f t="shared" si="6"/>
        <v>90000</v>
      </c>
      <c r="Q129" s="15">
        <f t="shared" si="7"/>
        <v>0</v>
      </c>
      <c r="R129" s="17">
        <f t="shared" si="7"/>
        <v>0</v>
      </c>
      <c r="S129" s="13"/>
    </row>
    <row r="130" spans="1:19" x14ac:dyDescent="0.25">
      <c r="A130" s="4" t="s">
        <v>142</v>
      </c>
      <c r="B130" s="5" t="s">
        <v>125</v>
      </c>
      <c r="C130" s="4" t="s">
        <v>117</v>
      </c>
      <c r="D130" s="5" t="s">
        <v>176</v>
      </c>
      <c r="E130" s="4" t="s">
        <v>38</v>
      </c>
      <c r="F130" s="4" t="s">
        <v>39</v>
      </c>
      <c r="G130" s="4" t="s">
        <v>16</v>
      </c>
      <c r="H130" s="6">
        <v>3</v>
      </c>
      <c r="I130" s="7">
        <v>55000</v>
      </c>
      <c r="J130" s="7">
        <f t="shared" si="4"/>
        <v>165000</v>
      </c>
      <c r="K130" s="8" t="s">
        <v>17</v>
      </c>
      <c r="L130" t="str">
        <f>IFERROR(VLOOKUP(F130,MÃ!$A:$B,2,0),0)</f>
        <v>NL300058</v>
      </c>
      <c r="M130" t="str">
        <f t="shared" si="5"/>
        <v>04/01/2026NL300058</v>
      </c>
      <c r="N130" s="15">
        <f>IFERROR(VLOOKUP(M130,'WS11'!$B$2:$Q$475,11,0),0)</f>
        <v>2</v>
      </c>
      <c r="O130" s="17">
        <f>IFERROR(VLOOKUP(M130,'WS11'!$B$2:$Q$475,12,0),0)</f>
        <v>55000</v>
      </c>
      <c r="P130" s="17">
        <f t="shared" si="6"/>
        <v>110000</v>
      </c>
      <c r="Q130" s="15">
        <f t="shared" si="7"/>
        <v>1</v>
      </c>
      <c r="R130" s="17">
        <f t="shared" si="7"/>
        <v>0</v>
      </c>
      <c r="S130" s="13" t="s">
        <v>543</v>
      </c>
    </row>
    <row r="131" spans="1:19" x14ac:dyDescent="0.25">
      <c r="A131" s="4" t="s">
        <v>142</v>
      </c>
      <c r="B131" s="5" t="s">
        <v>125</v>
      </c>
      <c r="C131" s="4" t="s">
        <v>117</v>
      </c>
      <c r="D131" s="5" t="s">
        <v>176</v>
      </c>
      <c r="E131" s="4" t="s">
        <v>40</v>
      </c>
      <c r="F131" s="4" t="s">
        <v>41</v>
      </c>
      <c r="G131" s="4" t="s">
        <v>16</v>
      </c>
      <c r="H131" s="6">
        <v>0.5</v>
      </c>
      <c r="I131" s="7">
        <v>80000</v>
      </c>
      <c r="J131" s="7">
        <f t="shared" si="4"/>
        <v>40000</v>
      </c>
      <c r="K131" s="8" t="s">
        <v>17</v>
      </c>
      <c r="L131" t="str">
        <f>IFERROR(VLOOKUP(F131,MÃ!$A:$B,2,0),0)</f>
        <v>NL300055</v>
      </c>
      <c r="M131" t="str">
        <f t="shared" si="5"/>
        <v>04/01/2026NL300055</v>
      </c>
      <c r="N131" s="15">
        <f>IFERROR(VLOOKUP(M131,'WS11'!$B$2:$Q$475,11,0),0)</f>
        <v>0.5</v>
      </c>
      <c r="O131" s="17">
        <f>IFERROR(VLOOKUP(M131,'WS11'!$B$2:$Q$475,12,0),0)</f>
        <v>80000</v>
      </c>
      <c r="P131" s="17">
        <f t="shared" si="6"/>
        <v>40000</v>
      </c>
      <c r="Q131" s="15">
        <f t="shared" si="7"/>
        <v>0</v>
      </c>
      <c r="R131" s="17">
        <f t="shared" si="7"/>
        <v>0</v>
      </c>
      <c r="S131" s="13"/>
    </row>
    <row r="132" spans="1:19" x14ac:dyDescent="0.25">
      <c r="A132" s="4" t="s">
        <v>142</v>
      </c>
      <c r="B132" s="5" t="s">
        <v>125</v>
      </c>
      <c r="C132" s="4" t="s">
        <v>117</v>
      </c>
      <c r="D132" s="5" t="s">
        <v>176</v>
      </c>
      <c r="E132" s="4" t="s">
        <v>63</v>
      </c>
      <c r="F132" s="4" t="s">
        <v>64</v>
      </c>
      <c r="G132" s="4" t="s">
        <v>16</v>
      </c>
      <c r="H132" s="6">
        <v>0.5</v>
      </c>
      <c r="I132" s="7">
        <v>65000</v>
      </c>
      <c r="J132" s="7">
        <f t="shared" si="4"/>
        <v>32500</v>
      </c>
      <c r="K132" s="8" t="s">
        <v>17</v>
      </c>
      <c r="L132" t="str">
        <f>IFERROR(VLOOKUP(F132,MÃ!$A:$B,2,0),0)</f>
        <v>NL300062</v>
      </c>
      <c r="M132" t="str">
        <f t="shared" si="5"/>
        <v>04/01/2026NL300062</v>
      </c>
      <c r="N132" s="15">
        <f>IFERROR(VLOOKUP(M132,'WS11'!$B$2:$Q$475,11,0),0)</f>
        <v>0.5</v>
      </c>
      <c r="O132" s="17">
        <f>IFERROR(VLOOKUP(M132,'WS11'!$B$2:$Q$475,12,0),0)</f>
        <v>65000</v>
      </c>
      <c r="P132" s="17">
        <f t="shared" si="6"/>
        <v>32500</v>
      </c>
      <c r="Q132" s="15">
        <f t="shared" si="7"/>
        <v>0</v>
      </c>
      <c r="R132" s="17">
        <f t="shared" si="7"/>
        <v>0</v>
      </c>
      <c r="S132" s="13"/>
    </row>
    <row r="133" spans="1:19" x14ac:dyDescent="0.25">
      <c r="A133" s="4" t="s">
        <v>142</v>
      </c>
      <c r="B133" s="5" t="s">
        <v>125</v>
      </c>
      <c r="C133" s="4" t="s">
        <v>117</v>
      </c>
      <c r="D133" s="5" t="s">
        <v>176</v>
      </c>
      <c r="E133" s="4" t="s">
        <v>42</v>
      </c>
      <c r="F133" s="4" t="s">
        <v>43</v>
      </c>
      <c r="G133" s="4" t="s">
        <v>16</v>
      </c>
      <c r="H133" s="6">
        <v>0.1</v>
      </c>
      <c r="I133" s="7">
        <v>42000</v>
      </c>
      <c r="J133" s="7">
        <f t="shared" si="4"/>
        <v>4200</v>
      </c>
      <c r="K133" s="8" t="s">
        <v>17</v>
      </c>
      <c r="L133" t="str">
        <f>IFERROR(VLOOKUP(F133,MÃ!$A:$B,2,0),0)</f>
        <v>NL300073</v>
      </c>
      <c r="M133" t="str">
        <f t="shared" si="5"/>
        <v>04/01/2026NL300073</v>
      </c>
      <c r="N133" s="15">
        <f>IFERROR(VLOOKUP(M133,'WS11'!$B$2:$Q$475,11,0),0)</f>
        <v>0.1</v>
      </c>
      <c r="O133" s="17">
        <f>IFERROR(VLOOKUP(M133,'WS11'!$B$2:$Q$475,12,0),0)</f>
        <v>42000</v>
      </c>
      <c r="P133" s="17">
        <f t="shared" si="6"/>
        <v>4200</v>
      </c>
      <c r="Q133" s="15">
        <f t="shared" si="7"/>
        <v>0</v>
      </c>
      <c r="R133" s="17">
        <f t="shared" si="7"/>
        <v>0</v>
      </c>
      <c r="S133" s="13"/>
    </row>
    <row r="134" spans="1:19" x14ac:dyDescent="0.25">
      <c r="A134" s="4" t="s">
        <v>142</v>
      </c>
      <c r="B134" s="5" t="s">
        <v>125</v>
      </c>
      <c r="C134" s="4" t="s">
        <v>117</v>
      </c>
      <c r="D134" s="5" t="s">
        <v>176</v>
      </c>
      <c r="E134" s="4" t="s">
        <v>67</v>
      </c>
      <c r="F134" s="4" t="s">
        <v>68</v>
      </c>
      <c r="G134" s="4" t="s">
        <v>16</v>
      </c>
      <c r="H134" s="6">
        <v>0.5</v>
      </c>
      <c r="I134" s="7">
        <v>18000</v>
      </c>
      <c r="J134" s="7">
        <f t="shared" si="4"/>
        <v>9000</v>
      </c>
      <c r="K134" s="8" t="s">
        <v>17</v>
      </c>
      <c r="L134" t="str">
        <f>IFERROR(VLOOKUP(F134,MÃ!$A:$B,2,0),0)</f>
        <v>NL300184</v>
      </c>
      <c r="M134" t="str">
        <f t="shared" si="5"/>
        <v>04/01/2026NL300184</v>
      </c>
      <c r="N134" s="15">
        <f>IFERROR(VLOOKUP(M134,'WS11'!$B$2:$Q$475,11,0),0)</f>
        <v>0.5</v>
      </c>
      <c r="O134" s="17">
        <f>IFERROR(VLOOKUP(M134,'WS11'!$B$2:$Q$475,12,0),0)</f>
        <v>18000</v>
      </c>
      <c r="P134" s="17">
        <f t="shared" si="6"/>
        <v>9000</v>
      </c>
      <c r="Q134" s="15">
        <f t="shared" si="7"/>
        <v>0</v>
      </c>
      <c r="R134" s="17">
        <f t="shared" si="7"/>
        <v>0</v>
      </c>
      <c r="S134" s="13"/>
    </row>
    <row r="135" spans="1:19" x14ac:dyDescent="0.25">
      <c r="A135" s="4" t="s">
        <v>142</v>
      </c>
      <c r="B135" s="5" t="s">
        <v>125</v>
      </c>
      <c r="C135" s="4" t="s">
        <v>117</v>
      </c>
      <c r="D135" s="5" t="s">
        <v>176</v>
      </c>
      <c r="E135" s="4" t="s">
        <v>14</v>
      </c>
      <c r="F135" s="4" t="s">
        <v>15</v>
      </c>
      <c r="G135" s="4" t="s">
        <v>16</v>
      </c>
      <c r="H135" s="6">
        <v>4</v>
      </c>
      <c r="I135" s="7">
        <v>27000</v>
      </c>
      <c r="J135" s="7">
        <f t="shared" si="4"/>
        <v>108000</v>
      </c>
      <c r="K135" s="8" t="s">
        <v>17</v>
      </c>
      <c r="L135" t="str">
        <f>IFERROR(VLOOKUP(F135,MÃ!$A:$B,2,0),0)</f>
        <v>NL300088</v>
      </c>
      <c r="M135" t="str">
        <f t="shared" si="5"/>
        <v>04/01/2026NL300088</v>
      </c>
      <c r="N135" s="15">
        <f>IFERROR(VLOOKUP(M135,'WS11'!$B$2:$Q$475,11,0),0)</f>
        <v>3</v>
      </c>
      <c r="O135" s="17">
        <f>IFERROR(VLOOKUP(M135,'WS11'!$B$2:$Q$475,12,0),0)</f>
        <v>27000</v>
      </c>
      <c r="P135" s="17">
        <f t="shared" si="6"/>
        <v>81000</v>
      </c>
      <c r="Q135" s="15">
        <f t="shared" si="7"/>
        <v>1</v>
      </c>
      <c r="R135" s="17">
        <f t="shared" si="7"/>
        <v>0</v>
      </c>
      <c r="S135" s="13" t="s">
        <v>543</v>
      </c>
    </row>
    <row r="136" spans="1:19" x14ac:dyDescent="0.25">
      <c r="A136" s="4" t="s">
        <v>142</v>
      </c>
      <c r="B136" s="5" t="s">
        <v>125</v>
      </c>
      <c r="C136" s="4" t="s">
        <v>117</v>
      </c>
      <c r="D136" s="5" t="s">
        <v>176</v>
      </c>
      <c r="E136" s="4" t="s">
        <v>69</v>
      </c>
      <c r="F136" s="4" t="s">
        <v>70</v>
      </c>
      <c r="G136" s="4" t="s">
        <v>16</v>
      </c>
      <c r="H136" s="6">
        <v>3</v>
      </c>
      <c r="I136" s="7">
        <v>145000</v>
      </c>
      <c r="J136" s="7">
        <f t="shared" si="4"/>
        <v>435000</v>
      </c>
      <c r="K136" s="8" t="s">
        <v>17</v>
      </c>
      <c r="L136" t="str">
        <f>IFERROR(VLOOKUP(F136,MÃ!$A:$B,2,0),0)</f>
        <v>NL300090</v>
      </c>
      <c r="M136" t="str">
        <f t="shared" si="5"/>
        <v>04/01/2026NL300090</v>
      </c>
      <c r="N136" s="15">
        <f>IFERROR(VLOOKUP(M136,'WS11'!$B$2:$Q$475,11,0),0)</f>
        <v>1.5</v>
      </c>
      <c r="O136" s="17">
        <f>IFERROR(VLOOKUP(M136,'WS11'!$B$2:$Q$475,12,0),0)</f>
        <v>145000</v>
      </c>
      <c r="P136" s="17">
        <f t="shared" si="6"/>
        <v>217500</v>
      </c>
      <c r="Q136" s="15">
        <f t="shared" si="7"/>
        <v>1.5</v>
      </c>
      <c r="R136" s="17">
        <f t="shared" si="7"/>
        <v>0</v>
      </c>
      <c r="S136" s="13" t="s">
        <v>543</v>
      </c>
    </row>
    <row r="137" spans="1:19" x14ac:dyDescent="0.25">
      <c r="A137" s="4" t="s">
        <v>142</v>
      </c>
      <c r="B137" s="5" t="s">
        <v>125</v>
      </c>
      <c r="C137" s="4" t="s">
        <v>117</v>
      </c>
      <c r="D137" s="5" t="s">
        <v>176</v>
      </c>
      <c r="E137" s="4" t="s">
        <v>71</v>
      </c>
      <c r="F137" s="4" t="s">
        <v>72</v>
      </c>
      <c r="G137" s="4" t="s">
        <v>16</v>
      </c>
      <c r="H137" s="6">
        <v>2</v>
      </c>
      <c r="I137" s="7">
        <v>47000</v>
      </c>
      <c r="J137" s="7">
        <f t="shared" si="4"/>
        <v>94000</v>
      </c>
      <c r="K137" s="8" t="s">
        <v>17</v>
      </c>
      <c r="L137" t="str">
        <f>IFERROR(VLOOKUP(F137,MÃ!$A:$B,2,0),0)</f>
        <v>NL300091</v>
      </c>
      <c r="M137" t="str">
        <f t="shared" si="5"/>
        <v>04/01/2026NL300091</v>
      </c>
      <c r="N137" s="15">
        <f>IFERROR(VLOOKUP(M137,'WS11'!$B$2:$Q$475,11,0),0)</f>
        <v>1.8</v>
      </c>
      <c r="O137" s="17">
        <f>IFERROR(VLOOKUP(M137,'WS11'!$B$2:$Q$475,12,0),0)</f>
        <v>47000</v>
      </c>
      <c r="P137" s="17">
        <f t="shared" si="6"/>
        <v>84600</v>
      </c>
      <c r="Q137" s="15">
        <f t="shared" si="7"/>
        <v>0.19999999999999996</v>
      </c>
      <c r="R137" s="17">
        <f t="shared" si="7"/>
        <v>0</v>
      </c>
      <c r="S137" s="13" t="s">
        <v>543</v>
      </c>
    </row>
    <row r="138" spans="1:19" x14ac:dyDescent="0.25">
      <c r="A138" s="4" t="s">
        <v>142</v>
      </c>
      <c r="B138" s="5" t="s">
        <v>125</v>
      </c>
      <c r="C138" s="4" t="s">
        <v>117</v>
      </c>
      <c r="D138" s="5" t="s">
        <v>176</v>
      </c>
      <c r="E138" s="4" t="s">
        <v>73</v>
      </c>
      <c r="F138" s="4" t="s">
        <v>74</v>
      </c>
      <c r="G138" s="4" t="s">
        <v>16</v>
      </c>
      <c r="H138" s="6">
        <v>2</v>
      </c>
      <c r="I138" s="7">
        <v>90000</v>
      </c>
      <c r="J138" s="7">
        <f t="shared" si="4"/>
        <v>180000</v>
      </c>
      <c r="K138" s="8" t="s">
        <v>17</v>
      </c>
      <c r="L138" t="str">
        <f>IFERROR(VLOOKUP(F138,MÃ!$A:$B,2,0),0)</f>
        <v>NL300092</v>
      </c>
      <c r="M138" t="str">
        <f t="shared" si="5"/>
        <v>04/01/2026NL300092</v>
      </c>
      <c r="N138" s="15">
        <f>IFERROR(VLOOKUP(M138,'WS11'!$B$2:$Q$475,11,0),0)</f>
        <v>1.6</v>
      </c>
      <c r="O138" s="17">
        <f>IFERROR(VLOOKUP(M138,'WS11'!$B$2:$Q$475,12,0),0)</f>
        <v>90000</v>
      </c>
      <c r="P138" s="17">
        <f t="shared" si="6"/>
        <v>144000</v>
      </c>
      <c r="Q138" s="15">
        <f t="shared" si="7"/>
        <v>0.39999999999999991</v>
      </c>
      <c r="R138" s="17">
        <f t="shared" si="7"/>
        <v>0</v>
      </c>
      <c r="S138" s="13" t="s">
        <v>543</v>
      </c>
    </row>
    <row r="139" spans="1:19" x14ac:dyDescent="0.25">
      <c r="A139" s="4" t="s">
        <v>142</v>
      </c>
      <c r="B139" s="5" t="s">
        <v>125</v>
      </c>
      <c r="C139" s="4" t="s">
        <v>117</v>
      </c>
      <c r="D139" s="5" t="s">
        <v>176</v>
      </c>
      <c r="E139" s="4" t="s">
        <v>100</v>
      </c>
      <c r="F139" s="4" t="s">
        <v>101</v>
      </c>
      <c r="G139" s="4" t="s">
        <v>16</v>
      </c>
      <c r="H139" s="6">
        <v>1</v>
      </c>
      <c r="I139" s="7">
        <v>80000</v>
      </c>
      <c r="J139" s="7">
        <f t="shared" si="4"/>
        <v>80000</v>
      </c>
      <c r="K139" s="8" t="s">
        <v>17</v>
      </c>
      <c r="L139" t="str">
        <f>IFERROR(VLOOKUP(F139,MÃ!$A:$B,2,0),0)</f>
        <v>NL300094</v>
      </c>
      <c r="M139" t="str">
        <f t="shared" si="5"/>
        <v>04/01/2026NL300094</v>
      </c>
      <c r="N139" s="15">
        <f>IFERROR(VLOOKUP(M139,'WS11'!$B$2:$Q$475,11,0),0)</f>
        <v>0.9</v>
      </c>
      <c r="O139" s="17">
        <f>IFERROR(VLOOKUP(M139,'WS11'!$B$2:$Q$475,12,0),0)</f>
        <v>80000</v>
      </c>
      <c r="P139" s="17">
        <f t="shared" si="6"/>
        <v>72000</v>
      </c>
      <c r="Q139" s="15">
        <f t="shared" si="7"/>
        <v>9.9999999999999978E-2</v>
      </c>
      <c r="R139" s="17">
        <f t="shared" si="7"/>
        <v>0</v>
      </c>
      <c r="S139" s="13" t="s">
        <v>543</v>
      </c>
    </row>
    <row r="140" spans="1:19" x14ac:dyDescent="0.25">
      <c r="A140" s="4" t="s">
        <v>142</v>
      </c>
      <c r="B140" s="5" t="s">
        <v>125</v>
      </c>
      <c r="C140" s="4" t="s">
        <v>117</v>
      </c>
      <c r="D140" s="5" t="s">
        <v>176</v>
      </c>
      <c r="E140" s="4" t="s">
        <v>44</v>
      </c>
      <c r="F140" s="4" t="s">
        <v>45</v>
      </c>
      <c r="G140" s="4" t="s">
        <v>16</v>
      </c>
      <c r="H140" s="6">
        <v>5</v>
      </c>
      <c r="I140" s="7">
        <v>45000</v>
      </c>
      <c r="J140" s="7">
        <f t="shared" si="4"/>
        <v>225000</v>
      </c>
      <c r="K140" s="8" t="s">
        <v>17</v>
      </c>
      <c r="L140" t="str">
        <f>IFERROR(VLOOKUP(F140,MÃ!$A:$B,2,0),0)</f>
        <v>NL300096</v>
      </c>
      <c r="M140" t="str">
        <f t="shared" si="5"/>
        <v>04/01/2026NL300096</v>
      </c>
      <c r="N140" s="15">
        <f>IFERROR(VLOOKUP(M140,'WS11'!$B$2:$Q$475,11,0),0)</f>
        <v>4</v>
      </c>
      <c r="O140" s="17">
        <f>IFERROR(VLOOKUP(M140,'WS11'!$B$2:$Q$475,12,0),0)</f>
        <v>45000</v>
      </c>
      <c r="P140" s="17">
        <f t="shared" si="6"/>
        <v>180000</v>
      </c>
      <c r="Q140" s="15">
        <f t="shared" si="7"/>
        <v>1</v>
      </c>
      <c r="R140" s="17">
        <f t="shared" si="7"/>
        <v>0</v>
      </c>
      <c r="S140" s="13" t="s">
        <v>543</v>
      </c>
    </row>
    <row r="141" spans="1:19" x14ac:dyDescent="0.25">
      <c r="A141" s="4" t="s">
        <v>142</v>
      </c>
      <c r="B141" s="5" t="s">
        <v>125</v>
      </c>
      <c r="C141" s="4" t="s">
        <v>117</v>
      </c>
      <c r="D141" s="5" t="s">
        <v>176</v>
      </c>
      <c r="E141" s="4" t="s">
        <v>75</v>
      </c>
      <c r="F141" s="4" t="s">
        <v>76</v>
      </c>
      <c r="G141" s="4" t="s">
        <v>16</v>
      </c>
      <c r="H141" s="6">
        <v>1.5</v>
      </c>
      <c r="I141" s="7">
        <v>90000</v>
      </c>
      <c r="J141" s="7">
        <f t="shared" si="4"/>
        <v>135000</v>
      </c>
      <c r="K141" s="8" t="s">
        <v>17</v>
      </c>
      <c r="L141" t="str">
        <f>IFERROR(VLOOKUP(F141,MÃ!$A:$B,2,0),0)</f>
        <v>NL300097</v>
      </c>
      <c r="M141" t="str">
        <f t="shared" si="5"/>
        <v>04/01/2026NL300097</v>
      </c>
      <c r="N141" s="15">
        <f>IFERROR(VLOOKUP(M141,'WS11'!$B$2:$Q$475,11,0),0)</f>
        <v>1.3</v>
      </c>
      <c r="O141" s="17">
        <f>IFERROR(VLOOKUP(M141,'WS11'!$B$2:$Q$475,12,0),0)</f>
        <v>90000</v>
      </c>
      <c r="P141" s="17">
        <f t="shared" si="6"/>
        <v>117000</v>
      </c>
      <c r="Q141" s="15">
        <f t="shared" si="7"/>
        <v>0.19999999999999996</v>
      </c>
      <c r="R141" s="17">
        <f t="shared" si="7"/>
        <v>0</v>
      </c>
      <c r="S141" s="13" t="s">
        <v>543</v>
      </c>
    </row>
    <row r="142" spans="1:19" x14ac:dyDescent="0.25">
      <c r="A142" s="4" t="s">
        <v>142</v>
      </c>
      <c r="B142" s="5" t="s">
        <v>125</v>
      </c>
      <c r="C142" s="4" t="s">
        <v>117</v>
      </c>
      <c r="D142" s="5" t="s">
        <v>176</v>
      </c>
      <c r="E142" s="4" t="s">
        <v>77</v>
      </c>
      <c r="F142" s="4" t="s">
        <v>78</v>
      </c>
      <c r="G142" s="4" t="s">
        <v>16</v>
      </c>
      <c r="H142" s="6">
        <v>2.5</v>
      </c>
      <c r="I142" s="7">
        <v>45000</v>
      </c>
      <c r="J142" s="7">
        <f t="shared" si="4"/>
        <v>112500</v>
      </c>
      <c r="K142" s="8" t="s">
        <v>17</v>
      </c>
      <c r="L142" t="str">
        <f>IFERROR(VLOOKUP(F142,MÃ!$A:$B,2,0),0)</f>
        <v>NL300085</v>
      </c>
      <c r="M142" t="str">
        <f t="shared" si="5"/>
        <v>04/01/2026NL300085</v>
      </c>
      <c r="N142" s="15">
        <f>IFERROR(VLOOKUP(M142,'WS11'!$B$2:$Q$475,11,0),0)</f>
        <v>1.5</v>
      </c>
      <c r="O142" s="17">
        <f>IFERROR(VLOOKUP(M142,'WS11'!$B$2:$Q$475,12,0),0)</f>
        <v>45000</v>
      </c>
      <c r="P142" s="17">
        <f t="shared" si="6"/>
        <v>67500</v>
      </c>
      <c r="Q142" s="15">
        <f t="shared" si="7"/>
        <v>1</v>
      </c>
      <c r="R142" s="17">
        <f t="shared" si="7"/>
        <v>0</v>
      </c>
      <c r="S142" s="13" t="s">
        <v>543</v>
      </c>
    </row>
    <row r="143" spans="1:19" x14ac:dyDescent="0.25">
      <c r="A143" s="4" t="s">
        <v>142</v>
      </c>
      <c r="B143" s="5" t="s">
        <v>125</v>
      </c>
      <c r="C143" s="4" t="s">
        <v>117</v>
      </c>
      <c r="D143" s="5" t="s">
        <v>176</v>
      </c>
      <c r="E143" s="4" t="s">
        <v>102</v>
      </c>
      <c r="F143" s="4" t="s">
        <v>103</v>
      </c>
      <c r="G143" s="4" t="s">
        <v>16</v>
      </c>
      <c r="H143" s="6">
        <v>0.8</v>
      </c>
      <c r="I143" s="7">
        <v>145000</v>
      </c>
      <c r="J143" s="7">
        <f t="shared" si="4"/>
        <v>116000</v>
      </c>
      <c r="K143" s="8" t="s">
        <v>17</v>
      </c>
      <c r="L143" t="str">
        <f>IFERROR(VLOOKUP(F143,MÃ!$A:$B,2,0),0)</f>
        <v>NL300113</v>
      </c>
      <c r="M143" t="str">
        <f t="shared" si="5"/>
        <v>04/01/2026NL300113</v>
      </c>
      <c r="N143" s="15">
        <f>IFERROR(VLOOKUP(M143,'WS11'!$B$2:$Q$475,11,0),0)</f>
        <v>0.5</v>
      </c>
      <c r="O143" s="17">
        <f>IFERROR(VLOOKUP(M143,'WS11'!$B$2:$Q$475,12,0),0)</f>
        <v>145000</v>
      </c>
      <c r="P143" s="17">
        <f t="shared" si="6"/>
        <v>72500</v>
      </c>
      <c r="Q143" s="15">
        <f t="shared" si="7"/>
        <v>0.30000000000000004</v>
      </c>
      <c r="R143" s="17">
        <f t="shared" si="7"/>
        <v>0</v>
      </c>
      <c r="S143" s="13" t="s">
        <v>543</v>
      </c>
    </row>
    <row r="144" spans="1:19" x14ac:dyDescent="0.25">
      <c r="A144" s="4" t="s">
        <v>142</v>
      </c>
      <c r="B144" s="5" t="s">
        <v>125</v>
      </c>
      <c r="C144" s="4" t="s">
        <v>117</v>
      </c>
      <c r="D144" s="5" t="s">
        <v>176</v>
      </c>
      <c r="E144" s="4" t="s">
        <v>46</v>
      </c>
      <c r="F144" s="4" t="s">
        <v>47</v>
      </c>
      <c r="G144" s="4" t="s">
        <v>16</v>
      </c>
      <c r="H144" s="6">
        <v>0.5</v>
      </c>
      <c r="I144" s="7">
        <v>148000</v>
      </c>
      <c r="J144" s="7">
        <f t="shared" ref="J144:J207" si="8">H144*I144</f>
        <v>74000</v>
      </c>
      <c r="K144" s="8" t="s">
        <v>17</v>
      </c>
      <c r="L144" t="str">
        <f>IFERROR(VLOOKUP(F144,MÃ!$A:$B,2,0),0)</f>
        <v>NL300116</v>
      </c>
      <c r="M144" t="str">
        <f t="shared" ref="M144:M207" si="9">"0"&amp;DAY(A144)&amp;"/01/2026"&amp;L144</f>
        <v>04/01/2026NL300116</v>
      </c>
      <c r="N144" s="15">
        <f>IFERROR(VLOOKUP(M144,'WS11'!$B$2:$Q$475,11,0),0)</f>
        <v>0.4</v>
      </c>
      <c r="O144" s="17">
        <f>IFERROR(VLOOKUP(M144,'WS11'!$B$2:$Q$475,12,0),0)</f>
        <v>148000</v>
      </c>
      <c r="P144" s="17">
        <f t="shared" ref="P144:P207" si="10">N144*O144</f>
        <v>59200</v>
      </c>
      <c r="Q144" s="15">
        <f t="shared" ref="Q144:R207" si="11">H144-N144</f>
        <v>9.9999999999999978E-2</v>
      </c>
      <c r="R144" s="17">
        <f t="shared" si="11"/>
        <v>0</v>
      </c>
      <c r="S144" s="13" t="s">
        <v>543</v>
      </c>
    </row>
    <row r="145" spans="1:19" x14ac:dyDescent="0.25">
      <c r="A145" s="4" t="s">
        <v>142</v>
      </c>
      <c r="B145" s="5" t="s">
        <v>125</v>
      </c>
      <c r="C145" s="4" t="s">
        <v>117</v>
      </c>
      <c r="D145" s="5" t="s">
        <v>176</v>
      </c>
      <c r="E145" s="4" t="s">
        <v>48</v>
      </c>
      <c r="F145" s="4" t="s">
        <v>49</v>
      </c>
      <c r="G145" s="4" t="s">
        <v>16</v>
      </c>
      <c r="H145" s="6">
        <v>0.5</v>
      </c>
      <c r="I145" s="7">
        <v>42000</v>
      </c>
      <c r="J145" s="7">
        <f t="shared" si="8"/>
        <v>21000</v>
      </c>
      <c r="K145" s="8" t="s">
        <v>17</v>
      </c>
      <c r="L145" t="str">
        <f>IFERROR(VLOOKUP(F145,MÃ!$A:$B,2,0),0)</f>
        <v>NL300125</v>
      </c>
      <c r="M145" t="str">
        <f t="shared" si="9"/>
        <v>04/01/2026NL300125</v>
      </c>
      <c r="N145" s="15">
        <f>IFERROR(VLOOKUP(M145,'WS11'!$B$2:$Q$475,11,0),0)</f>
        <v>0.5</v>
      </c>
      <c r="O145" s="17">
        <f>IFERROR(VLOOKUP(M145,'WS11'!$B$2:$Q$475,12,0),0)</f>
        <v>42000</v>
      </c>
      <c r="P145" s="17">
        <f t="shared" si="10"/>
        <v>21000</v>
      </c>
      <c r="Q145" s="15">
        <f t="shared" si="11"/>
        <v>0</v>
      </c>
      <c r="R145" s="17">
        <f t="shared" si="11"/>
        <v>0</v>
      </c>
      <c r="S145" s="13"/>
    </row>
    <row r="146" spans="1:19" x14ac:dyDescent="0.25">
      <c r="A146" s="4" t="s">
        <v>142</v>
      </c>
      <c r="B146" s="5" t="s">
        <v>125</v>
      </c>
      <c r="C146" s="4" t="s">
        <v>117</v>
      </c>
      <c r="D146" s="5" t="s">
        <v>176</v>
      </c>
      <c r="E146" s="4" t="s">
        <v>50</v>
      </c>
      <c r="F146" s="4" t="s">
        <v>51</v>
      </c>
      <c r="G146" s="4" t="s">
        <v>16</v>
      </c>
      <c r="H146" s="6">
        <v>0.3</v>
      </c>
      <c r="I146" s="7">
        <v>22000</v>
      </c>
      <c r="J146" s="7">
        <f t="shared" si="8"/>
        <v>6600</v>
      </c>
      <c r="K146" s="8" t="s">
        <v>17</v>
      </c>
      <c r="L146" t="str">
        <f>IFERROR(VLOOKUP(F146,MÃ!$A:$B,2,0),0)</f>
        <v>NL300121</v>
      </c>
      <c r="M146" t="str">
        <f t="shared" si="9"/>
        <v>04/01/2026NL300121</v>
      </c>
      <c r="N146" s="15">
        <f>IFERROR(VLOOKUP(M146,'WS11'!$B$2:$Q$475,11,0),0)</f>
        <v>0.3</v>
      </c>
      <c r="O146" s="17">
        <f>IFERROR(VLOOKUP(M146,'WS11'!$B$2:$Q$475,12,0),0)</f>
        <v>22000</v>
      </c>
      <c r="P146" s="17">
        <f t="shared" si="10"/>
        <v>6600</v>
      </c>
      <c r="Q146" s="15">
        <f t="shared" si="11"/>
        <v>0</v>
      </c>
      <c r="R146" s="17">
        <f t="shared" si="11"/>
        <v>0</v>
      </c>
      <c r="S146" s="13"/>
    </row>
    <row r="147" spans="1:19" x14ac:dyDescent="0.25">
      <c r="A147" s="4" t="s">
        <v>142</v>
      </c>
      <c r="B147" s="5" t="s">
        <v>125</v>
      </c>
      <c r="C147" s="4" t="s">
        <v>117</v>
      </c>
      <c r="D147" s="5" t="s">
        <v>176</v>
      </c>
      <c r="E147" s="4" t="s">
        <v>81</v>
      </c>
      <c r="F147" s="4" t="s">
        <v>82</v>
      </c>
      <c r="G147" s="4" t="s">
        <v>16</v>
      </c>
      <c r="H147" s="6">
        <v>0.5</v>
      </c>
      <c r="I147" s="7">
        <v>12000</v>
      </c>
      <c r="J147" s="7">
        <f t="shared" si="8"/>
        <v>6000</v>
      </c>
      <c r="K147" s="8" t="s">
        <v>17</v>
      </c>
      <c r="L147" t="str">
        <f>IFERROR(VLOOKUP(F147,MÃ!$A:$B,2,0),0)</f>
        <v>NL300132</v>
      </c>
      <c r="M147" t="str">
        <f t="shared" si="9"/>
        <v>04/01/2026NL300132</v>
      </c>
      <c r="N147" s="15">
        <f>IFERROR(VLOOKUP(M147,'WS11'!$B$2:$Q$475,11,0),0)</f>
        <v>0.5</v>
      </c>
      <c r="O147" s="17">
        <f>IFERROR(VLOOKUP(M147,'WS11'!$B$2:$Q$475,12,0),0)</f>
        <v>12000</v>
      </c>
      <c r="P147" s="17">
        <f t="shared" si="10"/>
        <v>6000</v>
      </c>
      <c r="Q147" s="15">
        <f t="shared" si="11"/>
        <v>0</v>
      </c>
      <c r="R147" s="17">
        <f t="shared" si="11"/>
        <v>0</v>
      </c>
      <c r="S147" s="13"/>
    </row>
    <row r="148" spans="1:19" x14ac:dyDescent="0.25">
      <c r="A148" s="4" t="s">
        <v>142</v>
      </c>
      <c r="B148" s="5" t="s">
        <v>125</v>
      </c>
      <c r="C148" s="4" t="s">
        <v>117</v>
      </c>
      <c r="D148" s="5" t="s">
        <v>176</v>
      </c>
      <c r="E148" s="4" t="s">
        <v>52</v>
      </c>
      <c r="F148" s="4" t="s">
        <v>53</v>
      </c>
      <c r="G148" s="4" t="s">
        <v>16</v>
      </c>
      <c r="H148" s="6">
        <v>1.5</v>
      </c>
      <c r="I148" s="7">
        <v>21000</v>
      </c>
      <c r="J148" s="7">
        <f t="shared" si="8"/>
        <v>31500</v>
      </c>
      <c r="K148" s="8" t="s">
        <v>17</v>
      </c>
      <c r="L148" t="str">
        <f>IFERROR(VLOOKUP(F148,MÃ!$A:$B,2,0),0)</f>
        <v>NL300119</v>
      </c>
      <c r="M148" t="str">
        <f t="shared" si="9"/>
        <v>04/01/2026NL300119</v>
      </c>
      <c r="N148" s="15">
        <f>IFERROR(VLOOKUP(M148,'WS11'!$B$2:$Q$475,11,0),0)</f>
        <v>1</v>
      </c>
      <c r="O148" s="17">
        <f>IFERROR(VLOOKUP(M148,'WS11'!$B$2:$Q$475,12,0),0)</f>
        <v>21000</v>
      </c>
      <c r="P148" s="17">
        <f t="shared" si="10"/>
        <v>21000</v>
      </c>
      <c r="Q148" s="15">
        <f t="shared" si="11"/>
        <v>0.5</v>
      </c>
      <c r="R148" s="17">
        <f t="shared" si="11"/>
        <v>0</v>
      </c>
      <c r="S148" s="13" t="s">
        <v>543</v>
      </c>
    </row>
    <row r="149" spans="1:19" x14ac:dyDescent="0.25">
      <c r="A149" s="4" t="s">
        <v>142</v>
      </c>
      <c r="B149" s="5" t="s">
        <v>125</v>
      </c>
      <c r="C149" s="4" t="s">
        <v>117</v>
      </c>
      <c r="D149" s="5" t="s">
        <v>176</v>
      </c>
      <c r="E149" s="4" t="s">
        <v>85</v>
      </c>
      <c r="F149" s="4" t="s">
        <v>86</v>
      </c>
      <c r="G149" s="4" t="s">
        <v>16</v>
      </c>
      <c r="H149" s="6">
        <v>1.5</v>
      </c>
      <c r="I149" s="7">
        <v>50000</v>
      </c>
      <c r="J149" s="7">
        <f t="shared" si="8"/>
        <v>75000</v>
      </c>
      <c r="K149" s="8" t="s">
        <v>17</v>
      </c>
      <c r="L149" t="str">
        <f>IFERROR(VLOOKUP(F149,MÃ!$A:$B,2,0),0)</f>
        <v>NL300142</v>
      </c>
      <c r="M149" t="str">
        <f t="shared" si="9"/>
        <v>04/01/2026NL300142</v>
      </c>
      <c r="N149" s="15">
        <f>IFERROR(VLOOKUP(M149,'WS11'!$B$2:$Q$475,11,0),0)</f>
        <v>1.5</v>
      </c>
      <c r="O149" s="17">
        <f>IFERROR(VLOOKUP(M149,'WS11'!$B$2:$Q$475,12,0),0)</f>
        <v>50000</v>
      </c>
      <c r="P149" s="17">
        <f t="shared" si="10"/>
        <v>75000</v>
      </c>
      <c r="Q149" s="15">
        <f t="shared" si="11"/>
        <v>0</v>
      </c>
      <c r="R149" s="17">
        <f t="shared" si="11"/>
        <v>0</v>
      </c>
      <c r="S149" s="13"/>
    </row>
    <row r="150" spans="1:19" x14ac:dyDescent="0.25">
      <c r="A150" s="4" t="s">
        <v>142</v>
      </c>
      <c r="B150" s="5" t="s">
        <v>125</v>
      </c>
      <c r="C150" s="4" t="s">
        <v>117</v>
      </c>
      <c r="D150" s="5" t="s">
        <v>176</v>
      </c>
      <c r="E150" s="4" t="s">
        <v>106</v>
      </c>
      <c r="F150" s="4" t="s">
        <v>107</v>
      </c>
      <c r="G150" s="4" t="s">
        <v>108</v>
      </c>
      <c r="H150" s="6">
        <v>50</v>
      </c>
      <c r="I150" s="7">
        <v>5000</v>
      </c>
      <c r="J150" s="7">
        <f t="shared" si="8"/>
        <v>250000</v>
      </c>
      <c r="K150" s="8" t="s">
        <v>17</v>
      </c>
      <c r="L150" t="str">
        <f>IFERROR(VLOOKUP(F150,MÃ!$A:$B,2,0),0)</f>
        <v>NL100101</v>
      </c>
      <c r="M150" t="str">
        <f t="shared" si="9"/>
        <v>04/01/2026NL100101</v>
      </c>
      <c r="N150" s="15">
        <f>IFERROR(VLOOKUP(M150,'WS11'!$B$2:$Q$475,11,0),0)</f>
        <v>40</v>
      </c>
      <c r="O150" s="17">
        <f>IFERROR(VLOOKUP(M150,'WS11'!$B$2:$Q$475,12,0),0)</f>
        <v>5000</v>
      </c>
      <c r="P150" s="17">
        <f t="shared" si="10"/>
        <v>200000</v>
      </c>
      <c r="Q150" s="15">
        <f t="shared" si="11"/>
        <v>10</v>
      </c>
      <c r="R150" s="17">
        <f t="shared" si="11"/>
        <v>0</v>
      </c>
      <c r="S150" s="13" t="s">
        <v>543</v>
      </c>
    </row>
    <row r="151" spans="1:19" x14ac:dyDescent="0.25">
      <c r="A151" s="4" t="s">
        <v>142</v>
      </c>
      <c r="B151" s="5" t="s">
        <v>125</v>
      </c>
      <c r="C151" s="4" t="s">
        <v>117</v>
      </c>
      <c r="D151" s="5" t="s">
        <v>176</v>
      </c>
      <c r="E151" s="4" t="s">
        <v>87</v>
      </c>
      <c r="F151" s="4" t="s">
        <v>88</v>
      </c>
      <c r="G151" s="4" t="s">
        <v>16</v>
      </c>
      <c r="H151" s="6">
        <v>0.2</v>
      </c>
      <c r="I151" s="7">
        <v>220000</v>
      </c>
      <c r="J151" s="7">
        <f t="shared" si="8"/>
        <v>44000</v>
      </c>
      <c r="K151" s="8" t="s">
        <v>17</v>
      </c>
      <c r="L151" t="str">
        <f>IFERROR(VLOOKUP(F151,MÃ!$A:$B,2,0),0)</f>
        <v>NL300131</v>
      </c>
      <c r="M151" t="str">
        <f t="shared" si="9"/>
        <v>04/01/2026NL300131</v>
      </c>
      <c r="N151" s="15">
        <f>IFERROR(VLOOKUP(M151,'WS11'!$B$2:$Q$475,11,0),0)</f>
        <v>0.2</v>
      </c>
      <c r="O151" s="17">
        <f>IFERROR(VLOOKUP(M151,'WS11'!$B$2:$Q$475,12,0),0)</f>
        <v>220000</v>
      </c>
      <c r="P151" s="17">
        <f t="shared" si="10"/>
        <v>44000</v>
      </c>
      <c r="Q151" s="15">
        <f t="shared" si="11"/>
        <v>0</v>
      </c>
      <c r="R151" s="17">
        <f t="shared" si="11"/>
        <v>0</v>
      </c>
      <c r="S151" s="13"/>
    </row>
    <row r="152" spans="1:19" x14ac:dyDescent="0.25">
      <c r="A152" s="4" t="s">
        <v>142</v>
      </c>
      <c r="B152" s="5" t="s">
        <v>125</v>
      </c>
      <c r="C152" s="4" t="s">
        <v>117</v>
      </c>
      <c r="D152" s="5" t="s">
        <v>176</v>
      </c>
      <c r="E152" s="4" t="s">
        <v>54</v>
      </c>
      <c r="F152" s="4" t="s">
        <v>55</v>
      </c>
      <c r="G152" s="4" t="s">
        <v>16</v>
      </c>
      <c r="H152" s="6">
        <v>5</v>
      </c>
      <c r="I152" s="7">
        <v>62000</v>
      </c>
      <c r="J152" s="7">
        <f t="shared" si="8"/>
        <v>310000</v>
      </c>
      <c r="K152" s="8" t="s">
        <v>17</v>
      </c>
      <c r="L152" t="str">
        <f>IFERROR(VLOOKUP(F152,MÃ!$A:$B,2,0),0)</f>
        <v>NL300147</v>
      </c>
      <c r="M152" t="str">
        <f t="shared" si="9"/>
        <v>04/01/2026NL300147</v>
      </c>
      <c r="N152" s="15">
        <f>IFERROR(VLOOKUP(M152,'WS11'!$B$2:$Q$475,11,0),0)</f>
        <v>3</v>
      </c>
      <c r="O152" s="17">
        <f>IFERROR(VLOOKUP(M152,'WS11'!$B$2:$Q$475,12,0),0)</f>
        <v>62000</v>
      </c>
      <c r="P152" s="17">
        <f t="shared" si="10"/>
        <v>186000</v>
      </c>
      <c r="Q152" s="15">
        <f t="shared" si="11"/>
        <v>2</v>
      </c>
      <c r="R152" s="17">
        <f t="shared" si="11"/>
        <v>0</v>
      </c>
      <c r="S152" s="13" t="s">
        <v>543</v>
      </c>
    </row>
    <row r="153" spans="1:19" x14ac:dyDescent="0.25">
      <c r="A153" s="4" t="s">
        <v>147</v>
      </c>
      <c r="B153" s="5" t="s">
        <v>125</v>
      </c>
      <c r="C153" s="4" t="s">
        <v>117</v>
      </c>
      <c r="D153" s="5" t="s">
        <v>177</v>
      </c>
      <c r="E153" s="4" t="s">
        <v>18</v>
      </c>
      <c r="F153" s="4" t="s">
        <v>19</v>
      </c>
      <c r="G153" s="4" t="s">
        <v>16</v>
      </c>
      <c r="H153" s="6">
        <v>3</v>
      </c>
      <c r="I153" s="7">
        <v>15000</v>
      </c>
      <c r="J153" s="7">
        <f t="shared" si="8"/>
        <v>45000</v>
      </c>
      <c r="K153" s="8" t="s">
        <v>17</v>
      </c>
      <c r="L153" t="str">
        <f>IFERROR(VLOOKUP(F153,MÃ!$A:$B,2,0),0)</f>
        <v>NL300189</v>
      </c>
      <c r="M153" t="str">
        <f t="shared" si="9"/>
        <v>05/01/2026NL300189</v>
      </c>
      <c r="N153" s="15">
        <f>IFERROR(VLOOKUP(M153,'WS11'!$B$2:$Q$475,11,0),0)</f>
        <v>1.5</v>
      </c>
      <c r="O153" s="17">
        <f>IFERROR(VLOOKUP(M153,'WS11'!$B$2:$Q$475,12,0),0)</f>
        <v>15000</v>
      </c>
      <c r="P153" s="17">
        <f t="shared" si="10"/>
        <v>22500</v>
      </c>
      <c r="Q153" s="15">
        <f t="shared" si="11"/>
        <v>1.5</v>
      </c>
      <c r="R153" s="17">
        <f t="shared" si="11"/>
        <v>0</v>
      </c>
      <c r="S153" s="13" t="s">
        <v>543</v>
      </c>
    </row>
    <row r="154" spans="1:19" x14ac:dyDescent="0.25">
      <c r="A154" s="4" t="s">
        <v>147</v>
      </c>
      <c r="B154" s="5" t="s">
        <v>125</v>
      </c>
      <c r="C154" s="4" t="s">
        <v>117</v>
      </c>
      <c r="D154" s="5" t="s">
        <v>177</v>
      </c>
      <c r="E154" s="4" t="s">
        <v>20</v>
      </c>
      <c r="F154" s="4" t="s">
        <v>21</v>
      </c>
      <c r="G154" s="4" t="s">
        <v>16</v>
      </c>
      <c r="H154" s="6">
        <v>2.5</v>
      </c>
      <c r="I154" s="7">
        <v>19000</v>
      </c>
      <c r="J154" s="7">
        <f t="shared" si="8"/>
        <v>47500</v>
      </c>
      <c r="K154" s="8" t="s">
        <v>17</v>
      </c>
      <c r="L154" t="str">
        <f>IFERROR(VLOOKUP(F154,MÃ!$A:$B,2,0),0)</f>
        <v>NL300004</v>
      </c>
      <c r="M154" t="str">
        <f t="shared" si="9"/>
        <v>05/01/2026NL300004</v>
      </c>
      <c r="N154" s="15">
        <f>IFERROR(VLOOKUP(M154,'WS11'!$B$2:$Q$475,11,0),0)</f>
        <v>2</v>
      </c>
      <c r="O154" s="17">
        <f>IFERROR(VLOOKUP(M154,'WS11'!$B$2:$Q$475,12,0),0)</f>
        <v>19000</v>
      </c>
      <c r="P154" s="17">
        <f t="shared" si="10"/>
        <v>38000</v>
      </c>
      <c r="Q154" s="15">
        <f t="shared" si="11"/>
        <v>0.5</v>
      </c>
      <c r="R154" s="17">
        <f t="shared" si="11"/>
        <v>0</v>
      </c>
      <c r="S154" s="13" t="s">
        <v>543</v>
      </c>
    </row>
    <row r="155" spans="1:19" x14ac:dyDescent="0.25">
      <c r="A155" s="4" t="s">
        <v>147</v>
      </c>
      <c r="B155" s="5" t="s">
        <v>125</v>
      </c>
      <c r="C155" s="4" t="s">
        <v>117</v>
      </c>
      <c r="D155" s="5" t="s">
        <v>177</v>
      </c>
      <c r="E155" s="4" t="s">
        <v>22</v>
      </c>
      <c r="F155" s="4" t="s">
        <v>23</v>
      </c>
      <c r="G155" s="4" t="s">
        <v>16</v>
      </c>
      <c r="H155" s="6">
        <v>3</v>
      </c>
      <c r="I155" s="7">
        <v>30000</v>
      </c>
      <c r="J155" s="7">
        <f t="shared" si="8"/>
        <v>90000</v>
      </c>
      <c r="K155" s="8" t="s">
        <v>17</v>
      </c>
      <c r="L155" t="str">
        <f>IFERROR(VLOOKUP(F155,MÃ!$A:$B,2,0),0)</f>
        <v>NL300007</v>
      </c>
      <c r="M155" t="str">
        <f t="shared" si="9"/>
        <v>05/01/2026NL300007</v>
      </c>
      <c r="N155" s="15">
        <f>IFERROR(VLOOKUP(M155,'WS11'!$B$2:$Q$475,11,0),0)</f>
        <v>1</v>
      </c>
      <c r="O155" s="17">
        <f>IFERROR(VLOOKUP(M155,'WS11'!$B$2:$Q$475,12,0),0)</f>
        <v>30000</v>
      </c>
      <c r="P155" s="17">
        <f t="shared" si="10"/>
        <v>30000</v>
      </c>
      <c r="Q155" s="15">
        <f t="shared" si="11"/>
        <v>2</v>
      </c>
      <c r="R155" s="17">
        <f t="shared" si="11"/>
        <v>0</v>
      </c>
      <c r="S155" s="13" t="s">
        <v>543</v>
      </c>
    </row>
    <row r="156" spans="1:19" x14ac:dyDescent="0.25">
      <c r="A156" s="4" t="s">
        <v>147</v>
      </c>
      <c r="B156" s="5" t="s">
        <v>125</v>
      </c>
      <c r="C156" s="4" t="s">
        <v>117</v>
      </c>
      <c r="D156" s="5" t="s">
        <v>177</v>
      </c>
      <c r="E156" s="4" t="s">
        <v>24</v>
      </c>
      <c r="F156" s="4" t="s">
        <v>25</v>
      </c>
      <c r="G156" s="4" t="s">
        <v>16</v>
      </c>
      <c r="H156" s="6">
        <v>8.5</v>
      </c>
      <c r="I156" s="7">
        <v>40000</v>
      </c>
      <c r="J156" s="7">
        <f t="shared" si="8"/>
        <v>340000</v>
      </c>
      <c r="K156" s="8" t="s">
        <v>17</v>
      </c>
      <c r="L156" t="str">
        <f>IFERROR(VLOOKUP(F156,MÃ!$A:$B,2,0),0)</f>
        <v>NL300008</v>
      </c>
      <c r="M156" t="str">
        <f t="shared" si="9"/>
        <v>05/01/2026NL300008</v>
      </c>
      <c r="N156" s="15">
        <f>IFERROR(VLOOKUP(M156,'WS11'!$B$2:$Q$475,11,0),0)</f>
        <v>4</v>
      </c>
      <c r="O156" s="17">
        <f>IFERROR(VLOOKUP(M156,'WS11'!$B$2:$Q$475,12,0),0)</f>
        <v>40000</v>
      </c>
      <c r="P156" s="17">
        <f t="shared" si="10"/>
        <v>160000</v>
      </c>
      <c r="Q156" s="15">
        <f t="shared" si="11"/>
        <v>4.5</v>
      </c>
      <c r="R156" s="17">
        <f t="shared" si="11"/>
        <v>0</v>
      </c>
      <c r="S156" s="13" t="s">
        <v>543</v>
      </c>
    </row>
    <row r="157" spans="1:19" x14ac:dyDescent="0.25">
      <c r="A157" s="4" t="s">
        <v>147</v>
      </c>
      <c r="B157" s="5" t="s">
        <v>125</v>
      </c>
      <c r="C157" s="4" t="s">
        <v>117</v>
      </c>
      <c r="D157" s="5" t="s">
        <v>177</v>
      </c>
      <c r="E157" s="4" t="s">
        <v>126</v>
      </c>
      <c r="F157" s="4" t="s">
        <v>127</v>
      </c>
      <c r="G157" s="4" t="s">
        <v>16</v>
      </c>
      <c r="H157" s="6">
        <v>2.8</v>
      </c>
      <c r="I157" s="7">
        <v>52000</v>
      </c>
      <c r="J157" s="7">
        <f t="shared" si="8"/>
        <v>145600</v>
      </c>
      <c r="K157" s="8" t="s">
        <v>17</v>
      </c>
      <c r="L157" t="str">
        <f>IFERROR(VLOOKUP(F157,MÃ!$A:$B,2,0),0)</f>
        <v>NL300137</v>
      </c>
      <c r="M157" t="str">
        <f t="shared" si="9"/>
        <v>05/01/2026NL300137</v>
      </c>
      <c r="N157" s="15">
        <f>IFERROR(VLOOKUP(M157,'WS11'!$B$2:$Q$475,11,0),0)</f>
        <v>1.5</v>
      </c>
      <c r="O157" s="17">
        <f>IFERROR(VLOOKUP(M157,'WS11'!$B$2:$Q$475,12,0),0)</f>
        <v>52000</v>
      </c>
      <c r="P157" s="17">
        <f t="shared" si="10"/>
        <v>78000</v>
      </c>
      <c r="Q157" s="15">
        <f t="shared" si="11"/>
        <v>1.2999999999999998</v>
      </c>
      <c r="R157" s="17">
        <f t="shared" si="11"/>
        <v>0</v>
      </c>
      <c r="S157" s="13" t="s">
        <v>543</v>
      </c>
    </row>
    <row r="158" spans="1:19" x14ac:dyDescent="0.25">
      <c r="A158" s="4" t="s">
        <v>147</v>
      </c>
      <c r="B158" s="5" t="s">
        <v>125</v>
      </c>
      <c r="C158" s="4" t="s">
        <v>117</v>
      </c>
      <c r="D158" s="5" t="s">
        <v>177</v>
      </c>
      <c r="E158" s="4" t="s">
        <v>26</v>
      </c>
      <c r="F158" s="4" t="s">
        <v>27</v>
      </c>
      <c r="G158" s="4" t="s">
        <v>16</v>
      </c>
      <c r="H158" s="6">
        <v>0.5</v>
      </c>
      <c r="I158" s="7">
        <v>75000</v>
      </c>
      <c r="J158" s="7">
        <f t="shared" si="8"/>
        <v>37500</v>
      </c>
      <c r="K158" s="8" t="s">
        <v>17</v>
      </c>
      <c r="L158" t="str">
        <f>IFERROR(VLOOKUP(F158,MÃ!$A:$B,2,0),0)</f>
        <v>NL300028</v>
      </c>
      <c r="M158" t="str">
        <f t="shared" si="9"/>
        <v>05/01/2026NL300028</v>
      </c>
      <c r="N158" s="15">
        <f>IFERROR(VLOOKUP(M158,'WS11'!$B$2:$Q$475,11,0),0)</f>
        <v>0.4</v>
      </c>
      <c r="O158" s="17">
        <f>IFERROR(VLOOKUP(M158,'WS11'!$B$2:$Q$475,12,0),0)</f>
        <v>75000</v>
      </c>
      <c r="P158" s="17">
        <f t="shared" si="10"/>
        <v>30000</v>
      </c>
      <c r="Q158" s="15">
        <f t="shared" si="11"/>
        <v>9.9999999999999978E-2</v>
      </c>
      <c r="R158" s="17">
        <f t="shared" si="11"/>
        <v>0</v>
      </c>
      <c r="S158" s="13" t="s">
        <v>543</v>
      </c>
    </row>
    <row r="159" spans="1:19" x14ac:dyDescent="0.25">
      <c r="A159" s="4" t="s">
        <v>147</v>
      </c>
      <c r="B159" s="5" t="s">
        <v>125</v>
      </c>
      <c r="C159" s="4" t="s">
        <v>117</v>
      </c>
      <c r="D159" s="5" t="s">
        <v>177</v>
      </c>
      <c r="E159" s="4" t="s">
        <v>28</v>
      </c>
      <c r="F159" s="4" t="s">
        <v>29</v>
      </c>
      <c r="G159" s="4" t="s">
        <v>16</v>
      </c>
      <c r="H159" s="6">
        <v>3.2</v>
      </c>
      <c r="I159" s="7">
        <v>30000</v>
      </c>
      <c r="J159" s="7">
        <f t="shared" si="8"/>
        <v>96000</v>
      </c>
      <c r="K159" s="8" t="s">
        <v>17</v>
      </c>
      <c r="L159" t="str">
        <f>IFERROR(VLOOKUP(F159,MÃ!$A:$B,2,0),0)</f>
        <v>NL300020</v>
      </c>
      <c r="M159" t="str">
        <f t="shared" si="9"/>
        <v>05/01/2026NL300020</v>
      </c>
      <c r="N159" s="15">
        <f>IFERROR(VLOOKUP(M159,'WS11'!$B$2:$Q$475,11,0),0)</f>
        <v>1.5</v>
      </c>
      <c r="O159" s="17">
        <f>IFERROR(VLOOKUP(M159,'WS11'!$B$2:$Q$475,12,0),0)</f>
        <v>30000</v>
      </c>
      <c r="P159" s="17">
        <f t="shared" si="10"/>
        <v>45000</v>
      </c>
      <c r="Q159" s="15">
        <f t="shared" si="11"/>
        <v>1.7000000000000002</v>
      </c>
      <c r="R159" s="17">
        <f t="shared" si="11"/>
        <v>0</v>
      </c>
      <c r="S159" s="13" t="s">
        <v>543</v>
      </c>
    </row>
    <row r="160" spans="1:19" x14ac:dyDescent="0.25">
      <c r="A160" s="4" t="s">
        <v>147</v>
      </c>
      <c r="B160" s="5" t="s">
        <v>125</v>
      </c>
      <c r="C160" s="4" t="s">
        <v>117</v>
      </c>
      <c r="D160" s="5" t="s">
        <v>177</v>
      </c>
      <c r="E160" s="4" t="s">
        <v>59</v>
      </c>
      <c r="F160" s="4" t="s">
        <v>60</v>
      </c>
      <c r="G160" s="4" t="s">
        <v>16</v>
      </c>
      <c r="H160" s="6">
        <v>0.6</v>
      </c>
      <c r="I160" s="7">
        <v>75000</v>
      </c>
      <c r="J160" s="7">
        <f t="shared" si="8"/>
        <v>45000</v>
      </c>
      <c r="K160" s="8" t="s">
        <v>17</v>
      </c>
      <c r="L160" t="str">
        <f>IFERROR(VLOOKUP(F160,MÃ!$A:$B,2,0),0)</f>
        <v>NL600067</v>
      </c>
      <c r="M160" t="str">
        <f t="shared" si="9"/>
        <v>05/01/2026NL600067</v>
      </c>
      <c r="N160" s="15">
        <f>IFERROR(VLOOKUP(M160,'WS11'!$B$2:$Q$475,11,0),0)</f>
        <v>0.6</v>
      </c>
      <c r="O160" s="17">
        <f>IFERROR(VLOOKUP(M160,'WS11'!$B$2:$Q$475,12,0),0)</f>
        <v>75000</v>
      </c>
      <c r="P160" s="17">
        <f t="shared" si="10"/>
        <v>45000</v>
      </c>
      <c r="Q160" s="15">
        <f t="shared" si="11"/>
        <v>0</v>
      </c>
      <c r="R160" s="17">
        <f t="shared" si="11"/>
        <v>0</v>
      </c>
      <c r="S160" s="13"/>
    </row>
    <row r="161" spans="1:19" x14ac:dyDescent="0.25">
      <c r="A161" s="4" t="s">
        <v>147</v>
      </c>
      <c r="B161" s="5" t="s">
        <v>125</v>
      </c>
      <c r="C161" s="4" t="s">
        <v>117</v>
      </c>
      <c r="D161" s="5" t="s">
        <v>177</v>
      </c>
      <c r="E161" s="4" t="s">
        <v>89</v>
      </c>
      <c r="F161" s="4" t="s">
        <v>90</v>
      </c>
      <c r="G161" s="4" t="s">
        <v>16</v>
      </c>
      <c r="H161" s="6">
        <v>1.3</v>
      </c>
      <c r="I161" s="7">
        <v>44000</v>
      </c>
      <c r="J161" s="7">
        <f t="shared" si="8"/>
        <v>57200</v>
      </c>
      <c r="K161" s="8" t="s">
        <v>17</v>
      </c>
      <c r="L161" t="str">
        <f>IFERROR(VLOOKUP(F161,MÃ!$A:$B,2,0),0)</f>
        <v>NL300025</v>
      </c>
      <c r="M161" t="str">
        <f t="shared" si="9"/>
        <v>05/01/2026NL300025</v>
      </c>
      <c r="N161" s="15">
        <f>IFERROR(VLOOKUP(M161,'WS11'!$B$2:$Q$475,11,0),0)</f>
        <v>1</v>
      </c>
      <c r="O161" s="17">
        <f>IFERROR(VLOOKUP(M161,'WS11'!$B$2:$Q$475,12,0),0)</f>
        <v>44000</v>
      </c>
      <c r="P161" s="17">
        <f t="shared" si="10"/>
        <v>44000</v>
      </c>
      <c r="Q161" s="15">
        <f t="shared" si="11"/>
        <v>0.30000000000000004</v>
      </c>
      <c r="R161" s="17">
        <f t="shared" si="11"/>
        <v>0</v>
      </c>
      <c r="S161" s="13" t="s">
        <v>543</v>
      </c>
    </row>
    <row r="162" spans="1:19" x14ac:dyDescent="0.25">
      <c r="A162" s="4" t="s">
        <v>147</v>
      </c>
      <c r="B162" s="5" t="s">
        <v>125</v>
      </c>
      <c r="C162" s="4" t="s">
        <v>117</v>
      </c>
      <c r="D162" s="5" t="s">
        <v>177</v>
      </c>
      <c r="E162" s="4" t="s">
        <v>91</v>
      </c>
      <c r="F162" s="4" t="s">
        <v>92</v>
      </c>
      <c r="G162" s="4" t="s">
        <v>16</v>
      </c>
      <c r="H162" s="6">
        <v>0.4</v>
      </c>
      <c r="I162" s="7">
        <v>34000</v>
      </c>
      <c r="J162" s="7">
        <f t="shared" si="8"/>
        <v>13600</v>
      </c>
      <c r="K162" s="8" t="s">
        <v>17</v>
      </c>
      <c r="L162" t="str">
        <f>IFERROR(VLOOKUP(F162,MÃ!$A:$B,2,0),0)</f>
        <v>NL300030</v>
      </c>
      <c r="M162" t="str">
        <f t="shared" si="9"/>
        <v>05/01/2026NL300030</v>
      </c>
      <c r="N162" s="15">
        <f>IFERROR(VLOOKUP(M162,'WS11'!$B$2:$Q$475,11,0),0)</f>
        <v>0.4</v>
      </c>
      <c r="O162" s="17">
        <f>IFERROR(VLOOKUP(M162,'WS11'!$B$2:$Q$475,12,0),0)</f>
        <v>34000</v>
      </c>
      <c r="P162" s="17">
        <f t="shared" si="10"/>
        <v>13600</v>
      </c>
      <c r="Q162" s="15">
        <f t="shared" si="11"/>
        <v>0</v>
      </c>
      <c r="R162" s="17">
        <f t="shared" si="11"/>
        <v>0</v>
      </c>
      <c r="S162" s="13"/>
    </row>
    <row r="163" spans="1:19" x14ac:dyDescent="0.25">
      <c r="A163" s="4" t="s">
        <v>147</v>
      </c>
      <c r="B163" s="5" t="s">
        <v>125</v>
      </c>
      <c r="C163" s="4" t="s">
        <v>117</v>
      </c>
      <c r="D163" s="5" t="s">
        <v>177</v>
      </c>
      <c r="E163" s="4" t="s">
        <v>61</v>
      </c>
      <c r="F163" s="4" t="s">
        <v>62</v>
      </c>
      <c r="G163" s="4" t="s">
        <v>16</v>
      </c>
      <c r="H163" s="6">
        <v>0.5</v>
      </c>
      <c r="I163" s="7">
        <v>22000</v>
      </c>
      <c r="J163" s="7">
        <f t="shared" si="8"/>
        <v>11000</v>
      </c>
      <c r="K163" s="8" t="s">
        <v>17</v>
      </c>
      <c r="L163" t="str">
        <f>IFERROR(VLOOKUP(F163,MÃ!$A:$B,2,0),0)</f>
        <v>NL300029</v>
      </c>
      <c r="M163" t="str">
        <f t="shared" si="9"/>
        <v>05/01/2026NL300029</v>
      </c>
      <c r="N163" s="15">
        <f>IFERROR(VLOOKUP(M163,'WS11'!$B$2:$Q$475,11,0),0)</f>
        <v>0.5</v>
      </c>
      <c r="O163" s="17">
        <f>IFERROR(VLOOKUP(M163,'WS11'!$B$2:$Q$475,12,0),0)</f>
        <v>22000</v>
      </c>
      <c r="P163" s="17">
        <f t="shared" si="10"/>
        <v>11000</v>
      </c>
      <c r="Q163" s="15">
        <f t="shared" si="11"/>
        <v>0</v>
      </c>
      <c r="R163" s="17">
        <f t="shared" si="11"/>
        <v>0</v>
      </c>
      <c r="S163" s="13"/>
    </row>
    <row r="164" spans="1:19" x14ac:dyDescent="0.25">
      <c r="A164" s="4" t="s">
        <v>147</v>
      </c>
      <c r="B164" s="5" t="s">
        <v>125</v>
      </c>
      <c r="C164" s="4" t="s">
        <v>117</v>
      </c>
      <c r="D164" s="5" t="s">
        <v>177</v>
      </c>
      <c r="E164" s="4" t="s">
        <v>30</v>
      </c>
      <c r="F164" s="4" t="s">
        <v>31</v>
      </c>
      <c r="G164" s="4" t="s">
        <v>16</v>
      </c>
      <c r="H164" s="6">
        <v>1</v>
      </c>
      <c r="I164" s="7">
        <v>38000</v>
      </c>
      <c r="J164" s="7">
        <f t="shared" si="8"/>
        <v>38000</v>
      </c>
      <c r="K164" s="8" t="s">
        <v>17</v>
      </c>
      <c r="L164" t="str">
        <f>IFERROR(VLOOKUP(F164,MÃ!$A:$B,2,0),0)</f>
        <v>NL300054</v>
      </c>
      <c r="M164" t="str">
        <f t="shared" si="9"/>
        <v>05/01/2026NL300054</v>
      </c>
      <c r="N164" s="15">
        <f>IFERROR(VLOOKUP(M164,'WS11'!$B$2:$Q$475,11,0),0)</f>
        <v>0.7</v>
      </c>
      <c r="O164" s="17">
        <f>IFERROR(VLOOKUP(M164,'WS11'!$B$2:$Q$475,12,0),0)</f>
        <v>38000</v>
      </c>
      <c r="P164" s="17">
        <f t="shared" si="10"/>
        <v>26600</v>
      </c>
      <c r="Q164" s="15">
        <f t="shared" si="11"/>
        <v>0.30000000000000004</v>
      </c>
      <c r="R164" s="17">
        <f t="shared" si="11"/>
        <v>0</v>
      </c>
      <c r="S164" s="13" t="s">
        <v>543</v>
      </c>
    </row>
    <row r="165" spans="1:19" x14ac:dyDescent="0.25">
      <c r="A165" s="4" t="s">
        <v>147</v>
      </c>
      <c r="B165" s="5" t="s">
        <v>125</v>
      </c>
      <c r="C165" s="4" t="s">
        <v>117</v>
      </c>
      <c r="D165" s="5" t="s">
        <v>177</v>
      </c>
      <c r="E165" s="4" t="s">
        <v>95</v>
      </c>
      <c r="F165" s="4" t="s">
        <v>96</v>
      </c>
      <c r="G165" s="4" t="s">
        <v>16</v>
      </c>
      <c r="H165" s="6">
        <v>0.5</v>
      </c>
      <c r="I165" s="7">
        <v>47000</v>
      </c>
      <c r="J165" s="7">
        <f t="shared" si="8"/>
        <v>23500</v>
      </c>
      <c r="K165" s="8" t="s">
        <v>17</v>
      </c>
      <c r="L165" t="str">
        <f>IFERROR(VLOOKUP(F165,MÃ!$A:$B,2,0),0)</f>
        <v>NL300036</v>
      </c>
      <c r="M165" t="str">
        <f t="shared" si="9"/>
        <v>05/01/2026NL300036</v>
      </c>
      <c r="N165" s="15">
        <f>IFERROR(VLOOKUP(M165,'WS11'!$B$2:$Q$475,11,0),0)</f>
        <v>0.4</v>
      </c>
      <c r="O165" s="17">
        <f>IFERROR(VLOOKUP(M165,'WS11'!$B$2:$Q$475,12,0),0)</f>
        <v>47000</v>
      </c>
      <c r="P165" s="17">
        <f t="shared" si="10"/>
        <v>18800</v>
      </c>
      <c r="Q165" s="15">
        <f t="shared" si="11"/>
        <v>9.9999999999999978E-2</v>
      </c>
      <c r="R165" s="17">
        <f t="shared" si="11"/>
        <v>0</v>
      </c>
      <c r="S165" s="13" t="s">
        <v>543</v>
      </c>
    </row>
    <row r="166" spans="1:19" x14ac:dyDescent="0.25">
      <c r="A166" s="4" t="s">
        <v>147</v>
      </c>
      <c r="B166" s="5" t="s">
        <v>125</v>
      </c>
      <c r="C166" s="4" t="s">
        <v>117</v>
      </c>
      <c r="D166" s="5" t="s">
        <v>177</v>
      </c>
      <c r="E166" s="4" t="s">
        <v>34</v>
      </c>
      <c r="F166" s="4" t="s">
        <v>35</v>
      </c>
      <c r="G166" s="4" t="s">
        <v>16</v>
      </c>
      <c r="H166" s="6">
        <v>2</v>
      </c>
      <c r="I166" s="7">
        <v>32000</v>
      </c>
      <c r="J166" s="7">
        <f t="shared" si="8"/>
        <v>64000</v>
      </c>
      <c r="K166" s="8" t="s">
        <v>17</v>
      </c>
      <c r="L166" t="str">
        <f>IFERROR(VLOOKUP(F166,MÃ!$A:$B,2,0),0)</f>
        <v>NL300038</v>
      </c>
      <c r="M166" t="str">
        <f t="shared" si="9"/>
        <v>05/01/2026NL300038</v>
      </c>
      <c r="N166" s="15">
        <f>IFERROR(VLOOKUP(M166,'WS11'!$B$2:$Q$475,11,0),0)</f>
        <v>1.5</v>
      </c>
      <c r="O166" s="17">
        <f>IFERROR(VLOOKUP(M166,'WS11'!$B$2:$Q$475,12,0),0)</f>
        <v>32000</v>
      </c>
      <c r="P166" s="17">
        <f t="shared" si="10"/>
        <v>48000</v>
      </c>
      <c r="Q166" s="15">
        <f t="shared" si="11"/>
        <v>0.5</v>
      </c>
      <c r="R166" s="17">
        <f t="shared" si="11"/>
        <v>0</v>
      </c>
      <c r="S166" s="13" t="s">
        <v>543</v>
      </c>
    </row>
    <row r="167" spans="1:19" x14ac:dyDescent="0.25">
      <c r="A167" s="4" t="s">
        <v>147</v>
      </c>
      <c r="B167" s="5" t="s">
        <v>125</v>
      </c>
      <c r="C167" s="4" t="s">
        <v>117</v>
      </c>
      <c r="D167" s="5" t="s">
        <v>177</v>
      </c>
      <c r="E167" s="4" t="s">
        <v>97</v>
      </c>
      <c r="F167" s="4" t="s">
        <v>98</v>
      </c>
      <c r="G167" s="4" t="s">
        <v>99</v>
      </c>
      <c r="H167" s="6">
        <v>3</v>
      </c>
      <c r="I167" s="7">
        <v>15000</v>
      </c>
      <c r="J167" s="7">
        <f t="shared" si="8"/>
        <v>45000</v>
      </c>
      <c r="K167" s="8" t="s">
        <v>17</v>
      </c>
      <c r="L167" t="str">
        <f>IFERROR(VLOOKUP(F167,MÃ!$A:$B,2,0),0)</f>
        <v>NL300041</v>
      </c>
      <c r="M167" t="str">
        <f t="shared" si="9"/>
        <v>05/01/2026NL300041</v>
      </c>
      <c r="N167" s="15">
        <f>IFERROR(VLOOKUP(M167,'WS11'!$B$2:$Q$475,11,0),0)</f>
        <v>3</v>
      </c>
      <c r="O167" s="17">
        <f>IFERROR(VLOOKUP(M167,'WS11'!$B$2:$Q$475,12,0),0)</f>
        <v>15000</v>
      </c>
      <c r="P167" s="17">
        <f t="shared" si="10"/>
        <v>45000</v>
      </c>
      <c r="Q167" s="15">
        <f t="shared" si="11"/>
        <v>0</v>
      </c>
      <c r="R167" s="17">
        <f t="shared" si="11"/>
        <v>0</v>
      </c>
      <c r="S167" s="13"/>
    </row>
    <row r="168" spans="1:19" x14ac:dyDescent="0.25">
      <c r="A168" s="4" t="s">
        <v>147</v>
      </c>
      <c r="B168" s="5" t="s">
        <v>125</v>
      </c>
      <c r="C168" s="4" t="s">
        <v>117</v>
      </c>
      <c r="D168" s="5" t="s">
        <v>177</v>
      </c>
      <c r="E168" s="4" t="s">
        <v>36</v>
      </c>
      <c r="F168" s="4" t="s">
        <v>37</v>
      </c>
      <c r="G168" s="4" t="s">
        <v>16</v>
      </c>
      <c r="H168" s="6">
        <v>14</v>
      </c>
      <c r="I168" s="7">
        <v>18000</v>
      </c>
      <c r="J168" s="7">
        <f t="shared" si="8"/>
        <v>252000</v>
      </c>
      <c r="K168" s="8" t="s">
        <v>17</v>
      </c>
      <c r="L168" t="str">
        <f>IFERROR(VLOOKUP(F168,MÃ!$A:$B,2,0),0)</f>
        <v>NL600004</v>
      </c>
      <c r="M168" t="str">
        <f t="shared" si="9"/>
        <v>05/01/2026NL600004</v>
      </c>
      <c r="N168" s="15">
        <f>IFERROR(VLOOKUP(M168,'WS11'!$B$2:$Q$475,11,0),0)</f>
        <v>14</v>
      </c>
      <c r="O168" s="17">
        <f>IFERROR(VLOOKUP(M168,'WS11'!$B$2:$Q$475,12,0),0)</f>
        <v>18000</v>
      </c>
      <c r="P168" s="17">
        <f t="shared" si="10"/>
        <v>252000</v>
      </c>
      <c r="Q168" s="15">
        <f t="shared" si="11"/>
        <v>0</v>
      </c>
      <c r="R168" s="17">
        <f t="shared" si="11"/>
        <v>0</v>
      </c>
      <c r="S168" s="13"/>
    </row>
    <row r="169" spans="1:19" x14ac:dyDescent="0.25">
      <c r="A169" s="4" t="s">
        <v>147</v>
      </c>
      <c r="B169" s="5" t="s">
        <v>125</v>
      </c>
      <c r="C169" s="4" t="s">
        <v>117</v>
      </c>
      <c r="D169" s="5" t="s">
        <v>177</v>
      </c>
      <c r="E169" s="4" t="s">
        <v>38</v>
      </c>
      <c r="F169" s="4" t="s">
        <v>39</v>
      </c>
      <c r="G169" s="4" t="s">
        <v>16</v>
      </c>
      <c r="H169" s="6">
        <v>2</v>
      </c>
      <c r="I169" s="7">
        <v>55000</v>
      </c>
      <c r="J169" s="7">
        <f t="shared" si="8"/>
        <v>110000</v>
      </c>
      <c r="K169" s="8" t="s">
        <v>17</v>
      </c>
      <c r="L169" t="str">
        <f>IFERROR(VLOOKUP(F169,MÃ!$A:$B,2,0),0)</f>
        <v>NL300058</v>
      </c>
      <c r="M169" t="str">
        <f t="shared" si="9"/>
        <v>05/01/2026NL300058</v>
      </c>
      <c r="N169" s="15">
        <f>IFERROR(VLOOKUP(M169,'WS11'!$B$2:$Q$475,11,0),0)</f>
        <v>1.5</v>
      </c>
      <c r="O169" s="17">
        <f>IFERROR(VLOOKUP(M169,'WS11'!$B$2:$Q$475,12,0),0)</f>
        <v>55000</v>
      </c>
      <c r="P169" s="17">
        <f t="shared" si="10"/>
        <v>82500</v>
      </c>
      <c r="Q169" s="15">
        <f t="shared" si="11"/>
        <v>0.5</v>
      </c>
      <c r="R169" s="17">
        <f t="shared" si="11"/>
        <v>0</v>
      </c>
      <c r="S169" s="13" t="s">
        <v>543</v>
      </c>
    </row>
    <row r="170" spans="1:19" x14ac:dyDescent="0.25">
      <c r="A170" s="4" t="s">
        <v>147</v>
      </c>
      <c r="B170" s="5" t="s">
        <v>125</v>
      </c>
      <c r="C170" s="4" t="s">
        <v>117</v>
      </c>
      <c r="D170" s="5" t="s">
        <v>177</v>
      </c>
      <c r="E170" s="4" t="s">
        <v>63</v>
      </c>
      <c r="F170" s="4" t="s">
        <v>64</v>
      </c>
      <c r="G170" s="4" t="s">
        <v>16</v>
      </c>
      <c r="H170" s="6">
        <v>0.2</v>
      </c>
      <c r="I170" s="7">
        <v>65000</v>
      </c>
      <c r="J170" s="7">
        <f t="shared" si="8"/>
        <v>13000</v>
      </c>
      <c r="K170" s="8" t="s">
        <v>17</v>
      </c>
      <c r="L170" t="str">
        <f>IFERROR(VLOOKUP(F170,MÃ!$A:$B,2,0),0)</f>
        <v>NL300062</v>
      </c>
      <c r="M170" t="str">
        <f t="shared" si="9"/>
        <v>05/01/2026NL300062</v>
      </c>
      <c r="N170" s="15">
        <f>IFERROR(VLOOKUP(M170,'WS11'!$B$2:$Q$475,11,0),0)</f>
        <v>0.2</v>
      </c>
      <c r="O170" s="17">
        <f>IFERROR(VLOOKUP(M170,'WS11'!$B$2:$Q$475,12,0),0)</f>
        <v>65000</v>
      </c>
      <c r="P170" s="17">
        <f t="shared" si="10"/>
        <v>13000</v>
      </c>
      <c r="Q170" s="15">
        <f t="shared" si="11"/>
        <v>0</v>
      </c>
      <c r="R170" s="17">
        <f t="shared" si="11"/>
        <v>0</v>
      </c>
      <c r="S170" s="13"/>
    </row>
    <row r="171" spans="1:19" x14ac:dyDescent="0.25">
      <c r="A171" s="4" t="s">
        <v>147</v>
      </c>
      <c r="B171" s="5" t="s">
        <v>125</v>
      </c>
      <c r="C171" s="4" t="s">
        <v>117</v>
      </c>
      <c r="D171" s="5" t="s">
        <v>177</v>
      </c>
      <c r="E171" s="4" t="s">
        <v>65</v>
      </c>
      <c r="F171" s="4" t="s">
        <v>66</v>
      </c>
      <c r="G171" s="4" t="s">
        <v>16</v>
      </c>
      <c r="H171" s="6">
        <v>0.9</v>
      </c>
      <c r="I171" s="7">
        <v>23000</v>
      </c>
      <c r="J171" s="7">
        <f t="shared" si="8"/>
        <v>20700</v>
      </c>
      <c r="K171" s="8" t="s">
        <v>17</v>
      </c>
      <c r="L171" t="str">
        <f>IFERROR(VLOOKUP(F171,MÃ!$A:$B,2,0),0)</f>
        <v>NL300070</v>
      </c>
      <c r="M171" t="str">
        <f t="shared" si="9"/>
        <v>05/01/2026NL300070</v>
      </c>
      <c r="N171" s="15">
        <f>IFERROR(VLOOKUP(M171,'WS11'!$B$2:$Q$475,11,0),0)</f>
        <v>0.5</v>
      </c>
      <c r="O171" s="17">
        <f>IFERROR(VLOOKUP(M171,'WS11'!$B$2:$Q$475,12,0),0)</f>
        <v>23000</v>
      </c>
      <c r="P171" s="17">
        <f t="shared" si="10"/>
        <v>11500</v>
      </c>
      <c r="Q171" s="15">
        <f t="shared" si="11"/>
        <v>0.4</v>
      </c>
      <c r="R171" s="17">
        <f t="shared" si="11"/>
        <v>0</v>
      </c>
      <c r="S171" s="13" t="s">
        <v>543</v>
      </c>
    </row>
    <row r="172" spans="1:19" x14ac:dyDescent="0.25">
      <c r="A172" s="4" t="s">
        <v>147</v>
      </c>
      <c r="B172" s="5" t="s">
        <v>125</v>
      </c>
      <c r="C172" s="4" t="s">
        <v>117</v>
      </c>
      <c r="D172" s="5" t="s">
        <v>177</v>
      </c>
      <c r="E172" s="4" t="s">
        <v>42</v>
      </c>
      <c r="F172" s="4" t="s">
        <v>43</v>
      </c>
      <c r="G172" s="4" t="s">
        <v>16</v>
      </c>
      <c r="H172" s="6">
        <v>0.1</v>
      </c>
      <c r="I172" s="7">
        <v>42000</v>
      </c>
      <c r="J172" s="7">
        <f t="shared" si="8"/>
        <v>4200</v>
      </c>
      <c r="K172" s="8" t="s">
        <v>17</v>
      </c>
      <c r="L172" t="str">
        <f>IFERROR(VLOOKUP(F172,MÃ!$A:$B,2,0),0)</f>
        <v>NL300073</v>
      </c>
      <c r="M172" t="str">
        <f t="shared" si="9"/>
        <v>05/01/2026NL300073</v>
      </c>
      <c r="N172" s="15">
        <f>IFERROR(VLOOKUP(M172,'WS11'!$B$2:$Q$475,11,0),0)</f>
        <v>0.5</v>
      </c>
      <c r="O172" s="17">
        <f>IFERROR(VLOOKUP(M172,'WS11'!$B$2:$Q$475,12,0),0)</f>
        <v>42000</v>
      </c>
      <c r="P172" s="17">
        <f t="shared" si="10"/>
        <v>21000</v>
      </c>
      <c r="Q172" s="15">
        <f t="shared" si="11"/>
        <v>-0.4</v>
      </c>
      <c r="R172" s="17">
        <f t="shared" si="11"/>
        <v>0</v>
      </c>
      <c r="S172" s="13" t="s">
        <v>543</v>
      </c>
    </row>
    <row r="173" spans="1:19" x14ac:dyDescent="0.25">
      <c r="A173" s="4" t="s">
        <v>147</v>
      </c>
      <c r="B173" s="5" t="s">
        <v>125</v>
      </c>
      <c r="C173" s="4" t="s">
        <v>117</v>
      </c>
      <c r="D173" s="5" t="s">
        <v>177</v>
      </c>
      <c r="E173" s="4" t="s">
        <v>14</v>
      </c>
      <c r="F173" s="4" t="s">
        <v>15</v>
      </c>
      <c r="G173" s="4" t="s">
        <v>16</v>
      </c>
      <c r="H173" s="6">
        <v>3</v>
      </c>
      <c r="I173" s="7">
        <v>27000</v>
      </c>
      <c r="J173" s="7">
        <f t="shared" si="8"/>
        <v>81000</v>
      </c>
      <c r="K173" s="8" t="s">
        <v>17</v>
      </c>
      <c r="L173" t="str">
        <f>IFERROR(VLOOKUP(F173,MÃ!$A:$B,2,0),0)</f>
        <v>NL300088</v>
      </c>
      <c r="M173" t="str">
        <f t="shared" si="9"/>
        <v>05/01/2026NL300088</v>
      </c>
      <c r="N173" s="15">
        <f>IFERROR(VLOOKUP(M173,'WS11'!$B$2:$Q$475,11,0),0)</f>
        <v>2</v>
      </c>
      <c r="O173" s="17">
        <f>IFERROR(VLOOKUP(M173,'WS11'!$B$2:$Q$475,12,0),0)</f>
        <v>27000</v>
      </c>
      <c r="P173" s="17">
        <f t="shared" si="10"/>
        <v>54000</v>
      </c>
      <c r="Q173" s="15">
        <f t="shared" si="11"/>
        <v>1</v>
      </c>
      <c r="R173" s="17">
        <f t="shared" si="11"/>
        <v>0</v>
      </c>
      <c r="S173" s="13" t="s">
        <v>543</v>
      </c>
    </row>
    <row r="174" spans="1:19" x14ac:dyDescent="0.25">
      <c r="A174" s="4" t="s">
        <v>147</v>
      </c>
      <c r="B174" s="5" t="s">
        <v>125</v>
      </c>
      <c r="C174" s="4" t="s">
        <v>117</v>
      </c>
      <c r="D174" s="5" t="s">
        <v>177</v>
      </c>
      <c r="E174" s="4" t="s">
        <v>69</v>
      </c>
      <c r="F174" s="4" t="s">
        <v>70</v>
      </c>
      <c r="G174" s="4" t="s">
        <v>16</v>
      </c>
      <c r="H174" s="6">
        <v>3</v>
      </c>
      <c r="I174" s="7">
        <v>145000</v>
      </c>
      <c r="J174" s="7">
        <f t="shared" si="8"/>
        <v>435000</v>
      </c>
      <c r="K174" s="8" t="s">
        <v>17</v>
      </c>
      <c r="L174" t="str">
        <f>IFERROR(VLOOKUP(F174,MÃ!$A:$B,2,0),0)</f>
        <v>NL300090</v>
      </c>
      <c r="M174" t="str">
        <f t="shared" si="9"/>
        <v>05/01/2026NL300090</v>
      </c>
      <c r="N174" s="15">
        <f>IFERROR(VLOOKUP(M174,'WS11'!$B$2:$Q$475,11,0),0)</f>
        <v>1.5</v>
      </c>
      <c r="O174" s="17">
        <f>IFERROR(VLOOKUP(M174,'WS11'!$B$2:$Q$475,12,0),0)</f>
        <v>145000</v>
      </c>
      <c r="P174" s="17">
        <f t="shared" si="10"/>
        <v>217500</v>
      </c>
      <c r="Q174" s="15">
        <f t="shared" si="11"/>
        <v>1.5</v>
      </c>
      <c r="R174" s="17">
        <f t="shared" si="11"/>
        <v>0</v>
      </c>
      <c r="S174" s="13" t="s">
        <v>543</v>
      </c>
    </row>
    <row r="175" spans="1:19" x14ac:dyDescent="0.25">
      <c r="A175" s="4" t="s">
        <v>147</v>
      </c>
      <c r="B175" s="5" t="s">
        <v>125</v>
      </c>
      <c r="C175" s="4" t="s">
        <v>117</v>
      </c>
      <c r="D175" s="5" t="s">
        <v>177</v>
      </c>
      <c r="E175" s="4" t="s">
        <v>71</v>
      </c>
      <c r="F175" s="4" t="s">
        <v>72</v>
      </c>
      <c r="G175" s="4" t="s">
        <v>16</v>
      </c>
      <c r="H175" s="6">
        <v>1</v>
      </c>
      <c r="I175" s="7">
        <v>47000</v>
      </c>
      <c r="J175" s="7">
        <f t="shared" si="8"/>
        <v>47000</v>
      </c>
      <c r="K175" s="8" t="s">
        <v>17</v>
      </c>
      <c r="L175" t="str">
        <f>IFERROR(VLOOKUP(F175,MÃ!$A:$B,2,0),0)</f>
        <v>NL300091</v>
      </c>
      <c r="M175" t="str">
        <f t="shared" si="9"/>
        <v>05/01/2026NL300091</v>
      </c>
      <c r="N175" s="15">
        <f>IFERROR(VLOOKUP(M175,'WS11'!$B$2:$Q$475,11,0),0)</f>
        <v>0.9</v>
      </c>
      <c r="O175" s="17">
        <f>IFERROR(VLOOKUP(M175,'WS11'!$B$2:$Q$475,12,0),0)</f>
        <v>47000</v>
      </c>
      <c r="P175" s="17">
        <f t="shared" si="10"/>
        <v>42300</v>
      </c>
      <c r="Q175" s="15">
        <f t="shared" si="11"/>
        <v>9.9999999999999978E-2</v>
      </c>
      <c r="R175" s="17">
        <f t="shared" si="11"/>
        <v>0</v>
      </c>
      <c r="S175" s="13" t="s">
        <v>543</v>
      </c>
    </row>
    <row r="176" spans="1:19" x14ac:dyDescent="0.25">
      <c r="A176" s="4" t="s">
        <v>147</v>
      </c>
      <c r="B176" s="5" t="s">
        <v>125</v>
      </c>
      <c r="C176" s="4" t="s">
        <v>117</v>
      </c>
      <c r="D176" s="5" t="s">
        <v>177</v>
      </c>
      <c r="E176" s="4" t="s">
        <v>73</v>
      </c>
      <c r="F176" s="4" t="s">
        <v>74</v>
      </c>
      <c r="G176" s="4" t="s">
        <v>16</v>
      </c>
      <c r="H176" s="6">
        <v>1.6</v>
      </c>
      <c r="I176" s="7">
        <v>90000</v>
      </c>
      <c r="J176" s="7">
        <f t="shared" si="8"/>
        <v>144000</v>
      </c>
      <c r="K176" s="8" t="s">
        <v>17</v>
      </c>
      <c r="L176" t="str">
        <f>IFERROR(VLOOKUP(F176,MÃ!$A:$B,2,0),0)</f>
        <v>NL300092</v>
      </c>
      <c r="M176" t="str">
        <f t="shared" si="9"/>
        <v>05/01/2026NL300092</v>
      </c>
      <c r="N176" s="15">
        <f>IFERROR(VLOOKUP(M176,'WS11'!$B$2:$Q$475,11,0),0)</f>
        <v>1.4</v>
      </c>
      <c r="O176" s="17">
        <f>IFERROR(VLOOKUP(M176,'WS11'!$B$2:$Q$475,12,0),0)</f>
        <v>90000</v>
      </c>
      <c r="P176" s="17">
        <f t="shared" si="10"/>
        <v>125999.99999999999</v>
      </c>
      <c r="Q176" s="15">
        <f t="shared" si="11"/>
        <v>0.20000000000000018</v>
      </c>
      <c r="R176" s="17">
        <f t="shared" si="11"/>
        <v>0</v>
      </c>
      <c r="S176" s="13" t="s">
        <v>543</v>
      </c>
    </row>
    <row r="177" spans="1:19" x14ac:dyDescent="0.25">
      <c r="A177" s="4" t="s">
        <v>147</v>
      </c>
      <c r="B177" s="5" t="s">
        <v>125</v>
      </c>
      <c r="C177" s="4" t="s">
        <v>117</v>
      </c>
      <c r="D177" s="5" t="s">
        <v>177</v>
      </c>
      <c r="E177" s="4" t="s">
        <v>100</v>
      </c>
      <c r="F177" s="4" t="s">
        <v>101</v>
      </c>
      <c r="G177" s="4" t="s">
        <v>16</v>
      </c>
      <c r="H177" s="6">
        <v>0.8</v>
      </c>
      <c r="I177" s="7">
        <v>80000</v>
      </c>
      <c r="J177" s="7">
        <f t="shared" si="8"/>
        <v>64000</v>
      </c>
      <c r="K177" s="8" t="s">
        <v>17</v>
      </c>
      <c r="L177" t="str">
        <f>IFERROR(VLOOKUP(F177,MÃ!$A:$B,2,0),0)</f>
        <v>NL300094</v>
      </c>
      <c r="M177" t="str">
        <f t="shared" si="9"/>
        <v>05/01/2026NL300094</v>
      </c>
      <c r="N177" s="15">
        <f>IFERROR(VLOOKUP(M177,'WS11'!$B$2:$Q$475,11,0),0)</f>
        <v>0.7</v>
      </c>
      <c r="O177" s="17">
        <f>IFERROR(VLOOKUP(M177,'WS11'!$B$2:$Q$475,12,0),0)</f>
        <v>80000</v>
      </c>
      <c r="P177" s="17">
        <f t="shared" si="10"/>
        <v>56000</v>
      </c>
      <c r="Q177" s="15">
        <f t="shared" si="11"/>
        <v>0.10000000000000009</v>
      </c>
      <c r="R177" s="17">
        <f t="shared" si="11"/>
        <v>0</v>
      </c>
      <c r="S177" s="13" t="s">
        <v>543</v>
      </c>
    </row>
    <row r="178" spans="1:19" x14ac:dyDescent="0.25">
      <c r="A178" s="4" t="s">
        <v>147</v>
      </c>
      <c r="B178" s="5" t="s">
        <v>125</v>
      </c>
      <c r="C178" s="4" t="s">
        <v>117</v>
      </c>
      <c r="D178" s="5" t="s">
        <v>177</v>
      </c>
      <c r="E178" s="4" t="s">
        <v>44</v>
      </c>
      <c r="F178" s="4" t="s">
        <v>45</v>
      </c>
      <c r="G178" s="4" t="s">
        <v>16</v>
      </c>
      <c r="H178" s="6">
        <v>4</v>
      </c>
      <c r="I178" s="7">
        <v>45000</v>
      </c>
      <c r="J178" s="7">
        <f t="shared" si="8"/>
        <v>180000</v>
      </c>
      <c r="K178" s="8" t="s">
        <v>17</v>
      </c>
      <c r="L178" t="str">
        <f>IFERROR(VLOOKUP(F178,MÃ!$A:$B,2,0),0)</f>
        <v>NL300096</v>
      </c>
      <c r="M178" t="str">
        <f t="shared" si="9"/>
        <v>05/01/2026NL300096</v>
      </c>
      <c r="N178" s="15">
        <f>IFERROR(VLOOKUP(M178,'WS11'!$B$2:$Q$475,11,0),0)</f>
        <v>3</v>
      </c>
      <c r="O178" s="17">
        <f>IFERROR(VLOOKUP(M178,'WS11'!$B$2:$Q$475,12,0),0)</f>
        <v>45000</v>
      </c>
      <c r="P178" s="17">
        <f t="shared" si="10"/>
        <v>135000</v>
      </c>
      <c r="Q178" s="15">
        <f t="shared" si="11"/>
        <v>1</v>
      </c>
      <c r="R178" s="17">
        <f t="shared" si="11"/>
        <v>0</v>
      </c>
      <c r="S178" s="13" t="s">
        <v>543</v>
      </c>
    </row>
    <row r="179" spans="1:19" x14ac:dyDescent="0.25">
      <c r="A179" s="4" t="s">
        <v>147</v>
      </c>
      <c r="B179" s="5" t="s">
        <v>125</v>
      </c>
      <c r="C179" s="4" t="s">
        <v>117</v>
      </c>
      <c r="D179" s="5" t="s">
        <v>177</v>
      </c>
      <c r="E179" s="4" t="s">
        <v>75</v>
      </c>
      <c r="F179" s="4" t="s">
        <v>76</v>
      </c>
      <c r="G179" s="4" t="s">
        <v>16</v>
      </c>
      <c r="H179" s="6">
        <v>4</v>
      </c>
      <c r="I179" s="7">
        <v>90000</v>
      </c>
      <c r="J179" s="7">
        <f t="shared" si="8"/>
        <v>360000</v>
      </c>
      <c r="K179" s="8" t="s">
        <v>17</v>
      </c>
      <c r="L179" t="str">
        <f>IFERROR(VLOOKUP(F179,MÃ!$A:$B,2,0),0)</f>
        <v>NL300097</v>
      </c>
      <c r="M179" t="str">
        <f t="shared" si="9"/>
        <v>05/01/2026NL300097</v>
      </c>
      <c r="N179" s="15">
        <f>IFERROR(VLOOKUP(M179,'WS11'!$B$2:$Q$475,11,0),0)</f>
        <v>0.4</v>
      </c>
      <c r="O179" s="17">
        <f>IFERROR(VLOOKUP(M179,'WS11'!$B$2:$Q$475,12,0),0)</f>
        <v>90000</v>
      </c>
      <c r="P179" s="17">
        <f t="shared" si="10"/>
        <v>36000</v>
      </c>
      <c r="Q179" s="15">
        <f t="shared" si="11"/>
        <v>3.6</v>
      </c>
      <c r="R179" s="17">
        <f t="shared" si="11"/>
        <v>0</v>
      </c>
      <c r="S179" s="13" t="s">
        <v>543</v>
      </c>
    </row>
    <row r="180" spans="1:19" x14ac:dyDescent="0.25">
      <c r="A180" s="4" t="s">
        <v>147</v>
      </c>
      <c r="B180" s="5" t="s">
        <v>125</v>
      </c>
      <c r="C180" s="4" t="s">
        <v>117</v>
      </c>
      <c r="D180" s="5" t="s">
        <v>177</v>
      </c>
      <c r="E180" s="4" t="s">
        <v>119</v>
      </c>
      <c r="F180" s="4" t="s">
        <v>118</v>
      </c>
      <c r="G180" s="4" t="s">
        <v>16</v>
      </c>
      <c r="H180" s="6">
        <v>0.3</v>
      </c>
      <c r="I180" s="7">
        <v>95000</v>
      </c>
      <c r="J180" s="7">
        <f t="shared" si="8"/>
        <v>28500</v>
      </c>
      <c r="K180" s="8" t="s">
        <v>17</v>
      </c>
      <c r="L180" t="str">
        <f>IFERROR(VLOOKUP(F180,MÃ!$A:$B,2,0),0)</f>
        <v>NL300098</v>
      </c>
      <c r="M180" t="str">
        <f t="shared" si="9"/>
        <v>05/01/2026NL300098</v>
      </c>
      <c r="N180" s="15">
        <f>IFERROR(VLOOKUP(M180,'WS11'!$B$2:$Q$475,11,0),0)</f>
        <v>0.3</v>
      </c>
      <c r="O180" s="17">
        <f>IFERROR(VLOOKUP(M180,'WS11'!$B$2:$Q$475,12,0),0)</f>
        <v>95000</v>
      </c>
      <c r="P180" s="17">
        <f t="shared" si="10"/>
        <v>28500</v>
      </c>
      <c r="Q180" s="15">
        <f t="shared" si="11"/>
        <v>0</v>
      </c>
      <c r="R180" s="17">
        <f t="shared" si="11"/>
        <v>0</v>
      </c>
      <c r="S180" s="13"/>
    </row>
    <row r="181" spans="1:19" x14ac:dyDescent="0.25">
      <c r="A181" s="4" t="s">
        <v>147</v>
      </c>
      <c r="B181" s="5" t="s">
        <v>125</v>
      </c>
      <c r="C181" s="4" t="s">
        <v>117</v>
      </c>
      <c r="D181" s="5" t="s">
        <v>177</v>
      </c>
      <c r="E181" s="4" t="s">
        <v>77</v>
      </c>
      <c r="F181" s="4" t="s">
        <v>78</v>
      </c>
      <c r="G181" s="4" t="s">
        <v>16</v>
      </c>
      <c r="H181" s="6">
        <v>2</v>
      </c>
      <c r="I181" s="7">
        <v>45000</v>
      </c>
      <c r="J181" s="7">
        <f t="shared" si="8"/>
        <v>90000</v>
      </c>
      <c r="K181" s="8" t="s">
        <v>17</v>
      </c>
      <c r="L181" t="str">
        <f>IFERROR(VLOOKUP(F181,MÃ!$A:$B,2,0),0)</f>
        <v>NL300085</v>
      </c>
      <c r="M181" t="str">
        <f t="shared" si="9"/>
        <v>05/01/2026NL300085</v>
      </c>
      <c r="N181" s="15">
        <f>IFERROR(VLOOKUP(M181,'WS11'!$B$2:$Q$475,11,0),0)</f>
        <v>1.5</v>
      </c>
      <c r="O181" s="17">
        <f>IFERROR(VLOOKUP(M181,'WS11'!$B$2:$Q$475,12,0),0)</f>
        <v>45000</v>
      </c>
      <c r="P181" s="17">
        <f t="shared" si="10"/>
        <v>67500</v>
      </c>
      <c r="Q181" s="15">
        <f t="shared" si="11"/>
        <v>0.5</v>
      </c>
      <c r="R181" s="17">
        <f t="shared" si="11"/>
        <v>0</v>
      </c>
      <c r="S181" s="13" t="s">
        <v>543</v>
      </c>
    </row>
    <row r="182" spans="1:19" x14ac:dyDescent="0.25">
      <c r="A182" s="4" t="s">
        <v>147</v>
      </c>
      <c r="B182" s="5" t="s">
        <v>125</v>
      </c>
      <c r="C182" s="4" t="s">
        <v>117</v>
      </c>
      <c r="D182" s="5" t="s">
        <v>177</v>
      </c>
      <c r="E182" s="4" t="s">
        <v>79</v>
      </c>
      <c r="F182" s="4" t="s">
        <v>80</v>
      </c>
      <c r="G182" s="4" t="s">
        <v>16</v>
      </c>
      <c r="H182" s="6">
        <v>0.3</v>
      </c>
      <c r="I182" s="7">
        <v>70000</v>
      </c>
      <c r="J182" s="7">
        <f t="shared" si="8"/>
        <v>21000</v>
      </c>
      <c r="K182" s="8" t="s">
        <v>17</v>
      </c>
      <c r="L182" t="str">
        <f>IFERROR(VLOOKUP(F182,MÃ!$A:$B,2,0),0)</f>
        <v>NL300126</v>
      </c>
      <c r="M182" t="str">
        <f t="shared" si="9"/>
        <v>05/01/2026NL300126</v>
      </c>
      <c r="N182" s="15">
        <f>IFERROR(VLOOKUP(M182,'WS11'!$B$2:$Q$475,11,0),0)</f>
        <v>0.3</v>
      </c>
      <c r="O182" s="17">
        <f>IFERROR(VLOOKUP(M182,'WS11'!$B$2:$Q$475,12,0),0)</f>
        <v>70000</v>
      </c>
      <c r="P182" s="17">
        <f t="shared" si="10"/>
        <v>21000</v>
      </c>
      <c r="Q182" s="15">
        <f t="shared" si="11"/>
        <v>0</v>
      </c>
      <c r="R182" s="17">
        <f t="shared" si="11"/>
        <v>0</v>
      </c>
      <c r="S182" s="13"/>
    </row>
    <row r="183" spans="1:19" x14ac:dyDescent="0.25">
      <c r="A183" s="4" t="s">
        <v>147</v>
      </c>
      <c r="B183" s="5" t="s">
        <v>125</v>
      </c>
      <c r="C183" s="4" t="s">
        <v>117</v>
      </c>
      <c r="D183" s="5" t="s">
        <v>177</v>
      </c>
      <c r="E183" s="4" t="s">
        <v>102</v>
      </c>
      <c r="F183" s="4" t="s">
        <v>103</v>
      </c>
      <c r="G183" s="4" t="s">
        <v>16</v>
      </c>
      <c r="H183" s="6">
        <v>0.5</v>
      </c>
      <c r="I183" s="7">
        <v>145000</v>
      </c>
      <c r="J183" s="7">
        <f t="shared" si="8"/>
        <v>72500</v>
      </c>
      <c r="K183" s="8" t="s">
        <v>17</v>
      </c>
      <c r="L183" t="str">
        <f>IFERROR(VLOOKUP(F183,MÃ!$A:$B,2,0),0)</f>
        <v>NL300113</v>
      </c>
      <c r="M183" t="str">
        <f t="shared" si="9"/>
        <v>05/01/2026NL300113</v>
      </c>
      <c r="N183" s="15">
        <f>IFERROR(VLOOKUP(M183,'WS11'!$B$2:$Q$475,11,0),0)</f>
        <v>0.4</v>
      </c>
      <c r="O183" s="17">
        <f>IFERROR(VLOOKUP(M183,'WS11'!$B$2:$Q$475,12,0),0)</f>
        <v>145000</v>
      </c>
      <c r="P183" s="17">
        <f t="shared" si="10"/>
        <v>58000</v>
      </c>
      <c r="Q183" s="15">
        <f t="shared" si="11"/>
        <v>9.9999999999999978E-2</v>
      </c>
      <c r="R183" s="17">
        <f t="shared" si="11"/>
        <v>0</v>
      </c>
      <c r="S183" s="13" t="s">
        <v>543</v>
      </c>
    </row>
    <row r="184" spans="1:19" x14ac:dyDescent="0.25">
      <c r="A184" s="4" t="s">
        <v>147</v>
      </c>
      <c r="B184" s="5" t="s">
        <v>125</v>
      </c>
      <c r="C184" s="4" t="s">
        <v>117</v>
      </c>
      <c r="D184" s="5" t="s">
        <v>177</v>
      </c>
      <c r="E184" s="4" t="s">
        <v>46</v>
      </c>
      <c r="F184" s="4" t="s">
        <v>47</v>
      </c>
      <c r="G184" s="4" t="s">
        <v>16</v>
      </c>
      <c r="H184" s="6">
        <v>0.5</v>
      </c>
      <c r="I184" s="7">
        <v>148000</v>
      </c>
      <c r="J184" s="7">
        <f t="shared" si="8"/>
        <v>74000</v>
      </c>
      <c r="K184" s="8" t="s">
        <v>17</v>
      </c>
      <c r="L184" t="str">
        <f>IFERROR(VLOOKUP(F184,MÃ!$A:$B,2,0),0)</f>
        <v>NL300116</v>
      </c>
      <c r="M184" t="str">
        <f t="shared" si="9"/>
        <v>05/01/2026NL300116</v>
      </c>
      <c r="N184" s="15">
        <f>IFERROR(VLOOKUP(M184,'WS11'!$B$2:$Q$475,11,0),0)</f>
        <v>0.4</v>
      </c>
      <c r="O184" s="17">
        <f>IFERROR(VLOOKUP(M184,'WS11'!$B$2:$Q$475,12,0),0)</f>
        <v>148000</v>
      </c>
      <c r="P184" s="17">
        <f t="shared" si="10"/>
        <v>59200</v>
      </c>
      <c r="Q184" s="15">
        <f t="shared" si="11"/>
        <v>9.9999999999999978E-2</v>
      </c>
      <c r="R184" s="17">
        <f t="shared" si="11"/>
        <v>0</v>
      </c>
      <c r="S184" s="13" t="s">
        <v>543</v>
      </c>
    </row>
    <row r="185" spans="1:19" x14ac:dyDescent="0.25">
      <c r="A185" s="4" t="s">
        <v>147</v>
      </c>
      <c r="B185" s="5" t="s">
        <v>125</v>
      </c>
      <c r="C185" s="4" t="s">
        <v>117</v>
      </c>
      <c r="D185" s="5" t="s">
        <v>177</v>
      </c>
      <c r="E185" s="4" t="s">
        <v>50</v>
      </c>
      <c r="F185" s="4" t="s">
        <v>51</v>
      </c>
      <c r="G185" s="4" t="s">
        <v>16</v>
      </c>
      <c r="H185" s="6">
        <v>0.1</v>
      </c>
      <c r="I185" s="7">
        <v>22000</v>
      </c>
      <c r="J185" s="7">
        <f t="shared" si="8"/>
        <v>2200</v>
      </c>
      <c r="K185" s="8" t="s">
        <v>17</v>
      </c>
      <c r="L185" t="str">
        <f>IFERROR(VLOOKUP(F185,MÃ!$A:$B,2,0),0)</f>
        <v>NL300121</v>
      </c>
      <c r="M185" t="str">
        <f t="shared" si="9"/>
        <v>05/01/2026NL300121</v>
      </c>
      <c r="N185" s="15">
        <f>IFERROR(VLOOKUP(M185,'WS11'!$B$2:$Q$475,11,0),0)</f>
        <v>0.1</v>
      </c>
      <c r="O185" s="17">
        <f>IFERROR(VLOOKUP(M185,'WS11'!$B$2:$Q$475,12,0),0)</f>
        <v>22000</v>
      </c>
      <c r="P185" s="17">
        <f t="shared" si="10"/>
        <v>2200</v>
      </c>
      <c r="Q185" s="15">
        <f t="shared" si="11"/>
        <v>0</v>
      </c>
      <c r="R185" s="17">
        <f t="shared" si="11"/>
        <v>0</v>
      </c>
      <c r="S185" s="13"/>
    </row>
    <row r="186" spans="1:19" x14ac:dyDescent="0.25">
      <c r="A186" s="4" t="s">
        <v>147</v>
      </c>
      <c r="B186" s="5" t="s">
        <v>125</v>
      </c>
      <c r="C186" s="4" t="s">
        <v>117</v>
      </c>
      <c r="D186" s="5" t="s">
        <v>177</v>
      </c>
      <c r="E186" s="4" t="s">
        <v>133</v>
      </c>
      <c r="F186" s="4" t="s">
        <v>134</v>
      </c>
      <c r="G186" s="4" t="s">
        <v>16</v>
      </c>
      <c r="H186" s="6">
        <v>1</v>
      </c>
      <c r="I186" s="7">
        <v>36000</v>
      </c>
      <c r="J186" s="7">
        <f t="shared" si="8"/>
        <v>36000</v>
      </c>
      <c r="K186" s="8" t="s">
        <v>17</v>
      </c>
      <c r="L186" t="str">
        <f>IFERROR(VLOOKUP(F186,MÃ!$A:$B,2,0),0)</f>
        <v>NL300140</v>
      </c>
      <c r="M186" t="str">
        <f t="shared" si="9"/>
        <v>05/01/2026NL300140</v>
      </c>
      <c r="N186" s="15">
        <f>IFERROR(VLOOKUP(M186,'WS11'!$B$2:$Q$475,11,0),0)</f>
        <v>0.5</v>
      </c>
      <c r="O186" s="17">
        <f>IFERROR(VLOOKUP(M186,'WS11'!$B$2:$Q$475,12,0),0)</f>
        <v>36000</v>
      </c>
      <c r="P186" s="17">
        <f t="shared" si="10"/>
        <v>18000</v>
      </c>
      <c r="Q186" s="15">
        <f t="shared" si="11"/>
        <v>0.5</v>
      </c>
      <c r="R186" s="17">
        <f t="shared" si="11"/>
        <v>0</v>
      </c>
      <c r="S186" s="13" t="s">
        <v>543</v>
      </c>
    </row>
    <row r="187" spans="1:19" x14ac:dyDescent="0.25">
      <c r="A187" s="4" t="s">
        <v>147</v>
      </c>
      <c r="B187" s="5" t="s">
        <v>125</v>
      </c>
      <c r="C187" s="4" t="s">
        <v>117</v>
      </c>
      <c r="D187" s="5" t="s">
        <v>177</v>
      </c>
      <c r="E187" s="4" t="s">
        <v>52</v>
      </c>
      <c r="F187" s="4" t="s">
        <v>53</v>
      </c>
      <c r="G187" s="4" t="s">
        <v>16</v>
      </c>
      <c r="H187" s="6">
        <v>1.5</v>
      </c>
      <c r="I187" s="7">
        <v>21000</v>
      </c>
      <c r="J187" s="7">
        <f t="shared" si="8"/>
        <v>31500</v>
      </c>
      <c r="K187" s="8" t="s">
        <v>17</v>
      </c>
      <c r="L187" t="str">
        <f>IFERROR(VLOOKUP(F187,MÃ!$A:$B,2,0),0)</f>
        <v>NL300119</v>
      </c>
      <c r="M187" t="str">
        <f t="shared" si="9"/>
        <v>05/01/2026NL300119</v>
      </c>
      <c r="N187" s="15">
        <f>IFERROR(VLOOKUP(M187,'WS11'!$B$2:$Q$475,11,0),0)</f>
        <v>1</v>
      </c>
      <c r="O187" s="17">
        <f>IFERROR(VLOOKUP(M187,'WS11'!$B$2:$Q$475,12,0),0)</f>
        <v>21000</v>
      </c>
      <c r="P187" s="17">
        <f t="shared" si="10"/>
        <v>21000</v>
      </c>
      <c r="Q187" s="15">
        <f t="shared" si="11"/>
        <v>0.5</v>
      </c>
      <c r="R187" s="17">
        <f t="shared" si="11"/>
        <v>0</v>
      </c>
      <c r="S187" s="13" t="s">
        <v>543</v>
      </c>
    </row>
    <row r="188" spans="1:19" x14ac:dyDescent="0.25">
      <c r="A188" s="4" t="s">
        <v>147</v>
      </c>
      <c r="B188" s="5" t="s">
        <v>125</v>
      </c>
      <c r="C188" s="4" t="s">
        <v>117</v>
      </c>
      <c r="D188" s="5" t="s">
        <v>177</v>
      </c>
      <c r="E188" s="4" t="s">
        <v>83</v>
      </c>
      <c r="F188" s="4" t="s">
        <v>84</v>
      </c>
      <c r="G188" s="4" t="s">
        <v>16</v>
      </c>
      <c r="H188" s="6">
        <v>0.3</v>
      </c>
      <c r="I188" s="7">
        <v>42000</v>
      </c>
      <c r="J188" s="7">
        <f t="shared" si="8"/>
        <v>12600</v>
      </c>
      <c r="K188" s="8" t="s">
        <v>17</v>
      </c>
      <c r="L188" t="str">
        <f>IFERROR(VLOOKUP(F188,MÃ!$A:$B,2,0),0)</f>
        <v>NL300139</v>
      </c>
      <c r="M188" t="str">
        <f t="shared" si="9"/>
        <v>05/01/2026NL300139</v>
      </c>
      <c r="N188" s="15">
        <f>IFERROR(VLOOKUP(M188,'WS11'!$B$2:$Q$475,11,0),0)</f>
        <v>0.3</v>
      </c>
      <c r="O188" s="17">
        <f>IFERROR(VLOOKUP(M188,'WS11'!$B$2:$Q$475,12,0),0)</f>
        <v>42000</v>
      </c>
      <c r="P188" s="17">
        <f t="shared" si="10"/>
        <v>12600</v>
      </c>
      <c r="Q188" s="15">
        <f t="shared" si="11"/>
        <v>0</v>
      </c>
      <c r="R188" s="17">
        <f t="shared" si="11"/>
        <v>0</v>
      </c>
      <c r="S188" s="13"/>
    </row>
    <row r="189" spans="1:19" x14ac:dyDescent="0.25">
      <c r="A189" s="4" t="s">
        <v>147</v>
      </c>
      <c r="B189" s="5" t="s">
        <v>125</v>
      </c>
      <c r="C189" s="4" t="s">
        <v>117</v>
      </c>
      <c r="D189" s="5" t="s">
        <v>177</v>
      </c>
      <c r="E189" s="4" t="s">
        <v>106</v>
      </c>
      <c r="F189" s="4" t="s">
        <v>107</v>
      </c>
      <c r="G189" s="4" t="s">
        <v>108</v>
      </c>
      <c r="H189" s="6">
        <v>30</v>
      </c>
      <c r="I189" s="7">
        <v>5000</v>
      </c>
      <c r="J189" s="7">
        <f t="shared" si="8"/>
        <v>150000</v>
      </c>
      <c r="K189" s="8" t="s">
        <v>17</v>
      </c>
      <c r="L189" t="str">
        <f>IFERROR(VLOOKUP(F189,MÃ!$A:$B,2,0),0)</f>
        <v>NL100101</v>
      </c>
      <c r="M189" t="str">
        <f t="shared" si="9"/>
        <v>05/01/2026NL100101</v>
      </c>
      <c r="N189" s="15">
        <f>IFERROR(VLOOKUP(M189,'WS11'!$B$2:$Q$475,11,0),0)</f>
        <v>25</v>
      </c>
      <c r="O189" s="17">
        <f>IFERROR(VLOOKUP(M189,'WS11'!$B$2:$Q$475,12,0),0)</f>
        <v>5000</v>
      </c>
      <c r="P189" s="17">
        <f t="shared" si="10"/>
        <v>125000</v>
      </c>
      <c r="Q189" s="15">
        <f t="shared" si="11"/>
        <v>5</v>
      </c>
      <c r="R189" s="17">
        <f t="shared" si="11"/>
        <v>0</v>
      </c>
      <c r="S189" s="13" t="s">
        <v>543</v>
      </c>
    </row>
    <row r="190" spans="1:19" x14ac:dyDescent="0.25">
      <c r="A190" s="4" t="s">
        <v>147</v>
      </c>
      <c r="B190" s="5" t="s">
        <v>125</v>
      </c>
      <c r="C190" s="4" t="s">
        <v>117</v>
      </c>
      <c r="D190" s="5" t="s">
        <v>177</v>
      </c>
      <c r="E190" s="4" t="s">
        <v>54</v>
      </c>
      <c r="F190" s="4" t="s">
        <v>55</v>
      </c>
      <c r="G190" s="4" t="s">
        <v>16</v>
      </c>
      <c r="H190" s="6">
        <v>4</v>
      </c>
      <c r="I190" s="7">
        <v>62000</v>
      </c>
      <c r="J190" s="7">
        <f t="shared" si="8"/>
        <v>248000</v>
      </c>
      <c r="K190" s="8" t="s">
        <v>17</v>
      </c>
      <c r="L190" t="str">
        <f>IFERROR(VLOOKUP(F190,MÃ!$A:$B,2,0),0)</f>
        <v>NL300147</v>
      </c>
      <c r="M190" t="str">
        <f t="shared" si="9"/>
        <v>05/01/2026NL300147</v>
      </c>
      <c r="N190" s="15">
        <f>IFERROR(VLOOKUP(M190,'WS11'!$B$2:$Q$475,11,0),0)</f>
        <v>2</v>
      </c>
      <c r="O190" s="17">
        <f>IFERROR(VLOOKUP(M190,'WS11'!$B$2:$Q$475,12,0),0)</f>
        <v>62000</v>
      </c>
      <c r="P190" s="17">
        <f t="shared" si="10"/>
        <v>124000</v>
      </c>
      <c r="Q190" s="15">
        <f t="shared" si="11"/>
        <v>2</v>
      </c>
      <c r="R190" s="17">
        <f t="shared" si="11"/>
        <v>0</v>
      </c>
      <c r="S190" s="13" t="s">
        <v>543</v>
      </c>
    </row>
    <row r="191" spans="1:19" x14ac:dyDescent="0.25">
      <c r="A191" s="4" t="s">
        <v>150</v>
      </c>
      <c r="B191" s="5" t="s">
        <v>125</v>
      </c>
      <c r="C191" s="4" t="s">
        <v>117</v>
      </c>
      <c r="D191" s="5" t="s">
        <v>178</v>
      </c>
      <c r="E191" s="4" t="s">
        <v>18</v>
      </c>
      <c r="F191" s="4" t="s">
        <v>19</v>
      </c>
      <c r="G191" s="4" t="s">
        <v>16</v>
      </c>
      <c r="H191" s="6">
        <v>2.9</v>
      </c>
      <c r="I191" s="7">
        <v>15000</v>
      </c>
      <c r="J191" s="7">
        <f t="shared" si="8"/>
        <v>43500</v>
      </c>
      <c r="K191" s="8" t="s">
        <v>17</v>
      </c>
      <c r="L191" t="str">
        <f>IFERROR(VLOOKUP(F191,MÃ!$A:$B,2,0),0)</f>
        <v>NL300189</v>
      </c>
      <c r="M191" t="str">
        <f t="shared" si="9"/>
        <v>06/01/2026NL300189</v>
      </c>
      <c r="N191" s="15">
        <f>IFERROR(VLOOKUP(M191,'WS11'!$B$2:$Q$475,11,0),0)</f>
        <v>1.5</v>
      </c>
      <c r="O191" s="17">
        <f>IFERROR(VLOOKUP(M191,'WS11'!$B$2:$Q$475,12,0),0)</f>
        <v>15000</v>
      </c>
      <c r="P191" s="17">
        <f t="shared" si="10"/>
        <v>22500</v>
      </c>
      <c r="Q191" s="15">
        <f t="shared" si="11"/>
        <v>1.4</v>
      </c>
      <c r="R191" s="17">
        <f t="shared" si="11"/>
        <v>0</v>
      </c>
      <c r="S191" s="13" t="s">
        <v>543</v>
      </c>
    </row>
    <row r="192" spans="1:19" x14ac:dyDescent="0.25">
      <c r="A192" s="4" t="s">
        <v>150</v>
      </c>
      <c r="B192" s="5" t="s">
        <v>125</v>
      </c>
      <c r="C192" s="4" t="s">
        <v>117</v>
      </c>
      <c r="D192" s="5" t="s">
        <v>178</v>
      </c>
      <c r="E192" s="4" t="s">
        <v>56</v>
      </c>
      <c r="F192" s="4" t="s">
        <v>57</v>
      </c>
      <c r="G192" s="4" t="s">
        <v>58</v>
      </c>
      <c r="H192" s="6">
        <v>15</v>
      </c>
      <c r="I192" s="7">
        <v>8500</v>
      </c>
      <c r="J192" s="7">
        <f t="shared" si="8"/>
        <v>127500</v>
      </c>
      <c r="K192" s="8" t="s">
        <v>17</v>
      </c>
      <c r="L192" t="str">
        <f>IFERROR(VLOOKUP(F192,MÃ!$A:$B,2,0),0)</f>
        <v>NL300107</v>
      </c>
      <c r="M192" t="str">
        <f t="shared" si="9"/>
        <v>06/01/2026NL300107</v>
      </c>
      <c r="N192" s="15">
        <f>IFERROR(VLOOKUP(M192,'WS11'!$B$2:$Q$475,11,0),0)</f>
        <v>12</v>
      </c>
      <c r="O192" s="17">
        <f>IFERROR(VLOOKUP(M192,'WS11'!$B$2:$Q$475,12,0),0)</f>
        <v>8500</v>
      </c>
      <c r="P192" s="17">
        <f t="shared" si="10"/>
        <v>102000</v>
      </c>
      <c r="Q192" s="15">
        <f t="shared" si="11"/>
        <v>3</v>
      </c>
      <c r="R192" s="17">
        <f t="shared" si="11"/>
        <v>0</v>
      </c>
      <c r="S192" s="13" t="s">
        <v>543</v>
      </c>
    </row>
    <row r="193" spans="1:19" x14ac:dyDescent="0.25">
      <c r="A193" s="4" t="s">
        <v>150</v>
      </c>
      <c r="B193" s="5" t="s">
        <v>125</v>
      </c>
      <c r="C193" s="4" t="s">
        <v>117</v>
      </c>
      <c r="D193" s="5" t="s">
        <v>178</v>
      </c>
      <c r="E193" s="4" t="s">
        <v>22</v>
      </c>
      <c r="F193" s="4" t="s">
        <v>23</v>
      </c>
      <c r="G193" s="4" t="s">
        <v>16</v>
      </c>
      <c r="H193" s="6">
        <v>3.1</v>
      </c>
      <c r="I193" s="7">
        <v>30000</v>
      </c>
      <c r="J193" s="7">
        <f t="shared" si="8"/>
        <v>93000</v>
      </c>
      <c r="K193" s="8" t="s">
        <v>17</v>
      </c>
      <c r="L193" t="str">
        <f>IFERROR(VLOOKUP(F193,MÃ!$A:$B,2,0),0)</f>
        <v>NL300007</v>
      </c>
      <c r="M193" t="str">
        <f t="shared" si="9"/>
        <v>06/01/2026NL300007</v>
      </c>
      <c r="N193" s="15">
        <f>IFERROR(VLOOKUP(M193,'WS11'!$B$2:$Q$475,11,0),0)</f>
        <v>2.8</v>
      </c>
      <c r="O193" s="17">
        <f>IFERROR(VLOOKUP(M193,'WS11'!$B$2:$Q$475,12,0),0)</f>
        <v>30000</v>
      </c>
      <c r="P193" s="17">
        <f t="shared" si="10"/>
        <v>84000</v>
      </c>
      <c r="Q193" s="15">
        <f t="shared" si="11"/>
        <v>0.30000000000000027</v>
      </c>
      <c r="R193" s="17">
        <f t="shared" si="11"/>
        <v>0</v>
      </c>
      <c r="S193" s="13" t="s">
        <v>543</v>
      </c>
    </row>
    <row r="194" spans="1:19" x14ac:dyDescent="0.25">
      <c r="A194" s="4" t="s">
        <v>150</v>
      </c>
      <c r="B194" s="5" t="s">
        <v>125</v>
      </c>
      <c r="C194" s="4" t="s">
        <v>117</v>
      </c>
      <c r="D194" s="5" t="s">
        <v>178</v>
      </c>
      <c r="E194" s="4" t="s">
        <v>61</v>
      </c>
      <c r="F194" s="4" t="s">
        <v>62</v>
      </c>
      <c r="G194" s="4" t="s">
        <v>16</v>
      </c>
      <c r="H194" s="6">
        <v>0.5</v>
      </c>
      <c r="I194" s="7">
        <v>22000</v>
      </c>
      <c r="J194" s="7">
        <f t="shared" si="8"/>
        <v>11000</v>
      </c>
      <c r="K194" s="8" t="s">
        <v>17</v>
      </c>
      <c r="L194" t="str">
        <f>IFERROR(VLOOKUP(F194,MÃ!$A:$B,2,0),0)</f>
        <v>NL300029</v>
      </c>
      <c r="M194" t="str">
        <f t="shared" si="9"/>
        <v>06/01/2026NL300029</v>
      </c>
      <c r="N194" s="15">
        <f>IFERROR(VLOOKUP(M194,'WS11'!$B$2:$Q$475,11,0),0)</f>
        <v>0.5</v>
      </c>
      <c r="O194" s="17">
        <f>IFERROR(VLOOKUP(M194,'WS11'!$B$2:$Q$475,12,0),0)</f>
        <v>22000</v>
      </c>
      <c r="P194" s="17">
        <f t="shared" si="10"/>
        <v>11000</v>
      </c>
      <c r="Q194" s="15">
        <f t="shared" si="11"/>
        <v>0</v>
      </c>
      <c r="R194" s="17">
        <f t="shared" si="11"/>
        <v>0</v>
      </c>
      <c r="S194" s="13"/>
    </row>
    <row r="195" spans="1:19" x14ac:dyDescent="0.25">
      <c r="A195" s="4" t="s">
        <v>150</v>
      </c>
      <c r="B195" s="5" t="s">
        <v>125</v>
      </c>
      <c r="C195" s="4" t="s">
        <v>117</v>
      </c>
      <c r="D195" s="5" t="s">
        <v>178</v>
      </c>
      <c r="E195" s="4" t="s">
        <v>36</v>
      </c>
      <c r="F195" s="4" t="s">
        <v>37</v>
      </c>
      <c r="G195" s="4" t="s">
        <v>16</v>
      </c>
      <c r="H195" s="6">
        <v>10</v>
      </c>
      <c r="I195" s="7">
        <v>18000</v>
      </c>
      <c r="J195" s="7">
        <f t="shared" si="8"/>
        <v>180000</v>
      </c>
      <c r="K195" s="8" t="s">
        <v>17</v>
      </c>
      <c r="L195" t="str">
        <f>IFERROR(VLOOKUP(F195,MÃ!$A:$B,2,0),0)</f>
        <v>NL600004</v>
      </c>
      <c r="M195" t="str">
        <f t="shared" si="9"/>
        <v>06/01/2026NL600004</v>
      </c>
      <c r="N195" s="15">
        <f>IFERROR(VLOOKUP(M195,'WS11'!$B$2:$Q$475,11,0),0)</f>
        <v>10</v>
      </c>
      <c r="O195" s="17">
        <f>IFERROR(VLOOKUP(M195,'WS11'!$B$2:$Q$475,12,0),0)</f>
        <v>18000</v>
      </c>
      <c r="P195" s="17">
        <f t="shared" si="10"/>
        <v>180000</v>
      </c>
      <c r="Q195" s="15">
        <f t="shared" si="11"/>
        <v>0</v>
      </c>
      <c r="R195" s="17">
        <f t="shared" si="11"/>
        <v>0</v>
      </c>
      <c r="S195" s="13"/>
    </row>
    <row r="196" spans="1:19" x14ac:dyDescent="0.25">
      <c r="A196" s="4" t="s">
        <v>150</v>
      </c>
      <c r="B196" s="5" t="s">
        <v>125</v>
      </c>
      <c r="C196" s="4" t="s">
        <v>117</v>
      </c>
      <c r="D196" s="5" t="s">
        <v>178</v>
      </c>
      <c r="E196" s="4" t="s">
        <v>63</v>
      </c>
      <c r="F196" s="4" t="s">
        <v>64</v>
      </c>
      <c r="G196" s="4" t="s">
        <v>16</v>
      </c>
      <c r="H196" s="6">
        <v>0.2</v>
      </c>
      <c r="I196" s="7">
        <v>65000</v>
      </c>
      <c r="J196" s="7">
        <f t="shared" si="8"/>
        <v>13000</v>
      </c>
      <c r="K196" s="8" t="s">
        <v>17</v>
      </c>
      <c r="L196" t="str">
        <f>IFERROR(VLOOKUP(F196,MÃ!$A:$B,2,0),0)</f>
        <v>NL300062</v>
      </c>
      <c r="M196" t="str">
        <f t="shared" si="9"/>
        <v>06/01/2026NL300062</v>
      </c>
      <c r="N196" s="15">
        <f>IFERROR(VLOOKUP(M196,'WS11'!$B$2:$Q$475,11,0),0)</f>
        <v>0.2</v>
      </c>
      <c r="O196" s="17">
        <f>IFERROR(VLOOKUP(M196,'WS11'!$B$2:$Q$475,12,0),0)</f>
        <v>65000</v>
      </c>
      <c r="P196" s="17">
        <f t="shared" si="10"/>
        <v>13000</v>
      </c>
      <c r="Q196" s="15">
        <f t="shared" si="11"/>
        <v>0</v>
      </c>
      <c r="R196" s="17">
        <f t="shared" si="11"/>
        <v>0</v>
      </c>
      <c r="S196" s="13"/>
    </row>
    <row r="197" spans="1:19" x14ac:dyDescent="0.25">
      <c r="A197" s="4" t="s">
        <v>150</v>
      </c>
      <c r="B197" s="5" t="s">
        <v>125</v>
      </c>
      <c r="C197" s="4" t="s">
        <v>117</v>
      </c>
      <c r="D197" s="5" t="s">
        <v>178</v>
      </c>
      <c r="E197" s="4" t="s">
        <v>42</v>
      </c>
      <c r="F197" s="4" t="s">
        <v>43</v>
      </c>
      <c r="G197" s="4" t="s">
        <v>16</v>
      </c>
      <c r="H197" s="6">
        <v>0.1</v>
      </c>
      <c r="I197" s="7">
        <v>42000</v>
      </c>
      <c r="J197" s="7">
        <f t="shared" si="8"/>
        <v>4200</v>
      </c>
      <c r="K197" s="8" t="s">
        <v>17</v>
      </c>
      <c r="L197" t="str">
        <f>IFERROR(VLOOKUP(F197,MÃ!$A:$B,2,0),0)</f>
        <v>NL300073</v>
      </c>
      <c r="M197" t="str">
        <f t="shared" si="9"/>
        <v>06/01/2026NL300073</v>
      </c>
      <c r="N197" s="15">
        <f>IFERROR(VLOOKUP(M197,'WS11'!$B$2:$Q$475,11,0),0)</f>
        <v>0.1</v>
      </c>
      <c r="O197" s="17">
        <f>IFERROR(VLOOKUP(M197,'WS11'!$B$2:$Q$475,12,0),0)</f>
        <v>42000</v>
      </c>
      <c r="P197" s="17">
        <f t="shared" si="10"/>
        <v>4200</v>
      </c>
      <c r="Q197" s="15">
        <f t="shared" si="11"/>
        <v>0</v>
      </c>
      <c r="R197" s="17">
        <f t="shared" si="11"/>
        <v>0</v>
      </c>
      <c r="S197" s="13"/>
    </row>
    <row r="198" spans="1:19" x14ac:dyDescent="0.25">
      <c r="A198" s="4" t="s">
        <v>150</v>
      </c>
      <c r="B198" s="5" t="s">
        <v>125</v>
      </c>
      <c r="C198" s="4" t="s">
        <v>117</v>
      </c>
      <c r="D198" s="5" t="s">
        <v>178</v>
      </c>
      <c r="E198" s="4" t="s">
        <v>14</v>
      </c>
      <c r="F198" s="4" t="s">
        <v>15</v>
      </c>
      <c r="G198" s="4" t="s">
        <v>16</v>
      </c>
      <c r="H198" s="6">
        <v>3.1</v>
      </c>
      <c r="I198" s="7">
        <v>27000</v>
      </c>
      <c r="J198" s="7">
        <f t="shared" si="8"/>
        <v>83700</v>
      </c>
      <c r="K198" s="8" t="s">
        <v>17</v>
      </c>
      <c r="L198" t="str">
        <f>IFERROR(VLOOKUP(F198,MÃ!$A:$B,2,0),0)</f>
        <v>NL300088</v>
      </c>
      <c r="M198" t="str">
        <f t="shared" si="9"/>
        <v>06/01/2026NL300088</v>
      </c>
      <c r="N198" s="15">
        <f>IFERROR(VLOOKUP(M198,'WS11'!$B$2:$Q$475,11,0),0)</f>
        <v>2.5</v>
      </c>
      <c r="O198" s="17">
        <f>IFERROR(VLOOKUP(M198,'WS11'!$B$2:$Q$475,12,0),0)</f>
        <v>27000</v>
      </c>
      <c r="P198" s="17">
        <f t="shared" si="10"/>
        <v>67500</v>
      </c>
      <c r="Q198" s="15">
        <f t="shared" si="11"/>
        <v>0.60000000000000009</v>
      </c>
      <c r="R198" s="17">
        <f t="shared" si="11"/>
        <v>0</v>
      </c>
      <c r="S198" s="13" t="s">
        <v>543</v>
      </c>
    </row>
    <row r="199" spans="1:19" x14ac:dyDescent="0.25">
      <c r="A199" s="4" t="s">
        <v>150</v>
      </c>
      <c r="B199" s="5" t="s">
        <v>125</v>
      </c>
      <c r="C199" s="4" t="s">
        <v>117</v>
      </c>
      <c r="D199" s="5" t="s">
        <v>178</v>
      </c>
      <c r="E199" s="4" t="s">
        <v>73</v>
      </c>
      <c r="F199" s="4" t="s">
        <v>74</v>
      </c>
      <c r="G199" s="4" t="s">
        <v>16</v>
      </c>
      <c r="H199" s="6">
        <v>1.4</v>
      </c>
      <c r="I199" s="7">
        <v>90000</v>
      </c>
      <c r="J199" s="7">
        <f t="shared" si="8"/>
        <v>125999.99999999999</v>
      </c>
      <c r="K199" s="8" t="s">
        <v>17</v>
      </c>
      <c r="L199" t="str">
        <f>IFERROR(VLOOKUP(F199,MÃ!$A:$B,2,0),0)</f>
        <v>NL300092</v>
      </c>
      <c r="M199" t="str">
        <f t="shared" si="9"/>
        <v>06/01/2026NL300092</v>
      </c>
      <c r="N199" s="15">
        <f>IFERROR(VLOOKUP(M199,'WS11'!$B$2:$Q$475,11,0),0)</f>
        <v>1</v>
      </c>
      <c r="O199" s="17">
        <f>IFERROR(VLOOKUP(M199,'WS11'!$B$2:$Q$475,12,0),0)</f>
        <v>90000</v>
      </c>
      <c r="P199" s="17">
        <f t="shared" si="10"/>
        <v>90000</v>
      </c>
      <c r="Q199" s="15">
        <f t="shared" si="11"/>
        <v>0.39999999999999991</v>
      </c>
      <c r="R199" s="17">
        <f t="shared" si="11"/>
        <v>0</v>
      </c>
      <c r="S199" s="13" t="s">
        <v>543</v>
      </c>
    </row>
    <row r="200" spans="1:19" x14ac:dyDescent="0.25">
      <c r="A200" s="4" t="s">
        <v>150</v>
      </c>
      <c r="B200" s="5" t="s">
        <v>125</v>
      </c>
      <c r="C200" s="4" t="s">
        <v>117</v>
      </c>
      <c r="D200" s="5" t="s">
        <v>178</v>
      </c>
      <c r="E200" s="4" t="s">
        <v>100</v>
      </c>
      <c r="F200" s="4" t="s">
        <v>101</v>
      </c>
      <c r="G200" s="4" t="s">
        <v>16</v>
      </c>
      <c r="H200" s="6">
        <v>0.5</v>
      </c>
      <c r="I200" s="7">
        <v>80000</v>
      </c>
      <c r="J200" s="7">
        <f t="shared" si="8"/>
        <v>40000</v>
      </c>
      <c r="K200" s="8" t="s">
        <v>17</v>
      </c>
      <c r="L200" t="str">
        <f>IFERROR(VLOOKUP(F200,MÃ!$A:$B,2,0),0)</f>
        <v>NL300094</v>
      </c>
      <c r="M200" t="str">
        <f t="shared" si="9"/>
        <v>06/01/2026NL300094</v>
      </c>
      <c r="N200" s="15">
        <f>IFERROR(VLOOKUP(M200,'WS11'!$B$2:$Q$475,11,0),0)</f>
        <v>0.4</v>
      </c>
      <c r="O200" s="17">
        <f>IFERROR(VLOOKUP(M200,'WS11'!$B$2:$Q$475,12,0),0)</f>
        <v>80000</v>
      </c>
      <c r="P200" s="17">
        <f t="shared" si="10"/>
        <v>32000</v>
      </c>
      <c r="Q200" s="15">
        <f t="shared" si="11"/>
        <v>9.9999999999999978E-2</v>
      </c>
      <c r="R200" s="17">
        <f t="shared" si="11"/>
        <v>0</v>
      </c>
      <c r="S200" s="13" t="s">
        <v>543</v>
      </c>
    </row>
    <row r="201" spans="1:19" x14ac:dyDescent="0.25">
      <c r="A201" s="4" t="s">
        <v>150</v>
      </c>
      <c r="B201" s="5" t="s">
        <v>125</v>
      </c>
      <c r="C201" s="4" t="s">
        <v>117</v>
      </c>
      <c r="D201" s="5" t="s">
        <v>178</v>
      </c>
      <c r="E201" s="4" t="s">
        <v>75</v>
      </c>
      <c r="F201" s="4" t="s">
        <v>76</v>
      </c>
      <c r="G201" s="4" t="s">
        <v>16</v>
      </c>
      <c r="H201" s="6">
        <v>1</v>
      </c>
      <c r="I201" s="7">
        <v>90000</v>
      </c>
      <c r="J201" s="7">
        <f t="shared" si="8"/>
        <v>90000</v>
      </c>
      <c r="K201" s="8" t="s">
        <v>17</v>
      </c>
      <c r="L201" t="str">
        <f>IFERROR(VLOOKUP(F201,MÃ!$A:$B,2,0),0)</f>
        <v>NL300097</v>
      </c>
      <c r="M201" t="str">
        <f t="shared" si="9"/>
        <v>06/01/2026NL300097</v>
      </c>
      <c r="N201" s="15">
        <f>IFERROR(VLOOKUP(M201,'WS11'!$B$2:$Q$475,11,0),0)</f>
        <v>0.9</v>
      </c>
      <c r="O201" s="17">
        <f>IFERROR(VLOOKUP(M201,'WS11'!$B$2:$Q$475,12,0),0)</f>
        <v>90000</v>
      </c>
      <c r="P201" s="17">
        <f t="shared" si="10"/>
        <v>81000</v>
      </c>
      <c r="Q201" s="15">
        <f t="shared" si="11"/>
        <v>9.9999999999999978E-2</v>
      </c>
      <c r="R201" s="17">
        <f t="shared" si="11"/>
        <v>0</v>
      </c>
      <c r="S201" s="13" t="s">
        <v>543</v>
      </c>
    </row>
    <row r="202" spans="1:19" x14ac:dyDescent="0.25">
      <c r="A202" s="4" t="s">
        <v>150</v>
      </c>
      <c r="B202" s="5" t="s">
        <v>125</v>
      </c>
      <c r="C202" s="4" t="s">
        <v>117</v>
      </c>
      <c r="D202" s="5" t="s">
        <v>178</v>
      </c>
      <c r="E202" s="4" t="s">
        <v>111</v>
      </c>
      <c r="F202" s="4" t="s">
        <v>112</v>
      </c>
      <c r="G202" s="4" t="s">
        <v>16</v>
      </c>
      <c r="H202" s="6">
        <v>0.22</v>
      </c>
      <c r="I202" s="7">
        <v>250000</v>
      </c>
      <c r="J202" s="7">
        <f t="shared" si="8"/>
        <v>55000</v>
      </c>
      <c r="K202" s="8" t="s">
        <v>17</v>
      </c>
      <c r="L202" t="str">
        <f>IFERROR(VLOOKUP(F202,MÃ!$A:$B,2,0),0)</f>
        <v>NL300158</v>
      </c>
      <c r="M202" t="str">
        <f t="shared" si="9"/>
        <v>06/01/2026NL300158</v>
      </c>
      <c r="N202" s="15">
        <f>IFERROR(VLOOKUP(M202,'WS11'!$B$2:$Q$475,11,0),0)</f>
        <v>0.22</v>
      </c>
      <c r="O202" s="17">
        <f>IFERROR(VLOOKUP(M202,'WS11'!$B$2:$Q$475,12,0),0)</f>
        <v>250000</v>
      </c>
      <c r="P202" s="17">
        <f t="shared" si="10"/>
        <v>55000</v>
      </c>
      <c r="Q202" s="15">
        <f t="shared" si="11"/>
        <v>0</v>
      </c>
      <c r="R202" s="17">
        <f t="shared" si="11"/>
        <v>0</v>
      </c>
      <c r="S202" s="13"/>
    </row>
    <row r="203" spans="1:19" x14ac:dyDescent="0.25">
      <c r="A203" s="4" t="s">
        <v>150</v>
      </c>
      <c r="B203" s="5" t="s">
        <v>125</v>
      </c>
      <c r="C203" s="4" t="s">
        <v>117</v>
      </c>
      <c r="D203" s="5" t="s">
        <v>178</v>
      </c>
      <c r="E203" s="4" t="s">
        <v>109</v>
      </c>
      <c r="F203" s="4" t="s">
        <v>110</v>
      </c>
      <c r="G203" s="4" t="s">
        <v>16</v>
      </c>
      <c r="H203" s="6">
        <v>0.55000000000000004</v>
      </c>
      <c r="I203" s="7">
        <v>195000</v>
      </c>
      <c r="J203" s="7">
        <f t="shared" si="8"/>
        <v>107250.00000000001</v>
      </c>
      <c r="K203" s="8" t="s">
        <v>17</v>
      </c>
      <c r="L203" t="str">
        <f>IFERROR(VLOOKUP(F203,MÃ!$A:$B,2,0),0)</f>
        <v>NL300101</v>
      </c>
      <c r="M203" t="str">
        <f t="shared" si="9"/>
        <v>06/01/2026NL300101</v>
      </c>
      <c r="N203" s="15">
        <f>IFERROR(VLOOKUP(M203,'WS11'!$B$2:$Q$475,11,0),0)</f>
        <v>0.4</v>
      </c>
      <c r="O203" s="17">
        <f>IFERROR(VLOOKUP(M203,'WS11'!$B$2:$Q$475,12,0),0)</f>
        <v>195000</v>
      </c>
      <c r="P203" s="17">
        <f t="shared" si="10"/>
        <v>78000</v>
      </c>
      <c r="Q203" s="15">
        <f t="shared" si="11"/>
        <v>0.15000000000000002</v>
      </c>
      <c r="R203" s="17">
        <f t="shared" si="11"/>
        <v>0</v>
      </c>
      <c r="S203" s="13" t="s">
        <v>543</v>
      </c>
    </row>
    <row r="204" spans="1:19" x14ac:dyDescent="0.25">
      <c r="A204" s="4" t="s">
        <v>150</v>
      </c>
      <c r="B204" s="5" t="s">
        <v>125</v>
      </c>
      <c r="C204" s="4" t="s">
        <v>117</v>
      </c>
      <c r="D204" s="5" t="s">
        <v>178</v>
      </c>
      <c r="E204" s="4" t="s">
        <v>102</v>
      </c>
      <c r="F204" s="4" t="s">
        <v>103</v>
      </c>
      <c r="G204" s="4" t="s">
        <v>16</v>
      </c>
      <c r="H204" s="6">
        <v>0.5</v>
      </c>
      <c r="I204" s="7">
        <v>145000</v>
      </c>
      <c r="J204" s="7">
        <f t="shared" si="8"/>
        <v>72500</v>
      </c>
      <c r="K204" s="8" t="s">
        <v>17</v>
      </c>
      <c r="L204" t="str">
        <f>IFERROR(VLOOKUP(F204,MÃ!$A:$B,2,0),0)</f>
        <v>NL300113</v>
      </c>
      <c r="M204" t="str">
        <f t="shared" si="9"/>
        <v>06/01/2026NL300113</v>
      </c>
      <c r="N204" s="15">
        <f>IFERROR(VLOOKUP(M204,'WS11'!$B$2:$Q$475,11,0),0)</f>
        <v>0.4</v>
      </c>
      <c r="O204" s="17">
        <f>IFERROR(VLOOKUP(M204,'WS11'!$B$2:$Q$475,12,0),0)</f>
        <v>145000</v>
      </c>
      <c r="P204" s="17">
        <f t="shared" si="10"/>
        <v>58000</v>
      </c>
      <c r="Q204" s="15">
        <f t="shared" si="11"/>
        <v>9.9999999999999978E-2</v>
      </c>
      <c r="R204" s="17">
        <f t="shared" si="11"/>
        <v>0</v>
      </c>
      <c r="S204" s="13" t="s">
        <v>543</v>
      </c>
    </row>
    <row r="205" spans="1:19" x14ac:dyDescent="0.25">
      <c r="A205" s="4" t="s">
        <v>150</v>
      </c>
      <c r="B205" s="5" t="s">
        <v>125</v>
      </c>
      <c r="C205" s="4" t="s">
        <v>117</v>
      </c>
      <c r="D205" s="5" t="s">
        <v>178</v>
      </c>
      <c r="E205" s="4" t="s">
        <v>46</v>
      </c>
      <c r="F205" s="4" t="s">
        <v>47</v>
      </c>
      <c r="G205" s="4" t="s">
        <v>16</v>
      </c>
      <c r="H205" s="6">
        <v>0.66</v>
      </c>
      <c r="I205" s="7">
        <v>148000</v>
      </c>
      <c r="J205" s="7">
        <f t="shared" si="8"/>
        <v>97680</v>
      </c>
      <c r="K205" s="8" t="s">
        <v>17</v>
      </c>
      <c r="L205" t="str">
        <f>IFERROR(VLOOKUP(F205,MÃ!$A:$B,2,0),0)</f>
        <v>NL300116</v>
      </c>
      <c r="M205" t="str">
        <f t="shared" si="9"/>
        <v>06/01/2026NL300116</v>
      </c>
      <c r="N205" s="15">
        <f>IFERROR(VLOOKUP(M205,'WS11'!$B$2:$Q$475,11,0),0)</f>
        <v>0.5</v>
      </c>
      <c r="O205" s="17">
        <f>IFERROR(VLOOKUP(M205,'WS11'!$B$2:$Q$475,12,0),0)</f>
        <v>148000</v>
      </c>
      <c r="P205" s="17">
        <f t="shared" si="10"/>
        <v>74000</v>
      </c>
      <c r="Q205" s="15">
        <f t="shared" si="11"/>
        <v>0.16000000000000003</v>
      </c>
      <c r="R205" s="17">
        <f t="shared" si="11"/>
        <v>0</v>
      </c>
      <c r="S205" s="13" t="s">
        <v>543</v>
      </c>
    </row>
    <row r="206" spans="1:19" x14ac:dyDescent="0.25">
      <c r="A206" s="4" t="s">
        <v>150</v>
      </c>
      <c r="B206" s="5" t="s">
        <v>125</v>
      </c>
      <c r="C206" s="4" t="s">
        <v>117</v>
      </c>
      <c r="D206" s="5" t="s">
        <v>178</v>
      </c>
      <c r="E206" s="4" t="s">
        <v>48</v>
      </c>
      <c r="F206" s="4" t="s">
        <v>49</v>
      </c>
      <c r="G206" s="4" t="s">
        <v>16</v>
      </c>
      <c r="H206" s="6">
        <v>0.5</v>
      </c>
      <c r="I206" s="7">
        <v>42000</v>
      </c>
      <c r="J206" s="7">
        <f t="shared" si="8"/>
        <v>21000</v>
      </c>
      <c r="K206" s="8" t="s">
        <v>17</v>
      </c>
      <c r="L206" t="str">
        <f>IFERROR(VLOOKUP(F206,MÃ!$A:$B,2,0),0)</f>
        <v>NL300125</v>
      </c>
      <c r="M206" t="str">
        <f t="shared" si="9"/>
        <v>06/01/2026NL300125</v>
      </c>
      <c r="N206" s="15">
        <f>IFERROR(VLOOKUP(M206,'WS11'!$B$2:$Q$475,11,0),0)</f>
        <v>0.5</v>
      </c>
      <c r="O206" s="17">
        <f>IFERROR(VLOOKUP(M206,'WS11'!$B$2:$Q$475,12,0),0)</f>
        <v>42000</v>
      </c>
      <c r="P206" s="17">
        <f t="shared" si="10"/>
        <v>21000</v>
      </c>
      <c r="Q206" s="15">
        <f t="shared" si="11"/>
        <v>0</v>
      </c>
      <c r="R206" s="17">
        <f t="shared" si="11"/>
        <v>0</v>
      </c>
      <c r="S206" s="13"/>
    </row>
    <row r="207" spans="1:19" x14ac:dyDescent="0.25">
      <c r="A207" s="4" t="s">
        <v>150</v>
      </c>
      <c r="B207" s="5" t="s">
        <v>125</v>
      </c>
      <c r="C207" s="4" t="s">
        <v>117</v>
      </c>
      <c r="D207" s="5" t="s">
        <v>178</v>
      </c>
      <c r="E207" s="4" t="s">
        <v>85</v>
      </c>
      <c r="F207" s="4" t="s">
        <v>86</v>
      </c>
      <c r="G207" s="4" t="s">
        <v>16</v>
      </c>
      <c r="H207" s="6">
        <v>1</v>
      </c>
      <c r="I207" s="7">
        <v>50000</v>
      </c>
      <c r="J207" s="7">
        <f t="shared" si="8"/>
        <v>50000</v>
      </c>
      <c r="K207" s="8" t="s">
        <v>17</v>
      </c>
      <c r="L207" t="str">
        <f>IFERROR(VLOOKUP(F207,MÃ!$A:$B,2,0),0)</f>
        <v>NL300142</v>
      </c>
      <c r="M207" t="str">
        <f t="shared" si="9"/>
        <v>06/01/2026NL300142</v>
      </c>
      <c r="N207" s="15">
        <f>IFERROR(VLOOKUP(M207,'WS11'!$B$2:$Q$475,11,0),0)</f>
        <v>1</v>
      </c>
      <c r="O207" s="17">
        <f>IFERROR(VLOOKUP(M207,'WS11'!$B$2:$Q$475,12,0),0)</f>
        <v>50000</v>
      </c>
      <c r="P207" s="17">
        <f t="shared" si="10"/>
        <v>50000</v>
      </c>
      <c r="Q207" s="15">
        <f t="shared" si="11"/>
        <v>0</v>
      </c>
      <c r="R207" s="17">
        <f t="shared" si="11"/>
        <v>0</v>
      </c>
      <c r="S207" s="13"/>
    </row>
    <row r="208" spans="1:19" x14ac:dyDescent="0.25">
      <c r="A208" s="4" t="s">
        <v>150</v>
      </c>
      <c r="B208" s="5" t="s">
        <v>125</v>
      </c>
      <c r="C208" s="4" t="s">
        <v>117</v>
      </c>
      <c r="D208" s="5" t="s">
        <v>178</v>
      </c>
      <c r="E208" s="4" t="s">
        <v>106</v>
      </c>
      <c r="F208" s="4" t="s">
        <v>107</v>
      </c>
      <c r="G208" s="4" t="s">
        <v>108</v>
      </c>
      <c r="H208" s="6">
        <v>20</v>
      </c>
      <c r="I208" s="7">
        <v>5000</v>
      </c>
      <c r="J208" s="7">
        <f t="shared" ref="J208:J271" si="12">H208*I208</f>
        <v>100000</v>
      </c>
      <c r="K208" s="8" t="s">
        <v>17</v>
      </c>
      <c r="L208" t="str">
        <f>IFERROR(VLOOKUP(F208,MÃ!$A:$B,2,0),0)</f>
        <v>NL100101</v>
      </c>
      <c r="M208" t="str">
        <f t="shared" ref="M208:M271" si="13">"0"&amp;DAY(A208)&amp;"/01/2026"&amp;L208</f>
        <v>06/01/2026NL100101</v>
      </c>
      <c r="N208" s="15">
        <f>IFERROR(VLOOKUP(M208,'WS11'!$B$2:$Q$475,11,0),0)</f>
        <v>15</v>
      </c>
      <c r="O208" s="17">
        <f>IFERROR(VLOOKUP(M208,'WS11'!$B$2:$Q$475,12,0),0)</f>
        <v>5000</v>
      </c>
      <c r="P208" s="17">
        <f t="shared" ref="P208:P271" si="14">N208*O208</f>
        <v>75000</v>
      </c>
      <c r="Q208" s="15">
        <f t="shared" ref="Q208:R271" si="15">H208-N208</f>
        <v>5</v>
      </c>
      <c r="R208" s="17">
        <f t="shared" si="15"/>
        <v>0</v>
      </c>
      <c r="S208" s="13" t="s">
        <v>543</v>
      </c>
    </row>
    <row r="209" spans="1:19" x14ac:dyDescent="0.25">
      <c r="A209" s="4" t="s">
        <v>152</v>
      </c>
      <c r="B209" s="5" t="s">
        <v>125</v>
      </c>
      <c r="C209" s="4" t="s">
        <v>117</v>
      </c>
      <c r="D209" s="5" t="s">
        <v>179</v>
      </c>
      <c r="E209" s="4" t="s">
        <v>18</v>
      </c>
      <c r="F209" s="4" t="s">
        <v>19</v>
      </c>
      <c r="G209" s="4" t="s">
        <v>16</v>
      </c>
      <c r="H209" s="6">
        <v>1.7</v>
      </c>
      <c r="I209" s="7">
        <v>15000</v>
      </c>
      <c r="J209" s="7">
        <f t="shared" si="12"/>
        <v>25500</v>
      </c>
      <c r="K209" s="8" t="s">
        <v>17</v>
      </c>
      <c r="L209" t="str">
        <f>IFERROR(VLOOKUP(F209,MÃ!$A:$B,2,0),0)</f>
        <v>NL300189</v>
      </c>
      <c r="M209" t="str">
        <f t="shared" si="13"/>
        <v>07/01/2026NL300189</v>
      </c>
      <c r="N209" s="15">
        <f>IFERROR(VLOOKUP(M209,'WS11'!$B$2:$Q$475,11,0),0)</f>
        <v>1</v>
      </c>
      <c r="O209" s="17">
        <f>IFERROR(VLOOKUP(M209,'WS11'!$B$2:$Q$475,12,0),0)</f>
        <v>15000</v>
      </c>
      <c r="P209" s="17">
        <f t="shared" si="14"/>
        <v>15000</v>
      </c>
      <c r="Q209" s="15">
        <f t="shared" si="15"/>
        <v>0.7</v>
      </c>
      <c r="R209" s="17">
        <f t="shared" si="15"/>
        <v>0</v>
      </c>
      <c r="S209" s="13" t="s">
        <v>543</v>
      </c>
    </row>
    <row r="210" spans="1:19" x14ac:dyDescent="0.25">
      <c r="A210" s="4" t="s">
        <v>152</v>
      </c>
      <c r="B210" s="5" t="s">
        <v>125</v>
      </c>
      <c r="C210" s="4" t="s">
        <v>117</v>
      </c>
      <c r="D210" s="5" t="s">
        <v>179</v>
      </c>
      <c r="E210" s="4" t="s">
        <v>56</v>
      </c>
      <c r="F210" s="4" t="s">
        <v>57</v>
      </c>
      <c r="G210" s="4" t="s">
        <v>58</v>
      </c>
      <c r="H210" s="6">
        <v>10</v>
      </c>
      <c r="I210" s="7">
        <v>8500</v>
      </c>
      <c r="J210" s="7">
        <f t="shared" si="12"/>
        <v>85000</v>
      </c>
      <c r="K210" s="8" t="s">
        <v>17</v>
      </c>
      <c r="L210" t="str">
        <f>IFERROR(VLOOKUP(F210,MÃ!$A:$B,2,0),0)</f>
        <v>NL300107</v>
      </c>
      <c r="M210" t="str">
        <f t="shared" si="13"/>
        <v>07/01/2026NL300107</v>
      </c>
      <c r="N210" s="15">
        <f>IFERROR(VLOOKUP(M210,'WS11'!$B$2:$Q$475,11,0),0)</f>
        <v>8</v>
      </c>
      <c r="O210" s="17">
        <f>IFERROR(VLOOKUP(M210,'WS11'!$B$2:$Q$475,12,0),0)</f>
        <v>8500</v>
      </c>
      <c r="P210" s="17">
        <f t="shared" si="14"/>
        <v>68000</v>
      </c>
      <c r="Q210" s="15">
        <f t="shared" si="15"/>
        <v>2</v>
      </c>
      <c r="R210" s="17">
        <f t="shared" si="15"/>
        <v>0</v>
      </c>
      <c r="S210" s="13" t="s">
        <v>543</v>
      </c>
    </row>
    <row r="211" spans="1:19" x14ac:dyDescent="0.25">
      <c r="A211" s="4" t="s">
        <v>152</v>
      </c>
      <c r="B211" s="5" t="s">
        <v>125</v>
      </c>
      <c r="C211" s="4" t="s">
        <v>117</v>
      </c>
      <c r="D211" s="5" t="s">
        <v>179</v>
      </c>
      <c r="E211" s="4" t="s">
        <v>22</v>
      </c>
      <c r="F211" s="4" t="s">
        <v>23</v>
      </c>
      <c r="G211" s="4" t="s">
        <v>16</v>
      </c>
      <c r="H211" s="6">
        <v>2.9</v>
      </c>
      <c r="I211" s="7">
        <v>30000</v>
      </c>
      <c r="J211" s="7">
        <f t="shared" si="12"/>
        <v>87000</v>
      </c>
      <c r="K211" s="8" t="s">
        <v>17</v>
      </c>
      <c r="L211" t="str">
        <f>IFERROR(VLOOKUP(F211,MÃ!$A:$B,2,0),0)</f>
        <v>NL300007</v>
      </c>
      <c r="M211" t="str">
        <f t="shared" si="13"/>
        <v>07/01/2026NL300007</v>
      </c>
      <c r="N211" s="15">
        <f>IFERROR(VLOOKUP(M211,'WS11'!$B$2:$Q$475,11,0),0)</f>
        <v>2</v>
      </c>
      <c r="O211" s="17">
        <f>IFERROR(VLOOKUP(M211,'WS11'!$B$2:$Q$475,12,0),0)</f>
        <v>30000</v>
      </c>
      <c r="P211" s="17">
        <f t="shared" si="14"/>
        <v>60000</v>
      </c>
      <c r="Q211" s="15">
        <f t="shared" si="15"/>
        <v>0.89999999999999991</v>
      </c>
      <c r="R211" s="17">
        <f t="shared" si="15"/>
        <v>0</v>
      </c>
      <c r="S211" s="13" t="s">
        <v>543</v>
      </c>
    </row>
    <row r="212" spans="1:19" x14ac:dyDescent="0.25">
      <c r="A212" s="4" t="s">
        <v>152</v>
      </c>
      <c r="B212" s="5" t="s">
        <v>125</v>
      </c>
      <c r="C212" s="4" t="s">
        <v>117</v>
      </c>
      <c r="D212" s="5" t="s">
        <v>179</v>
      </c>
      <c r="E212" s="4" t="s">
        <v>24</v>
      </c>
      <c r="F212" s="4" t="s">
        <v>25</v>
      </c>
      <c r="G212" s="4" t="s">
        <v>16</v>
      </c>
      <c r="H212" s="6">
        <v>4.3</v>
      </c>
      <c r="I212" s="7">
        <v>40000</v>
      </c>
      <c r="J212" s="7">
        <f t="shared" si="12"/>
        <v>172000</v>
      </c>
      <c r="K212" s="8" t="s">
        <v>17</v>
      </c>
      <c r="L212" t="str">
        <f>IFERROR(VLOOKUP(F212,MÃ!$A:$B,2,0),0)</f>
        <v>NL300008</v>
      </c>
      <c r="M212" t="str">
        <f t="shared" si="13"/>
        <v>07/01/2026NL300008</v>
      </c>
      <c r="N212" s="15">
        <f>IFERROR(VLOOKUP(M212,'WS11'!$B$2:$Q$475,11,0),0)</f>
        <v>2</v>
      </c>
      <c r="O212" s="17">
        <f>IFERROR(VLOOKUP(M212,'WS11'!$B$2:$Q$475,12,0),0)</f>
        <v>40000</v>
      </c>
      <c r="P212" s="17">
        <f t="shared" si="14"/>
        <v>80000</v>
      </c>
      <c r="Q212" s="15">
        <f t="shared" si="15"/>
        <v>2.2999999999999998</v>
      </c>
      <c r="R212" s="17">
        <f t="shared" si="15"/>
        <v>0</v>
      </c>
      <c r="S212" s="13" t="s">
        <v>543</v>
      </c>
    </row>
    <row r="213" spans="1:19" x14ac:dyDescent="0.25">
      <c r="A213" s="4" t="s">
        <v>152</v>
      </c>
      <c r="B213" s="5" t="s">
        <v>125</v>
      </c>
      <c r="C213" s="4" t="s">
        <v>117</v>
      </c>
      <c r="D213" s="5" t="s">
        <v>179</v>
      </c>
      <c r="E213" s="4" t="s">
        <v>28</v>
      </c>
      <c r="F213" s="4" t="s">
        <v>29</v>
      </c>
      <c r="G213" s="4" t="s">
        <v>16</v>
      </c>
      <c r="H213" s="6">
        <v>3</v>
      </c>
      <c r="I213" s="7">
        <v>30000</v>
      </c>
      <c r="J213" s="7">
        <f t="shared" si="12"/>
        <v>90000</v>
      </c>
      <c r="K213" s="8" t="s">
        <v>17</v>
      </c>
      <c r="L213" t="str">
        <f>IFERROR(VLOOKUP(F213,MÃ!$A:$B,2,0),0)</f>
        <v>NL300020</v>
      </c>
      <c r="M213" t="str">
        <f t="shared" si="13"/>
        <v>07/01/2026NL300020</v>
      </c>
      <c r="N213" s="15">
        <f>IFERROR(VLOOKUP(M213,'WS11'!$B$2:$Q$475,11,0),0)</f>
        <v>1</v>
      </c>
      <c r="O213" s="17">
        <f>IFERROR(VLOOKUP(M213,'WS11'!$B$2:$Q$475,12,0),0)</f>
        <v>30000</v>
      </c>
      <c r="P213" s="17">
        <f t="shared" si="14"/>
        <v>30000</v>
      </c>
      <c r="Q213" s="15">
        <f t="shared" si="15"/>
        <v>2</v>
      </c>
      <c r="R213" s="17">
        <f t="shared" si="15"/>
        <v>0</v>
      </c>
      <c r="S213" s="13" t="s">
        <v>543</v>
      </c>
    </row>
    <row r="214" spans="1:19" x14ac:dyDescent="0.25">
      <c r="A214" s="4" t="s">
        <v>152</v>
      </c>
      <c r="B214" s="5" t="s">
        <v>125</v>
      </c>
      <c r="C214" s="4" t="s">
        <v>117</v>
      </c>
      <c r="D214" s="5" t="s">
        <v>179</v>
      </c>
      <c r="E214" s="4" t="s">
        <v>59</v>
      </c>
      <c r="F214" s="4" t="s">
        <v>60</v>
      </c>
      <c r="G214" s="4" t="s">
        <v>16</v>
      </c>
      <c r="H214" s="6">
        <v>0.6</v>
      </c>
      <c r="I214" s="7">
        <v>75000</v>
      </c>
      <c r="J214" s="7">
        <f t="shared" si="12"/>
        <v>45000</v>
      </c>
      <c r="K214" s="8" t="s">
        <v>17</v>
      </c>
      <c r="L214" t="str">
        <f>IFERROR(VLOOKUP(F214,MÃ!$A:$B,2,0),0)</f>
        <v>NL600067</v>
      </c>
      <c r="M214" t="str">
        <f t="shared" si="13"/>
        <v>07/01/2026NL600067</v>
      </c>
      <c r="N214" s="15">
        <f>IFERROR(VLOOKUP(M214,'WS11'!$B$2:$Q$475,11,0),0)</f>
        <v>0.6</v>
      </c>
      <c r="O214" s="17">
        <f>IFERROR(VLOOKUP(M214,'WS11'!$B$2:$Q$475,12,0),0)</f>
        <v>75000</v>
      </c>
      <c r="P214" s="17">
        <f t="shared" si="14"/>
        <v>45000</v>
      </c>
      <c r="Q214" s="15">
        <f t="shared" si="15"/>
        <v>0</v>
      </c>
      <c r="R214" s="17">
        <f t="shared" si="15"/>
        <v>0</v>
      </c>
      <c r="S214" s="13"/>
    </row>
    <row r="215" spans="1:19" x14ac:dyDescent="0.25">
      <c r="A215" s="4" t="s">
        <v>152</v>
      </c>
      <c r="B215" s="5" t="s">
        <v>125</v>
      </c>
      <c r="C215" s="4" t="s">
        <v>117</v>
      </c>
      <c r="D215" s="5" t="s">
        <v>179</v>
      </c>
      <c r="E215" s="4" t="s">
        <v>61</v>
      </c>
      <c r="F215" s="4" t="s">
        <v>62</v>
      </c>
      <c r="G215" s="4" t="s">
        <v>16</v>
      </c>
      <c r="H215" s="6">
        <v>0.5</v>
      </c>
      <c r="I215" s="7">
        <v>22000</v>
      </c>
      <c r="J215" s="7">
        <f t="shared" si="12"/>
        <v>11000</v>
      </c>
      <c r="K215" s="8" t="s">
        <v>17</v>
      </c>
      <c r="L215" t="str">
        <f>IFERROR(VLOOKUP(F215,MÃ!$A:$B,2,0),0)</f>
        <v>NL300029</v>
      </c>
      <c r="M215" t="str">
        <f t="shared" si="13"/>
        <v>07/01/2026NL300029</v>
      </c>
      <c r="N215" s="15">
        <f>IFERROR(VLOOKUP(M215,'WS11'!$B$2:$Q$475,11,0),0)</f>
        <v>0.5</v>
      </c>
      <c r="O215" s="17">
        <f>IFERROR(VLOOKUP(M215,'WS11'!$B$2:$Q$475,12,0),0)</f>
        <v>22000</v>
      </c>
      <c r="P215" s="17">
        <f t="shared" si="14"/>
        <v>11000</v>
      </c>
      <c r="Q215" s="15">
        <f t="shared" si="15"/>
        <v>0</v>
      </c>
      <c r="R215" s="17">
        <f t="shared" si="15"/>
        <v>0</v>
      </c>
      <c r="S215" s="13"/>
    </row>
    <row r="216" spans="1:19" x14ac:dyDescent="0.25">
      <c r="A216" s="4" t="s">
        <v>152</v>
      </c>
      <c r="B216" s="5" t="s">
        <v>125</v>
      </c>
      <c r="C216" s="4" t="s">
        <v>117</v>
      </c>
      <c r="D216" s="5" t="s">
        <v>179</v>
      </c>
      <c r="E216" s="4" t="s">
        <v>34</v>
      </c>
      <c r="F216" s="4" t="s">
        <v>35</v>
      </c>
      <c r="G216" s="4" t="s">
        <v>16</v>
      </c>
      <c r="H216" s="6">
        <v>1.5</v>
      </c>
      <c r="I216" s="7">
        <v>32000</v>
      </c>
      <c r="J216" s="7">
        <f t="shared" si="12"/>
        <v>48000</v>
      </c>
      <c r="K216" s="8" t="s">
        <v>17</v>
      </c>
      <c r="L216" t="str">
        <f>IFERROR(VLOOKUP(F216,MÃ!$A:$B,2,0),0)</f>
        <v>NL300038</v>
      </c>
      <c r="M216" t="str">
        <f t="shared" si="13"/>
        <v>07/01/2026NL300038</v>
      </c>
      <c r="N216" s="15">
        <f>IFERROR(VLOOKUP(M216,'WS11'!$B$2:$Q$475,11,0),0)</f>
        <v>1</v>
      </c>
      <c r="O216" s="17">
        <f>IFERROR(VLOOKUP(M216,'WS11'!$B$2:$Q$475,12,0),0)</f>
        <v>32000</v>
      </c>
      <c r="P216" s="17">
        <f t="shared" si="14"/>
        <v>32000</v>
      </c>
      <c r="Q216" s="15">
        <f t="shared" si="15"/>
        <v>0.5</v>
      </c>
      <c r="R216" s="17">
        <f t="shared" si="15"/>
        <v>0</v>
      </c>
      <c r="S216" s="13" t="s">
        <v>543</v>
      </c>
    </row>
    <row r="217" spans="1:19" x14ac:dyDescent="0.25">
      <c r="A217" s="4" t="s">
        <v>152</v>
      </c>
      <c r="B217" s="5" t="s">
        <v>125</v>
      </c>
      <c r="C217" s="4" t="s">
        <v>117</v>
      </c>
      <c r="D217" s="5" t="s">
        <v>179</v>
      </c>
      <c r="E217" s="4" t="s">
        <v>36</v>
      </c>
      <c r="F217" s="4" t="s">
        <v>37</v>
      </c>
      <c r="G217" s="4" t="s">
        <v>16</v>
      </c>
      <c r="H217" s="6">
        <v>17</v>
      </c>
      <c r="I217" s="7">
        <v>18000</v>
      </c>
      <c r="J217" s="7">
        <f t="shared" si="12"/>
        <v>306000</v>
      </c>
      <c r="K217" s="8" t="s">
        <v>17</v>
      </c>
      <c r="L217" t="str">
        <f>IFERROR(VLOOKUP(F217,MÃ!$A:$B,2,0),0)</f>
        <v>NL600004</v>
      </c>
      <c r="M217" t="str">
        <f t="shared" si="13"/>
        <v>07/01/2026NL600004</v>
      </c>
      <c r="N217" s="15">
        <f>IFERROR(VLOOKUP(M217,'WS11'!$B$2:$Q$475,11,0),0)</f>
        <v>17</v>
      </c>
      <c r="O217" s="17">
        <f>IFERROR(VLOOKUP(M217,'WS11'!$B$2:$Q$475,12,0),0)</f>
        <v>18000</v>
      </c>
      <c r="P217" s="17">
        <f t="shared" si="14"/>
        <v>306000</v>
      </c>
      <c r="Q217" s="15">
        <f t="shared" si="15"/>
        <v>0</v>
      </c>
      <c r="R217" s="17">
        <f t="shared" si="15"/>
        <v>0</v>
      </c>
      <c r="S217" s="13"/>
    </row>
    <row r="218" spans="1:19" x14ac:dyDescent="0.25">
      <c r="A218" s="4" t="s">
        <v>152</v>
      </c>
      <c r="B218" s="5" t="s">
        <v>125</v>
      </c>
      <c r="C218" s="4" t="s">
        <v>117</v>
      </c>
      <c r="D218" s="5" t="s">
        <v>179</v>
      </c>
      <c r="E218" s="4" t="s">
        <v>38</v>
      </c>
      <c r="F218" s="4" t="s">
        <v>39</v>
      </c>
      <c r="G218" s="4" t="s">
        <v>16</v>
      </c>
      <c r="H218" s="6">
        <v>1</v>
      </c>
      <c r="I218" s="7">
        <v>55000</v>
      </c>
      <c r="J218" s="7">
        <f t="shared" si="12"/>
        <v>55000</v>
      </c>
      <c r="K218" s="8" t="s">
        <v>17</v>
      </c>
      <c r="L218" t="str">
        <f>IFERROR(VLOOKUP(F218,MÃ!$A:$B,2,0),0)</f>
        <v>NL300058</v>
      </c>
      <c r="M218" t="str">
        <f t="shared" si="13"/>
        <v>07/01/2026NL300058</v>
      </c>
      <c r="N218" s="15">
        <f>IFERROR(VLOOKUP(M218,'WS11'!$B$2:$Q$475,11,0),0)</f>
        <v>0.5</v>
      </c>
      <c r="O218" s="17">
        <f>IFERROR(VLOOKUP(M218,'WS11'!$B$2:$Q$475,12,0),0)</f>
        <v>55000</v>
      </c>
      <c r="P218" s="17">
        <f t="shared" si="14"/>
        <v>27500</v>
      </c>
      <c r="Q218" s="15">
        <f t="shared" si="15"/>
        <v>0.5</v>
      </c>
      <c r="R218" s="17">
        <f t="shared" si="15"/>
        <v>0</v>
      </c>
      <c r="S218" s="13" t="s">
        <v>543</v>
      </c>
    </row>
    <row r="219" spans="1:19" x14ac:dyDescent="0.25">
      <c r="A219" s="4" t="s">
        <v>152</v>
      </c>
      <c r="B219" s="5" t="s">
        <v>125</v>
      </c>
      <c r="C219" s="4" t="s">
        <v>117</v>
      </c>
      <c r="D219" s="5" t="s">
        <v>179</v>
      </c>
      <c r="E219" s="4" t="s">
        <v>63</v>
      </c>
      <c r="F219" s="4" t="s">
        <v>64</v>
      </c>
      <c r="G219" s="4" t="s">
        <v>16</v>
      </c>
      <c r="H219" s="6">
        <v>0.3</v>
      </c>
      <c r="I219" s="7">
        <v>65000</v>
      </c>
      <c r="J219" s="7">
        <f t="shared" si="12"/>
        <v>19500</v>
      </c>
      <c r="K219" s="8" t="s">
        <v>17</v>
      </c>
      <c r="L219" t="str">
        <f>IFERROR(VLOOKUP(F219,MÃ!$A:$B,2,0),0)</f>
        <v>NL300062</v>
      </c>
      <c r="M219" t="str">
        <f t="shared" si="13"/>
        <v>07/01/2026NL300062</v>
      </c>
      <c r="N219" s="15">
        <f>IFERROR(VLOOKUP(M219,'WS11'!$B$2:$Q$475,11,0),0)</f>
        <v>0.3</v>
      </c>
      <c r="O219" s="17">
        <f>IFERROR(VLOOKUP(M219,'WS11'!$B$2:$Q$475,12,0),0)</f>
        <v>65000</v>
      </c>
      <c r="P219" s="17">
        <f t="shared" si="14"/>
        <v>19500</v>
      </c>
      <c r="Q219" s="15">
        <f t="shared" si="15"/>
        <v>0</v>
      </c>
      <c r="R219" s="17">
        <f t="shared" si="15"/>
        <v>0</v>
      </c>
      <c r="S219" s="13"/>
    </row>
    <row r="220" spans="1:19" x14ac:dyDescent="0.25">
      <c r="A220" s="4" t="s">
        <v>152</v>
      </c>
      <c r="B220" s="5" t="s">
        <v>125</v>
      </c>
      <c r="C220" s="4" t="s">
        <v>117</v>
      </c>
      <c r="D220" s="5" t="s">
        <v>179</v>
      </c>
      <c r="E220" s="4" t="s">
        <v>65</v>
      </c>
      <c r="F220" s="4" t="s">
        <v>66</v>
      </c>
      <c r="G220" s="4" t="s">
        <v>16</v>
      </c>
      <c r="H220" s="6">
        <v>1.3</v>
      </c>
      <c r="I220" s="7">
        <v>23000</v>
      </c>
      <c r="J220" s="7">
        <f t="shared" si="12"/>
        <v>29900</v>
      </c>
      <c r="K220" s="8" t="s">
        <v>17</v>
      </c>
      <c r="L220" t="str">
        <f>IFERROR(VLOOKUP(F220,MÃ!$A:$B,2,0),0)</f>
        <v>NL300070</v>
      </c>
      <c r="M220" t="str">
        <f t="shared" si="13"/>
        <v>07/01/2026NL300070</v>
      </c>
      <c r="N220" s="15">
        <f>IFERROR(VLOOKUP(M220,'WS11'!$B$2:$Q$475,11,0),0)</f>
        <v>1</v>
      </c>
      <c r="O220" s="17">
        <f>IFERROR(VLOOKUP(M220,'WS11'!$B$2:$Q$475,12,0),0)</f>
        <v>23000</v>
      </c>
      <c r="P220" s="17">
        <f t="shared" si="14"/>
        <v>23000</v>
      </c>
      <c r="Q220" s="15">
        <f t="shared" si="15"/>
        <v>0.30000000000000004</v>
      </c>
      <c r="R220" s="17">
        <f t="shared" si="15"/>
        <v>0</v>
      </c>
      <c r="S220" s="13" t="s">
        <v>543</v>
      </c>
    </row>
    <row r="221" spans="1:19" x14ac:dyDescent="0.25">
      <c r="A221" s="4" t="s">
        <v>152</v>
      </c>
      <c r="B221" s="5" t="s">
        <v>125</v>
      </c>
      <c r="C221" s="4" t="s">
        <v>117</v>
      </c>
      <c r="D221" s="5" t="s">
        <v>179</v>
      </c>
      <c r="E221" s="4" t="s">
        <v>14</v>
      </c>
      <c r="F221" s="4" t="s">
        <v>15</v>
      </c>
      <c r="G221" s="4" t="s">
        <v>16</v>
      </c>
      <c r="H221" s="6">
        <v>3</v>
      </c>
      <c r="I221" s="7">
        <v>27000</v>
      </c>
      <c r="J221" s="7">
        <f t="shared" si="12"/>
        <v>81000</v>
      </c>
      <c r="K221" s="8" t="s">
        <v>17</v>
      </c>
      <c r="L221" t="str">
        <f>IFERROR(VLOOKUP(F221,MÃ!$A:$B,2,0),0)</f>
        <v>NL300088</v>
      </c>
      <c r="M221" t="str">
        <f t="shared" si="13"/>
        <v>07/01/2026NL300088</v>
      </c>
      <c r="N221" s="15">
        <f>IFERROR(VLOOKUP(M221,'WS11'!$B$2:$Q$475,11,0),0)</f>
        <v>2.5</v>
      </c>
      <c r="O221" s="17">
        <f>IFERROR(VLOOKUP(M221,'WS11'!$B$2:$Q$475,12,0),0)</f>
        <v>27000</v>
      </c>
      <c r="P221" s="17">
        <f t="shared" si="14"/>
        <v>67500</v>
      </c>
      <c r="Q221" s="15">
        <f t="shared" si="15"/>
        <v>0.5</v>
      </c>
      <c r="R221" s="17">
        <f t="shared" si="15"/>
        <v>0</v>
      </c>
      <c r="S221" s="13" t="s">
        <v>543</v>
      </c>
    </row>
    <row r="222" spans="1:19" x14ac:dyDescent="0.25">
      <c r="A222" s="4" t="s">
        <v>152</v>
      </c>
      <c r="B222" s="5" t="s">
        <v>125</v>
      </c>
      <c r="C222" s="4" t="s">
        <v>117</v>
      </c>
      <c r="D222" s="5" t="s">
        <v>179</v>
      </c>
      <c r="E222" s="4" t="s">
        <v>69</v>
      </c>
      <c r="F222" s="4" t="s">
        <v>70</v>
      </c>
      <c r="G222" s="4" t="s">
        <v>16</v>
      </c>
      <c r="H222" s="6">
        <v>2</v>
      </c>
      <c r="I222" s="7">
        <v>145000</v>
      </c>
      <c r="J222" s="7">
        <f t="shared" si="12"/>
        <v>290000</v>
      </c>
      <c r="K222" s="8" t="s">
        <v>17</v>
      </c>
      <c r="L222" t="str">
        <f>IFERROR(VLOOKUP(F222,MÃ!$A:$B,2,0),0)</f>
        <v>NL300090</v>
      </c>
      <c r="M222" t="str">
        <f t="shared" si="13"/>
        <v>07/01/2026NL300090</v>
      </c>
      <c r="N222" s="15">
        <f>IFERROR(VLOOKUP(M222,'WS11'!$B$2:$Q$475,11,0),0)</f>
        <v>1</v>
      </c>
      <c r="O222" s="17">
        <f>IFERROR(VLOOKUP(M222,'WS11'!$B$2:$Q$475,12,0),0)</f>
        <v>145000</v>
      </c>
      <c r="P222" s="17">
        <f t="shared" si="14"/>
        <v>145000</v>
      </c>
      <c r="Q222" s="15">
        <f t="shared" si="15"/>
        <v>1</v>
      </c>
      <c r="R222" s="17">
        <f t="shared" si="15"/>
        <v>0</v>
      </c>
      <c r="S222" s="13" t="s">
        <v>543</v>
      </c>
    </row>
    <row r="223" spans="1:19" x14ac:dyDescent="0.25">
      <c r="A223" s="4" t="s">
        <v>152</v>
      </c>
      <c r="B223" s="5" t="s">
        <v>125</v>
      </c>
      <c r="C223" s="4" t="s">
        <v>117</v>
      </c>
      <c r="D223" s="5" t="s">
        <v>179</v>
      </c>
      <c r="E223" s="4" t="s">
        <v>73</v>
      </c>
      <c r="F223" s="4" t="s">
        <v>74</v>
      </c>
      <c r="G223" s="4" t="s">
        <v>16</v>
      </c>
      <c r="H223" s="6">
        <v>0.6</v>
      </c>
      <c r="I223" s="7">
        <v>90000</v>
      </c>
      <c r="J223" s="7">
        <f t="shared" si="12"/>
        <v>54000</v>
      </c>
      <c r="K223" s="8" t="s">
        <v>17</v>
      </c>
      <c r="L223" t="str">
        <f>IFERROR(VLOOKUP(F223,MÃ!$A:$B,2,0),0)</f>
        <v>NL300092</v>
      </c>
      <c r="M223" t="str">
        <f t="shared" si="13"/>
        <v>07/01/2026NL300092</v>
      </c>
      <c r="N223" s="15">
        <f>IFERROR(VLOOKUP(M223,'WS11'!$B$2:$Q$475,11,0),0)</f>
        <v>0.5</v>
      </c>
      <c r="O223" s="17">
        <f>IFERROR(VLOOKUP(M223,'WS11'!$B$2:$Q$475,12,0),0)</f>
        <v>90000</v>
      </c>
      <c r="P223" s="17">
        <f t="shared" si="14"/>
        <v>45000</v>
      </c>
      <c r="Q223" s="15">
        <f t="shared" si="15"/>
        <v>9.9999999999999978E-2</v>
      </c>
      <c r="R223" s="17">
        <f t="shared" si="15"/>
        <v>0</v>
      </c>
      <c r="S223" s="13" t="s">
        <v>543</v>
      </c>
    </row>
    <row r="224" spans="1:19" x14ac:dyDescent="0.25">
      <c r="A224" s="4" t="s">
        <v>152</v>
      </c>
      <c r="B224" s="5" t="s">
        <v>125</v>
      </c>
      <c r="C224" s="4" t="s">
        <v>117</v>
      </c>
      <c r="D224" s="5" t="s">
        <v>179</v>
      </c>
      <c r="E224" s="4" t="s">
        <v>44</v>
      </c>
      <c r="F224" s="4" t="s">
        <v>45</v>
      </c>
      <c r="G224" s="4" t="s">
        <v>16</v>
      </c>
      <c r="H224" s="6">
        <v>4</v>
      </c>
      <c r="I224" s="7">
        <v>45000</v>
      </c>
      <c r="J224" s="7">
        <f t="shared" si="12"/>
        <v>180000</v>
      </c>
      <c r="K224" s="8" t="s">
        <v>17</v>
      </c>
      <c r="L224" t="str">
        <f>IFERROR(VLOOKUP(F224,MÃ!$A:$B,2,0),0)</f>
        <v>NL300096</v>
      </c>
      <c r="M224" t="str">
        <f t="shared" si="13"/>
        <v>07/01/2026NL300096</v>
      </c>
      <c r="N224" s="15">
        <f>IFERROR(VLOOKUP(M224,'WS11'!$B$2:$Q$475,11,0),0)</f>
        <v>3.5</v>
      </c>
      <c r="O224" s="17">
        <f>IFERROR(VLOOKUP(M224,'WS11'!$B$2:$Q$475,12,0),0)</f>
        <v>45000</v>
      </c>
      <c r="P224" s="17">
        <f t="shared" si="14"/>
        <v>157500</v>
      </c>
      <c r="Q224" s="15">
        <f t="shared" si="15"/>
        <v>0.5</v>
      </c>
      <c r="R224" s="17">
        <f t="shared" si="15"/>
        <v>0</v>
      </c>
      <c r="S224" s="13" t="s">
        <v>543</v>
      </c>
    </row>
    <row r="225" spans="1:19" x14ac:dyDescent="0.25">
      <c r="A225" s="4" t="s">
        <v>152</v>
      </c>
      <c r="B225" s="5" t="s">
        <v>125</v>
      </c>
      <c r="C225" s="4" t="s">
        <v>117</v>
      </c>
      <c r="D225" s="5" t="s">
        <v>179</v>
      </c>
      <c r="E225" s="4" t="s">
        <v>75</v>
      </c>
      <c r="F225" s="4" t="s">
        <v>76</v>
      </c>
      <c r="G225" s="4" t="s">
        <v>16</v>
      </c>
      <c r="H225" s="6">
        <v>0.5</v>
      </c>
      <c r="I225" s="7">
        <v>90000</v>
      </c>
      <c r="J225" s="7">
        <f t="shared" si="12"/>
        <v>45000</v>
      </c>
      <c r="K225" s="8" t="s">
        <v>17</v>
      </c>
      <c r="L225" t="str">
        <f>IFERROR(VLOOKUP(F225,MÃ!$A:$B,2,0),0)</f>
        <v>NL300097</v>
      </c>
      <c r="M225" t="str">
        <f t="shared" si="13"/>
        <v>07/01/2026NL300097</v>
      </c>
      <c r="N225" s="15">
        <f>IFERROR(VLOOKUP(M225,'WS11'!$B$2:$Q$475,11,0),0)</f>
        <v>0.4</v>
      </c>
      <c r="O225" s="17">
        <f>IFERROR(VLOOKUP(M225,'WS11'!$B$2:$Q$475,12,0),0)</f>
        <v>90000</v>
      </c>
      <c r="P225" s="17">
        <f t="shared" si="14"/>
        <v>36000</v>
      </c>
      <c r="Q225" s="15">
        <f t="shared" si="15"/>
        <v>9.9999999999999978E-2</v>
      </c>
      <c r="R225" s="17">
        <f t="shared" si="15"/>
        <v>0</v>
      </c>
      <c r="S225" s="13" t="s">
        <v>543</v>
      </c>
    </row>
    <row r="226" spans="1:19" x14ac:dyDescent="0.25">
      <c r="A226" s="4" t="s">
        <v>152</v>
      </c>
      <c r="B226" s="5" t="s">
        <v>125</v>
      </c>
      <c r="C226" s="4" t="s">
        <v>117</v>
      </c>
      <c r="D226" s="5" t="s">
        <v>179</v>
      </c>
      <c r="E226" s="4" t="s">
        <v>77</v>
      </c>
      <c r="F226" s="4" t="s">
        <v>78</v>
      </c>
      <c r="G226" s="4" t="s">
        <v>16</v>
      </c>
      <c r="H226" s="6">
        <v>1</v>
      </c>
      <c r="I226" s="7">
        <v>45000</v>
      </c>
      <c r="J226" s="7">
        <f t="shared" si="12"/>
        <v>45000</v>
      </c>
      <c r="K226" s="8" t="s">
        <v>17</v>
      </c>
      <c r="L226" t="str">
        <f>IFERROR(VLOOKUP(F226,MÃ!$A:$B,2,0),0)</f>
        <v>NL300085</v>
      </c>
      <c r="M226" t="str">
        <f t="shared" si="13"/>
        <v>07/01/2026NL300085</v>
      </c>
      <c r="N226" s="15">
        <f>IFERROR(VLOOKUP(M226,'WS11'!$B$2:$Q$475,11,0),0)</f>
        <v>0.5</v>
      </c>
      <c r="O226" s="17">
        <f>IFERROR(VLOOKUP(M226,'WS11'!$B$2:$Q$475,12,0),0)</f>
        <v>45000</v>
      </c>
      <c r="P226" s="17">
        <f t="shared" si="14"/>
        <v>22500</v>
      </c>
      <c r="Q226" s="15">
        <f t="shared" si="15"/>
        <v>0.5</v>
      </c>
      <c r="R226" s="17">
        <f t="shared" si="15"/>
        <v>0</v>
      </c>
      <c r="S226" s="13" t="s">
        <v>543</v>
      </c>
    </row>
    <row r="227" spans="1:19" x14ac:dyDescent="0.25">
      <c r="A227" s="4" t="s">
        <v>152</v>
      </c>
      <c r="B227" s="5" t="s">
        <v>125</v>
      </c>
      <c r="C227" s="4" t="s">
        <v>117</v>
      </c>
      <c r="D227" s="5" t="s">
        <v>179</v>
      </c>
      <c r="E227" s="4" t="s">
        <v>102</v>
      </c>
      <c r="F227" s="4" t="s">
        <v>103</v>
      </c>
      <c r="G227" s="4" t="s">
        <v>16</v>
      </c>
      <c r="H227" s="6">
        <v>0.5</v>
      </c>
      <c r="I227" s="7">
        <v>145000</v>
      </c>
      <c r="J227" s="7">
        <f t="shared" si="12"/>
        <v>72500</v>
      </c>
      <c r="K227" s="8" t="s">
        <v>17</v>
      </c>
      <c r="L227" t="str">
        <f>IFERROR(VLOOKUP(F227,MÃ!$A:$B,2,0),0)</f>
        <v>NL300113</v>
      </c>
      <c r="M227" t="str">
        <f t="shared" si="13"/>
        <v>07/01/2026NL300113</v>
      </c>
      <c r="N227" s="15">
        <f>IFERROR(VLOOKUP(M227,'WS11'!$B$2:$Q$475,11,0),0)</f>
        <v>0.4</v>
      </c>
      <c r="O227" s="17">
        <f>IFERROR(VLOOKUP(M227,'WS11'!$B$2:$Q$475,12,0),0)</f>
        <v>145000</v>
      </c>
      <c r="P227" s="17">
        <f t="shared" si="14"/>
        <v>58000</v>
      </c>
      <c r="Q227" s="15">
        <f t="shared" si="15"/>
        <v>9.9999999999999978E-2</v>
      </c>
      <c r="R227" s="17">
        <f t="shared" si="15"/>
        <v>0</v>
      </c>
      <c r="S227" s="13" t="s">
        <v>543</v>
      </c>
    </row>
    <row r="228" spans="1:19" x14ac:dyDescent="0.25">
      <c r="A228" s="4" t="s">
        <v>152</v>
      </c>
      <c r="B228" s="5" t="s">
        <v>125</v>
      </c>
      <c r="C228" s="4" t="s">
        <v>117</v>
      </c>
      <c r="D228" s="5" t="s">
        <v>179</v>
      </c>
      <c r="E228" s="4" t="s">
        <v>48</v>
      </c>
      <c r="F228" s="4" t="s">
        <v>49</v>
      </c>
      <c r="G228" s="4" t="s">
        <v>16</v>
      </c>
      <c r="H228" s="6">
        <v>0.5</v>
      </c>
      <c r="I228" s="7">
        <v>42000</v>
      </c>
      <c r="J228" s="7">
        <f t="shared" si="12"/>
        <v>21000</v>
      </c>
      <c r="K228" s="8" t="s">
        <v>17</v>
      </c>
      <c r="L228" t="str">
        <f>IFERROR(VLOOKUP(F228,MÃ!$A:$B,2,0),0)</f>
        <v>NL300125</v>
      </c>
      <c r="M228" t="str">
        <f t="shared" si="13"/>
        <v>07/01/2026NL300125</v>
      </c>
      <c r="N228" s="15">
        <f>IFERROR(VLOOKUP(M228,'WS11'!$B$2:$Q$475,11,0),0)</f>
        <v>0.5</v>
      </c>
      <c r="O228" s="17">
        <f>IFERROR(VLOOKUP(M228,'WS11'!$B$2:$Q$475,12,0),0)</f>
        <v>42000</v>
      </c>
      <c r="P228" s="17">
        <f t="shared" si="14"/>
        <v>21000</v>
      </c>
      <c r="Q228" s="15">
        <f t="shared" si="15"/>
        <v>0</v>
      </c>
      <c r="R228" s="17">
        <f t="shared" si="15"/>
        <v>0</v>
      </c>
      <c r="S228" s="13"/>
    </row>
    <row r="229" spans="1:19" x14ac:dyDescent="0.25">
      <c r="A229" s="4" t="s">
        <v>152</v>
      </c>
      <c r="B229" s="5" t="s">
        <v>125</v>
      </c>
      <c r="C229" s="4" t="s">
        <v>117</v>
      </c>
      <c r="D229" s="5" t="s">
        <v>179</v>
      </c>
      <c r="E229" s="4" t="s">
        <v>81</v>
      </c>
      <c r="F229" s="4" t="s">
        <v>82</v>
      </c>
      <c r="G229" s="4" t="s">
        <v>16</v>
      </c>
      <c r="H229" s="6">
        <v>0.5</v>
      </c>
      <c r="I229" s="7">
        <v>12000</v>
      </c>
      <c r="J229" s="7">
        <f t="shared" si="12"/>
        <v>6000</v>
      </c>
      <c r="K229" s="8" t="s">
        <v>17</v>
      </c>
      <c r="L229" t="str">
        <f>IFERROR(VLOOKUP(F229,MÃ!$A:$B,2,0),0)</f>
        <v>NL300132</v>
      </c>
      <c r="M229" t="str">
        <f t="shared" si="13"/>
        <v>07/01/2026NL300132</v>
      </c>
      <c r="N229" s="15">
        <f>IFERROR(VLOOKUP(M229,'WS11'!$B$2:$Q$475,11,0),0)</f>
        <v>0.4</v>
      </c>
      <c r="O229" s="17">
        <f>IFERROR(VLOOKUP(M229,'WS11'!$B$2:$Q$475,12,0),0)</f>
        <v>12000</v>
      </c>
      <c r="P229" s="17">
        <f t="shared" si="14"/>
        <v>4800</v>
      </c>
      <c r="Q229" s="15">
        <f t="shared" si="15"/>
        <v>9.9999999999999978E-2</v>
      </c>
      <c r="R229" s="17">
        <f t="shared" si="15"/>
        <v>0</v>
      </c>
      <c r="S229" s="13" t="s">
        <v>543</v>
      </c>
    </row>
    <row r="230" spans="1:19" x14ac:dyDescent="0.25">
      <c r="A230" s="4" t="s">
        <v>152</v>
      </c>
      <c r="B230" s="5" t="s">
        <v>125</v>
      </c>
      <c r="C230" s="4" t="s">
        <v>117</v>
      </c>
      <c r="D230" s="5" t="s">
        <v>179</v>
      </c>
      <c r="E230" s="4" t="s">
        <v>52</v>
      </c>
      <c r="F230" s="4" t="s">
        <v>53</v>
      </c>
      <c r="G230" s="4" t="s">
        <v>16</v>
      </c>
      <c r="H230" s="6">
        <v>1.5</v>
      </c>
      <c r="I230" s="7">
        <v>21000</v>
      </c>
      <c r="J230" s="7">
        <f t="shared" si="12"/>
        <v>31500</v>
      </c>
      <c r="K230" s="8" t="s">
        <v>17</v>
      </c>
      <c r="L230" t="str">
        <f>IFERROR(VLOOKUP(F230,MÃ!$A:$B,2,0),0)</f>
        <v>NL300119</v>
      </c>
      <c r="M230" t="str">
        <f t="shared" si="13"/>
        <v>07/01/2026NL300119</v>
      </c>
      <c r="N230" s="15">
        <f>IFERROR(VLOOKUP(M230,'WS11'!$B$2:$Q$475,11,0),0)</f>
        <v>1</v>
      </c>
      <c r="O230" s="17">
        <f>IFERROR(VLOOKUP(M230,'WS11'!$B$2:$Q$475,12,0),0)</f>
        <v>21000</v>
      </c>
      <c r="P230" s="17">
        <f t="shared" si="14"/>
        <v>21000</v>
      </c>
      <c r="Q230" s="15">
        <f t="shared" si="15"/>
        <v>0.5</v>
      </c>
      <c r="R230" s="17">
        <f t="shared" si="15"/>
        <v>0</v>
      </c>
      <c r="S230" s="13" t="s">
        <v>543</v>
      </c>
    </row>
    <row r="231" spans="1:19" x14ac:dyDescent="0.25">
      <c r="A231" s="4" t="s">
        <v>152</v>
      </c>
      <c r="B231" s="5" t="s">
        <v>125</v>
      </c>
      <c r="C231" s="4" t="s">
        <v>117</v>
      </c>
      <c r="D231" s="5" t="s">
        <v>179</v>
      </c>
      <c r="E231" s="4" t="s">
        <v>85</v>
      </c>
      <c r="F231" s="4" t="s">
        <v>86</v>
      </c>
      <c r="G231" s="4" t="s">
        <v>16</v>
      </c>
      <c r="H231" s="6">
        <v>1.1000000000000001</v>
      </c>
      <c r="I231" s="7">
        <v>50000</v>
      </c>
      <c r="J231" s="7">
        <f t="shared" si="12"/>
        <v>55000.000000000007</v>
      </c>
      <c r="K231" s="8" t="s">
        <v>17</v>
      </c>
      <c r="L231" t="str">
        <f>IFERROR(VLOOKUP(F231,MÃ!$A:$B,2,0),0)</f>
        <v>NL300142</v>
      </c>
      <c r="M231" t="str">
        <f t="shared" si="13"/>
        <v>07/01/2026NL300142</v>
      </c>
      <c r="N231" s="15">
        <f>IFERROR(VLOOKUP(M231,'WS11'!$B$2:$Q$475,11,0),0)</f>
        <v>1.1000000000000001</v>
      </c>
      <c r="O231" s="17">
        <f>IFERROR(VLOOKUP(M231,'WS11'!$B$2:$Q$475,12,0),0)</f>
        <v>50000</v>
      </c>
      <c r="P231" s="17">
        <f t="shared" si="14"/>
        <v>55000.000000000007</v>
      </c>
      <c r="Q231" s="15">
        <f t="shared" si="15"/>
        <v>0</v>
      </c>
      <c r="R231" s="17">
        <f t="shared" si="15"/>
        <v>0</v>
      </c>
      <c r="S231" s="13"/>
    </row>
    <row r="232" spans="1:19" x14ac:dyDescent="0.25">
      <c r="A232" s="4" t="s">
        <v>152</v>
      </c>
      <c r="B232" s="5" t="s">
        <v>125</v>
      </c>
      <c r="C232" s="4" t="s">
        <v>117</v>
      </c>
      <c r="D232" s="5" t="s">
        <v>179</v>
      </c>
      <c r="E232" s="4" t="s">
        <v>87</v>
      </c>
      <c r="F232" s="4" t="s">
        <v>88</v>
      </c>
      <c r="G232" s="4" t="s">
        <v>16</v>
      </c>
      <c r="H232" s="6">
        <v>0.2</v>
      </c>
      <c r="I232" s="7">
        <v>220000</v>
      </c>
      <c r="J232" s="7">
        <f t="shared" si="12"/>
        <v>44000</v>
      </c>
      <c r="K232" s="8" t="s">
        <v>17</v>
      </c>
      <c r="L232" t="str">
        <f>IFERROR(VLOOKUP(F232,MÃ!$A:$B,2,0),0)</f>
        <v>NL300131</v>
      </c>
      <c r="M232" t="str">
        <f t="shared" si="13"/>
        <v>07/01/2026NL300131</v>
      </c>
      <c r="N232" s="15">
        <f>IFERROR(VLOOKUP(M232,'WS11'!$B$2:$Q$475,11,0),0)</f>
        <v>0.2</v>
      </c>
      <c r="O232" s="17">
        <f>IFERROR(VLOOKUP(M232,'WS11'!$B$2:$Q$475,12,0),0)</f>
        <v>220000</v>
      </c>
      <c r="P232" s="17">
        <f t="shared" si="14"/>
        <v>44000</v>
      </c>
      <c r="Q232" s="15">
        <f t="shared" si="15"/>
        <v>0</v>
      </c>
      <c r="R232" s="17">
        <f t="shared" si="15"/>
        <v>0</v>
      </c>
      <c r="S232" s="13"/>
    </row>
    <row r="233" spans="1:19" x14ac:dyDescent="0.25">
      <c r="A233" s="4" t="s">
        <v>152</v>
      </c>
      <c r="B233" s="5" t="s">
        <v>125</v>
      </c>
      <c r="C233" s="4" t="s">
        <v>117</v>
      </c>
      <c r="D233" s="5" t="s">
        <v>179</v>
      </c>
      <c r="E233" s="4" t="s">
        <v>54</v>
      </c>
      <c r="F233" s="4" t="s">
        <v>55</v>
      </c>
      <c r="G233" s="4" t="s">
        <v>16</v>
      </c>
      <c r="H233" s="6">
        <v>3</v>
      </c>
      <c r="I233" s="7">
        <v>62000</v>
      </c>
      <c r="J233" s="7">
        <f t="shared" si="12"/>
        <v>186000</v>
      </c>
      <c r="K233" s="8" t="s">
        <v>17</v>
      </c>
      <c r="L233" t="str">
        <f>IFERROR(VLOOKUP(F233,MÃ!$A:$B,2,0),0)</f>
        <v>NL300147</v>
      </c>
      <c r="M233" t="str">
        <f t="shared" si="13"/>
        <v>07/01/2026NL300147</v>
      </c>
      <c r="N233" s="15">
        <f>IFERROR(VLOOKUP(M233,'WS11'!$B$2:$Q$475,11,0),0)</f>
        <v>1.5</v>
      </c>
      <c r="O233" s="17">
        <f>IFERROR(VLOOKUP(M233,'WS11'!$B$2:$Q$475,12,0),0)</f>
        <v>62000</v>
      </c>
      <c r="P233" s="17">
        <f t="shared" si="14"/>
        <v>93000</v>
      </c>
      <c r="Q233" s="15">
        <f t="shared" si="15"/>
        <v>1.5</v>
      </c>
      <c r="R233" s="17">
        <f t="shared" si="15"/>
        <v>0</v>
      </c>
      <c r="S233" s="13" t="s">
        <v>543</v>
      </c>
    </row>
    <row r="234" spans="1:19" x14ac:dyDescent="0.25">
      <c r="A234" s="4" t="s">
        <v>154</v>
      </c>
      <c r="B234" s="5" t="s">
        <v>125</v>
      </c>
      <c r="C234" s="4" t="s">
        <v>117</v>
      </c>
      <c r="D234" s="5" t="s">
        <v>180</v>
      </c>
      <c r="E234" s="4" t="s">
        <v>18</v>
      </c>
      <c r="F234" s="4" t="s">
        <v>19</v>
      </c>
      <c r="G234" s="4" t="s">
        <v>16</v>
      </c>
      <c r="H234" s="6">
        <v>2</v>
      </c>
      <c r="I234" s="7">
        <v>15000</v>
      </c>
      <c r="J234" s="7">
        <f t="shared" si="12"/>
        <v>30000</v>
      </c>
      <c r="K234" s="8" t="s">
        <v>17</v>
      </c>
      <c r="L234" t="str">
        <f>IFERROR(VLOOKUP(F234,MÃ!$A:$B,2,0),0)</f>
        <v>NL300189</v>
      </c>
      <c r="M234" t="str">
        <f t="shared" si="13"/>
        <v>08/01/2026NL300189</v>
      </c>
      <c r="N234" s="15">
        <f>IFERROR(VLOOKUP(M234,'WS11'!$B$2:$Q$475,11,0),0)</f>
        <v>1</v>
      </c>
      <c r="O234" s="17">
        <f>IFERROR(VLOOKUP(M234,'WS11'!$B$2:$Q$475,12,0),0)</f>
        <v>15000</v>
      </c>
      <c r="P234" s="17">
        <f t="shared" si="14"/>
        <v>15000</v>
      </c>
      <c r="Q234" s="15">
        <f t="shared" si="15"/>
        <v>1</v>
      </c>
      <c r="R234" s="17">
        <f t="shared" si="15"/>
        <v>0</v>
      </c>
      <c r="S234" s="13" t="s">
        <v>543</v>
      </c>
    </row>
    <row r="235" spans="1:19" x14ac:dyDescent="0.25">
      <c r="A235" s="4" t="s">
        <v>154</v>
      </c>
      <c r="B235" s="5" t="s">
        <v>125</v>
      </c>
      <c r="C235" s="4" t="s">
        <v>117</v>
      </c>
      <c r="D235" s="5" t="s">
        <v>180</v>
      </c>
      <c r="E235" s="4" t="s">
        <v>56</v>
      </c>
      <c r="F235" s="4" t="s">
        <v>57</v>
      </c>
      <c r="G235" s="4" t="s">
        <v>58</v>
      </c>
      <c r="H235" s="6">
        <v>15</v>
      </c>
      <c r="I235" s="7">
        <v>8500</v>
      </c>
      <c r="J235" s="7">
        <f t="shared" si="12"/>
        <v>127500</v>
      </c>
      <c r="K235" s="8" t="s">
        <v>17</v>
      </c>
      <c r="L235" t="str">
        <f>IFERROR(VLOOKUP(F235,MÃ!$A:$B,2,0),0)</f>
        <v>NL300107</v>
      </c>
      <c r="M235" t="str">
        <f t="shared" si="13"/>
        <v>08/01/2026NL300107</v>
      </c>
      <c r="N235" s="15">
        <f>IFERROR(VLOOKUP(M235,'WS11'!$B$2:$Q$475,11,0),0)</f>
        <v>12</v>
      </c>
      <c r="O235" s="17">
        <f>IFERROR(VLOOKUP(M235,'WS11'!$B$2:$Q$475,12,0),0)</f>
        <v>8500</v>
      </c>
      <c r="P235" s="17">
        <f t="shared" si="14"/>
        <v>102000</v>
      </c>
      <c r="Q235" s="15">
        <f t="shared" si="15"/>
        <v>3</v>
      </c>
      <c r="R235" s="17">
        <f t="shared" si="15"/>
        <v>0</v>
      </c>
      <c r="S235" s="13" t="s">
        <v>543</v>
      </c>
    </row>
    <row r="236" spans="1:19" x14ac:dyDescent="0.25">
      <c r="A236" s="4" t="s">
        <v>154</v>
      </c>
      <c r="B236" s="5" t="s">
        <v>125</v>
      </c>
      <c r="C236" s="4" t="s">
        <v>117</v>
      </c>
      <c r="D236" s="5" t="s">
        <v>180</v>
      </c>
      <c r="E236" s="4" t="s">
        <v>22</v>
      </c>
      <c r="F236" s="4" t="s">
        <v>23</v>
      </c>
      <c r="G236" s="4" t="s">
        <v>16</v>
      </c>
      <c r="H236" s="6">
        <v>2.2000000000000002</v>
      </c>
      <c r="I236" s="7">
        <v>30000</v>
      </c>
      <c r="J236" s="7">
        <f t="shared" si="12"/>
        <v>66000</v>
      </c>
      <c r="K236" s="8" t="s">
        <v>17</v>
      </c>
      <c r="L236" t="str">
        <f>IFERROR(VLOOKUP(F236,MÃ!$A:$B,2,0),0)</f>
        <v>NL300007</v>
      </c>
      <c r="M236" t="str">
        <f t="shared" si="13"/>
        <v>08/01/2026NL300007</v>
      </c>
      <c r="N236" s="15">
        <f>IFERROR(VLOOKUP(M236,'WS11'!$B$2:$Q$475,11,0),0)</f>
        <v>1.8</v>
      </c>
      <c r="O236" s="17">
        <f>IFERROR(VLOOKUP(M236,'WS11'!$B$2:$Q$475,12,0),0)</f>
        <v>30000</v>
      </c>
      <c r="P236" s="17">
        <f t="shared" si="14"/>
        <v>54000</v>
      </c>
      <c r="Q236" s="15">
        <f t="shared" si="15"/>
        <v>0.40000000000000013</v>
      </c>
      <c r="R236" s="17">
        <f t="shared" si="15"/>
        <v>0</v>
      </c>
      <c r="S236" s="13" t="s">
        <v>543</v>
      </c>
    </row>
    <row r="237" spans="1:19" x14ac:dyDescent="0.25">
      <c r="A237" s="4" t="s">
        <v>154</v>
      </c>
      <c r="B237" s="5" t="s">
        <v>125</v>
      </c>
      <c r="C237" s="4" t="s">
        <v>117</v>
      </c>
      <c r="D237" s="5" t="s">
        <v>180</v>
      </c>
      <c r="E237" s="4" t="s">
        <v>24</v>
      </c>
      <c r="F237" s="4" t="s">
        <v>25</v>
      </c>
      <c r="G237" s="4" t="s">
        <v>16</v>
      </c>
      <c r="H237" s="6">
        <v>7.7</v>
      </c>
      <c r="I237" s="7">
        <v>40000</v>
      </c>
      <c r="J237" s="7">
        <f t="shared" si="12"/>
        <v>308000</v>
      </c>
      <c r="K237" s="8" t="s">
        <v>17</v>
      </c>
      <c r="L237" t="str">
        <f>IFERROR(VLOOKUP(F237,MÃ!$A:$B,2,0),0)</f>
        <v>NL300008</v>
      </c>
      <c r="M237" t="str">
        <f t="shared" si="13"/>
        <v>08/01/2026NL300008</v>
      </c>
      <c r="N237" s="15">
        <f>IFERROR(VLOOKUP(M237,'WS11'!$B$2:$Q$475,11,0),0)</f>
        <v>4</v>
      </c>
      <c r="O237" s="17">
        <f>IFERROR(VLOOKUP(M237,'WS11'!$B$2:$Q$475,12,0),0)</f>
        <v>40000</v>
      </c>
      <c r="P237" s="17">
        <f t="shared" si="14"/>
        <v>160000</v>
      </c>
      <c r="Q237" s="15">
        <f t="shared" si="15"/>
        <v>3.7</v>
      </c>
      <c r="R237" s="17">
        <f t="shared" si="15"/>
        <v>0</v>
      </c>
      <c r="S237" s="13" t="s">
        <v>543</v>
      </c>
    </row>
    <row r="238" spans="1:19" x14ac:dyDescent="0.25">
      <c r="A238" s="4" t="s">
        <v>154</v>
      </c>
      <c r="B238" s="5" t="s">
        <v>125</v>
      </c>
      <c r="C238" s="4" t="s">
        <v>117</v>
      </c>
      <c r="D238" s="5" t="s">
        <v>180</v>
      </c>
      <c r="E238" s="4" t="s">
        <v>126</v>
      </c>
      <c r="F238" s="4" t="s">
        <v>127</v>
      </c>
      <c r="G238" s="4" t="s">
        <v>16</v>
      </c>
      <c r="H238" s="6">
        <v>3.3</v>
      </c>
      <c r="I238" s="7">
        <v>52000</v>
      </c>
      <c r="J238" s="7">
        <f t="shared" si="12"/>
        <v>171600</v>
      </c>
      <c r="K238" s="8" t="s">
        <v>17</v>
      </c>
      <c r="L238" t="str">
        <f>IFERROR(VLOOKUP(F238,MÃ!$A:$B,2,0),0)</f>
        <v>NL300137</v>
      </c>
      <c r="M238" t="str">
        <f t="shared" si="13"/>
        <v>08/01/2026NL300137</v>
      </c>
      <c r="N238" s="15">
        <f>IFERROR(VLOOKUP(M238,'WS11'!$B$2:$Q$475,11,0),0)</f>
        <v>2</v>
      </c>
      <c r="O238" s="17">
        <f>IFERROR(VLOOKUP(M238,'WS11'!$B$2:$Q$475,12,0),0)</f>
        <v>52000</v>
      </c>
      <c r="P238" s="17">
        <f t="shared" si="14"/>
        <v>104000</v>
      </c>
      <c r="Q238" s="15">
        <f t="shared" si="15"/>
        <v>1.2999999999999998</v>
      </c>
      <c r="R238" s="17">
        <f t="shared" si="15"/>
        <v>0</v>
      </c>
      <c r="S238" s="13" t="s">
        <v>543</v>
      </c>
    </row>
    <row r="239" spans="1:19" x14ac:dyDescent="0.25">
      <c r="A239" s="4" t="s">
        <v>154</v>
      </c>
      <c r="B239" s="5" t="s">
        <v>125</v>
      </c>
      <c r="C239" s="4" t="s">
        <v>117</v>
      </c>
      <c r="D239" s="5" t="s">
        <v>180</v>
      </c>
      <c r="E239" s="4" t="s">
        <v>28</v>
      </c>
      <c r="F239" s="4" t="s">
        <v>29</v>
      </c>
      <c r="G239" s="4" t="s">
        <v>16</v>
      </c>
      <c r="H239" s="6">
        <v>2.6</v>
      </c>
      <c r="I239" s="7">
        <v>30000</v>
      </c>
      <c r="J239" s="7">
        <f t="shared" si="12"/>
        <v>78000</v>
      </c>
      <c r="K239" s="8" t="s">
        <v>17</v>
      </c>
      <c r="L239" t="str">
        <f>IFERROR(VLOOKUP(F239,MÃ!$A:$B,2,0),0)</f>
        <v>NL300020</v>
      </c>
      <c r="M239" t="str">
        <f t="shared" si="13"/>
        <v>08/01/2026NL300020</v>
      </c>
      <c r="N239" s="15">
        <f>IFERROR(VLOOKUP(M239,'WS11'!$B$2:$Q$475,11,0),0)</f>
        <v>0</v>
      </c>
      <c r="O239" s="17">
        <f>IFERROR(VLOOKUP(M239,'WS11'!$B$2:$Q$475,12,0),0)</f>
        <v>0</v>
      </c>
      <c r="P239" s="17">
        <f t="shared" si="14"/>
        <v>0</v>
      </c>
      <c r="Q239" s="15">
        <f t="shared" si="15"/>
        <v>2.6</v>
      </c>
      <c r="R239" s="17">
        <f t="shared" si="15"/>
        <v>30000</v>
      </c>
      <c r="S239" s="13" t="s">
        <v>540</v>
      </c>
    </row>
    <row r="240" spans="1:19" x14ac:dyDescent="0.25">
      <c r="A240" s="4" t="s">
        <v>154</v>
      </c>
      <c r="B240" s="5" t="s">
        <v>125</v>
      </c>
      <c r="C240" s="4" t="s">
        <v>117</v>
      </c>
      <c r="D240" s="5" t="s">
        <v>180</v>
      </c>
      <c r="E240" s="4" t="s">
        <v>61</v>
      </c>
      <c r="F240" s="4" t="s">
        <v>62</v>
      </c>
      <c r="G240" s="4" t="s">
        <v>16</v>
      </c>
      <c r="H240" s="6">
        <v>1</v>
      </c>
      <c r="I240" s="7">
        <v>22000</v>
      </c>
      <c r="J240" s="7">
        <f t="shared" si="12"/>
        <v>22000</v>
      </c>
      <c r="K240" s="8" t="s">
        <v>17</v>
      </c>
      <c r="L240" t="str">
        <f>IFERROR(VLOOKUP(F240,MÃ!$A:$B,2,0),0)</f>
        <v>NL300029</v>
      </c>
      <c r="M240" t="str">
        <f t="shared" si="13"/>
        <v>08/01/2026NL300029</v>
      </c>
      <c r="N240" s="15">
        <f>IFERROR(VLOOKUP(M240,'WS11'!$B$2:$Q$475,11,0),0)</f>
        <v>1</v>
      </c>
      <c r="O240" s="17">
        <f>IFERROR(VLOOKUP(M240,'WS11'!$B$2:$Q$475,12,0),0)</f>
        <v>22000</v>
      </c>
      <c r="P240" s="17">
        <f t="shared" si="14"/>
        <v>22000</v>
      </c>
      <c r="Q240" s="15">
        <f t="shared" si="15"/>
        <v>0</v>
      </c>
      <c r="R240" s="17">
        <f t="shared" si="15"/>
        <v>0</v>
      </c>
      <c r="S240" s="13"/>
    </row>
    <row r="241" spans="1:19" x14ac:dyDescent="0.25">
      <c r="A241" s="4" t="s">
        <v>154</v>
      </c>
      <c r="B241" s="5" t="s">
        <v>125</v>
      </c>
      <c r="C241" s="4" t="s">
        <v>117</v>
      </c>
      <c r="D241" s="5" t="s">
        <v>180</v>
      </c>
      <c r="E241" s="4" t="s">
        <v>30</v>
      </c>
      <c r="F241" s="4" t="s">
        <v>31</v>
      </c>
      <c r="G241" s="4" t="s">
        <v>16</v>
      </c>
      <c r="H241" s="6">
        <v>0.5</v>
      </c>
      <c r="I241" s="7">
        <v>38000</v>
      </c>
      <c r="J241" s="7">
        <f t="shared" si="12"/>
        <v>19000</v>
      </c>
      <c r="K241" s="8" t="s">
        <v>17</v>
      </c>
      <c r="L241" t="str">
        <f>IFERROR(VLOOKUP(F241,MÃ!$A:$B,2,0),0)</f>
        <v>NL300054</v>
      </c>
      <c r="M241" t="str">
        <f t="shared" si="13"/>
        <v>08/01/2026NL300054</v>
      </c>
      <c r="N241" s="15">
        <f>IFERROR(VLOOKUP(M241,'WS11'!$B$2:$Q$475,11,0),0)</f>
        <v>0.4</v>
      </c>
      <c r="O241" s="17">
        <f>IFERROR(VLOOKUP(M241,'WS11'!$B$2:$Q$475,12,0),0)</f>
        <v>38000</v>
      </c>
      <c r="P241" s="17">
        <f t="shared" si="14"/>
        <v>15200</v>
      </c>
      <c r="Q241" s="15">
        <f t="shared" si="15"/>
        <v>9.9999999999999978E-2</v>
      </c>
      <c r="R241" s="17">
        <f t="shared" si="15"/>
        <v>0</v>
      </c>
      <c r="S241" s="13" t="s">
        <v>543</v>
      </c>
    </row>
    <row r="242" spans="1:19" x14ac:dyDescent="0.25">
      <c r="A242" s="4" t="s">
        <v>154</v>
      </c>
      <c r="B242" s="5" t="s">
        <v>125</v>
      </c>
      <c r="C242" s="4" t="s">
        <v>117</v>
      </c>
      <c r="D242" s="5" t="s">
        <v>180</v>
      </c>
      <c r="E242" s="4" t="s">
        <v>32</v>
      </c>
      <c r="F242" s="4" t="s">
        <v>33</v>
      </c>
      <c r="G242" s="4" t="s">
        <v>16</v>
      </c>
      <c r="H242" s="6">
        <v>0.2</v>
      </c>
      <c r="I242" s="7">
        <v>25000</v>
      </c>
      <c r="J242" s="7">
        <f t="shared" si="12"/>
        <v>5000</v>
      </c>
      <c r="K242" s="8" t="s">
        <v>17</v>
      </c>
      <c r="L242" t="str">
        <f>IFERROR(VLOOKUP(F242,MÃ!$A:$B,2,0),0)</f>
        <v>NL300035</v>
      </c>
      <c r="M242" t="str">
        <f t="shared" si="13"/>
        <v>08/01/2026NL300035</v>
      </c>
      <c r="N242" s="15">
        <f>IFERROR(VLOOKUP(M242,'WS11'!$B$2:$Q$475,11,0),0)</f>
        <v>0.2</v>
      </c>
      <c r="O242" s="17">
        <f>IFERROR(VLOOKUP(M242,'WS11'!$B$2:$Q$475,12,0),0)</f>
        <v>25000</v>
      </c>
      <c r="P242" s="17">
        <f t="shared" si="14"/>
        <v>5000</v>
      </c>
      <c r="Q242" s="15">
        <f t="shared" si="15"/>
        <v>0</v>
      </c>
      <c r="R242" s="17">
        <f t="shared" si="15"/>
        <v>0</v>
      </c>
      <c r="S242" s="13"/>
    </row>
    <row r="243" spans="1:19" x14ac:dyDescent="0.25">
      <c r="A243" s="4" t="s">
        <v>154</v>
      </c>
      <c r="B243" s="5" t="s">
        <v>125</v>
      </c>
      <c r="C243" s="4" t="s">
        <v>117</v>
      </c>
      <c r="D243" s="5" t="s">
        <v>180</v>
      </c>
      <c r="E243" s="4" t="s">
        <v>95</v>
      </c>
      <c r="F243" s="4" t="s">
        <v>96</v>
      </c>
      <c r="G243" s="4" t="s">
        <v>16</v>
      </c>
      <c r="H243" s="6">
        <v>0.59</v>
      </c>
      <c r="I243" s="7">
        <v>47000</v>
      </c>
      <c r="J243" s="7">
        <f t="shared" si="12"/>
        <v>27730</v>
      </c>
      <c r="K243" s="8" t="s">
        <v>17</v>
      </c>
      <c r="L243" t="str">
        <f>IFERROR(VLOOKUP(F243,MÃ!$A:$B,2,0),0)</f>
        <v>NL300036</v>
      </c>
      <c r="M243" t="str">
        <f t="shared" si="13"/>
        <v>08/01/2026NL300036</v>
      </c>
      <c r="N243" s="15">
        <f>IFERROR(VLOOKUP(M243,'WS11'!$B$2:$Q$475,11,0),0)</f>
        <v>0.4</v>
      </c>
      <c r="O243" s="17">
        <f>IFERROR(VLOOKUP(M243,'WS11'!$B$2:$Q$475,12,0),0)</f>
        <v>47000</v>
      </c>
      <c r="P243" s="17">
        <f t="shared" si="14"/>
        <v>18800</v>
      </c>
      <c r="Q243" s="15">
        <f t="shared" si="15"/>
        <v>0.18999999999999995</v>
      </c>
      <c r="R243" s="17">
        <f t="shared" si="15"/>
        <v>0</v>
      </c>
      <c r="S243" s="13" t="s">
        <v>543</v>
      </c>
    </row>
    <row r="244" spans="1:19" x14ac:dyDescent="0.25">
      <c r="A244" s="4" t="s">
        <v>154</v>
      </c>
      <c r="B244" s="5" t="s">
        <v>125</v>
      </c>
      <c r="C244" s="4" t="s">
        <v>117</v>
      </c>
      <c r="D244" s="5" t="s">
        <v>180</v>
      </c>
      <c r="E244" s="4" t="s">
        <v>34</v>
      </c>
      <c r="F244" s="4" t="s">
        <v>35</v>
      </c>
      <c r="G244" s="4" t="s">
        <v>16</v>
      </c>
      <c r="H244" s="6">
        <v>3</v>
      </c>
      <c r="I244" s="7">
        <v>32000</v>
      </c>
      <c r="J244" s="7">
        <f t="shared" si="12"/>
        <v>96000</v>
      </c>
      <c r="K244" s="8" t="s">
        <v>17</v>
      </c>
      <c r="L244" t="str">
        <f>IFERROR(VLOOKUP(F244,MÃ!$A:$B,2,0),0)</f>
        <v>NL300038</v>
      </c>
      <c r="M244" t="str">
        <f t="shared" si="13"/>
        <v>08/01/2026NL300038</v>
      </c>
      <c r="N244" s="15">
        <f>IFERROR(VLOOKUP(M244,'WS11'!$B$2:$Q$475,11,0),0)</f>
        <v>2</v>
      </c>
      <c r="O244" s="17">
        <f>IFERROR(VLOOKUP(M244,'WS11'!$B$2:$Q$475,12,0),0)</f>
        <v>32000</v>
      </c>
      <c r="P244" s="17">
        <f t="shared" si="14"/>
        <v>64000</v>
      </c>
      <c r="Q244" s="15">
        <f t="shared" si="15"/>
        <v>1</v>
      </c>
      <c r="R244" s="17">
        <f t="shared" si="15"/>
        <v>0</v>
      </c>
      <c r="S244" s="13" t="s">
        <v>543</v>
      </c>
    </row>
    <row r="245" spans="1:19" x14ac:dyDescent="0.25">
      <c r="A245" s="4" t="s">
        <v>154</v>
      </c>
      <c r="B245" s="5" t="s">
        <v>125</v>
      </c>
      <c r="C245" s="4" t="s">
        <v>117</v>
      </c>
      <c r="D245" s="5" t="s">
        <v>180</v>
      </c>
      <c r="E245" s="4" t="s">
        <v>36</v>
      </c>
      <c r="F245" s="4" t="s">
        <v>37</v>
      </c>
      <c r="G245" s="4" t="s">
        <v>16</v>
      </c>
      <c r="H245" s="6">
        <v>12.3</v>
      </c>
      <c r="I245" s="7">
        <v>18000</v>
      </c>
      <c r="J245" s="7">
        <f t="shared" si="12"/>
        <v>221400</v>
      </c>
      <c r="K245" s="8" t="s">
        <v>17</v>
      </c>
      <c r="L245" t="str">
        <f>IFERROR(VLOOKUP(F245,MÃ!$A:$B,2,0),0)</f>
        <v>NL600004</v>
      </c>
      <c r="M245" t="str">
        <f t="shared" si="13"/>
        <v>08/01/2026NL600004</v>
      </c>
      <c r="N245" s="15">
        <f>IFERROR(VLOOKUP(M245,'WS11'!$B$2:$Q$475,11,0),0)</f>
        <v>12.3</v>
      </c>
      <c r="O245" s="17">
        <f>IFERROR(VLOOKUP(M245,'WS11'!$B$2:$Q$475,12,0),0)</f>
        <v>18000</v>
      </c>
      <c r="P245" s="17">
        <f t="shared" si="14"/>
        <v>221400</v>
      </c>
      <c r="Q245" s="15">
        <f t="shared" si="15"/>
        <v>0</v>
      </c>
      <c r="R245" s="17">
        <f t="shared" si="15"/>
        <v>0</v>
      </c>
      <c r="S245" s="13"/>
    </row>
    <row r="246" spans="1:19" x14ac:dyDescent="0.25">
      <c r="A246" s="4" t="s">
        <v>154</v>
      </c>
      <c r="B246" s="5" t="s">
        <v>125</v>
      </c>
      <c r="C246" s="4" t="s">
        <v>117</v>
      </c>
      <c r="D246" s="5" t="s">
        <v>180</v>
      </c>
      <c r="E246" s="4" t="s">
        <v>38</v>
      </c>
      <c r="F246" s="4" t="s">
        <v>39</v>
      </c>
      <c r="G246" s="4" t="s">
        <v>16</v>
      </c>
      <c r="H246" s="6">
        <v>2</v>
      </c>
      <c r="I246" s="7">
        <v>55000</v>
      </c>
      <c r="J246" s="7">
        <f t="shared" si="12"/>
        <v>110000</v>
      </c>
      <c r="K246" s="8" t="s">
        <v>17</v>
      </c>
      <c r="L246" t="str">
        <f>IFERROR(VLOOKUP(F246,MÃ!$A:$B,2,0),0)</f>
        <v>NL300058</v>
      </c>
      <c r="M246" t="str">
        <f t="shared" si="13"/>
        <v>08/01/2026NL300058</v>
      </c>
      <c r="N246" s="15">
        <f>IFERROR(VLOOKUP(M246,'WS11'!$B$2:$Q$475,11,0),0)</f>
        <v>1.5</v>
      </c>
      <c r="O246" s="17">
        <f>IFERROR(VLOOKUP(M246,'WS11'!$B$2:$Q$475,12,0),0)</f>
        <v>55000</v>
      </c>
      <c r="P246" s="17">
        <f t="shared" si="14"/>
        <v>82500</v>
      </c>
      <c r="Q246" s="15">
        <f t="shared" si="15"/>
        <v>0.5</v>
      </c>
      <c r="R246" s="17">
        <f t="shared" si="15"/>
        <v>0</v>
      </c>
      <c r="S246" s="13" t="s">
        <v>543</v>
      </c>
    </row>
    <row r="247" spans="1:19" x14ac:dyDescent="0.25">
      <c r="A247" s="4" t="s">
        <v>154</v>
      </c>
      <c r="B247" s="5" t="s">
        <v>125</v>
      </c>
      <c r="C247" s="4" t="s">
        <v>117</v>
      </c>
      <c r="D247" s="5" t="s">
        <v>180</v>
      </c>
      <c r="E247" s="4" t="s">
        <v>113</v>
      </c>
      <c r="F247" s="4" t="s">
        <v>114</v>
      </c>
      <c r="G247" s="4" t="s">
        <v>16</v>
      </c>
      <c r="H247" s="6">
        <v>0.4</v>
      </c>
      <c r="I247" s="7">
        <v>13000</v>
      </c>
      <c r="J247" s="7">
        <f t="shared" si="12"/>
        <v>5200</v>
      </c>
      <c r="K247" s="8" t="s">
        <v>17</v>
      </c>
      <c r="L247" t="str">
        <f>IFERROR(VLOOKUP(F247,MÃ!$A:$B,2,0),0)</f>
        <v>NL300059</v>
      </c>
      <c r="M247" t="str">
        <f t="shared" si="13"/>
        <v>08/01/2026NL300059</v>
      </c>
      <c r="N247" s="15">
        <f>IFERROR(VLOOKUP(M247,'WS11'!$B$2:$Q$475,11,0),0)</f>
        <v>0.3</v>
      </c>
      <c r="O247" s="17">
        <f>IFERROR(VLOOKUP(M247,'WS11'!$B$2:$Q$475,12,0),0)</f>
        <v>13000</v>
      </c>
      <c r="P247" s="17">
        <f t="shared" si="14"/>
        <v>3900</v>
      </c>
      <c r="Q247" s="15">
        <f t="shared" si="15"/>
        <v>0.10000000000000003</v>
      </c>
      <c r="R247" s="17">
        <f t="shared" si="15"/>
        <v>0</v>
      </c>
      <c r="S247" s="13" t="s">
        <v>543</v>
      </c>
    </row>
    <row r="248" spans="1:19" x14ac:dyDescent="0.25">
      <c r="A248" s="4" t="s">
        <v>154</v>
      </c>
      <c r="B248" s="5" t="s">
        <v>125</v>
      </c>
      <c r="C248" s="4" t="s">
        <v>117</v>
      </c>
      <c r="D248" s="5" t="s">
        <v>180</v>
      </c>
      <c r="E248" s="4" t="s">
        <v>40</v>
      </c>
      <c r="F248" s="4" t="s">
        <v>41</v>
      </c>
      <c r="G248" s="4" t="s">
        <v>16</v>
      </c>
      <c r="H248" s="6">
        <v>0.2</v>
      </c>
      <c r="I248" s="7">
        <v>80000</v>
      </c>
      <c r="J248" s="7">
        <f t="shared" si="12"/>
        <v>16000</v>
      </c>
      <c r="K248" s="8" t="s">
        <v>17</v>
      </c>
      <c r="L248" t="str">
        <f>IFERROR(VLOOKUP(F248,MÃ!$A:$B,2,0),0)</f>
        <v>NL300055</v>
      </c>
      <c r="M248" t="str">
        <f t="shared" si="13"/>
        <v>08/01/2026NL300055</v>
      </c>
      <c r="N248" s="15">
        <f>IFERROR(VLOOKUP(M248,'WS11'!$B$2:$Q$475,11,0),0)</f>
        <v>0.2</v>
      </c>
      <c r="O248" s="17">
        <f>IFERROR(VLOOKUP(M248,'WS11'!$B$2:$Q$475,12,0),0)</f>
        <v>80000</v>
      </c>
      <c r="P248" s="17">
        <f t="shared" si="14"/>
        <v>16000</v>
      </c>
      <c r="Q248" s="15">
        <f t="shared" si="15"/>
        <v>0</v>
      </c>
      <c r="R248" s="17">
        <f t="shared" si="15"/>
        <v>0</v>
      </c>
      <c r="S248" s="13"/>
    </row>
    <row r="249" spans="1:19" x14ac:dyDescent="0.25">
      <c r="A249" s="4" t="s">
        <v>154</v>
      </c>
      <c r="B249" s="5" t="s">
        <v>125</v>
      </c>
      <c r="C249" s="4" t="s">
        <v>117</v>
      </c>
      <c r="D249" s="5" t="s">
        <v>180</v>
      </c>
      <c r="E249" s="4" t="s">
        <v>63</v>
      </c>
      <c r="F249" s="4" t="s">
        <v>64</v>
      </c>
      <c r="G249" s="4" t="s">
        <v>16</v>
      </c>
      <c r="H249" s="6">
        <v>0.2</v>
      </c>
      <c r="I249" s="7">
        <v>65000</v>
      </c>
      <c r="J249" s="7">
        <f t="shared" si="12"/>
        <v>13000</v>
      </c>
      <c r="K249" s="8" t="s">
        <v>17</v>
      </c>
      <c r="L249" t="str">
        <f>IFERROR(VLOOKUP(F249,MÃ!$A:$B,2,0),0)</f>
        <v>NL300062</v>
      </c>
      <c r="M249" t="str">
        <f t="shared" si="13"/>
        <v>08/01/2026NL300062</v>
      </c>
      <c r="N249" s="15">
        <f>IFERROR(VLOOKUP(M249,'WS11'!$B$2:$Q$475,11,0),0)</f>
        <v>0.2</v>
      </c>
      <c r="O249" s="17">
        <f>IFERROR(VLOOKUP(M249,'WS11'!$B$2:$Q$475,12,0),0)</f>
        <v>65000</v>
      </c>
      <c r="P249" s="17">
        <f t="shared" si="14"/>
        <v>13000</v>
      </c>
      <c r="Q249" s="15">
        <f t="shared" si="15"/>
        <v>0</v>
      </c>
      <c r="R249" s="17">
        <f t="shared" si="15"/>
        <v>0</v>
      </c>
      <c r="S249" s="13"/>
    </row>
    <row r="250" spans="1:19" x14ac:dyDescent="0.25">
      <c r="A250" s="4" t="s">
        <v>154</v>
      </c>
      <c r="B250" s="5" t="s">
        <v>125</v>
      </c>
      <c r="C250" s="4" t="s">
        <v>117</v>
      </c>
      <c r="D250" s="5" t="s">
        <v>180</v>
      </c>
      <c r="E250" s="4" t="s">
        <v>67</v>
      </c>
      <c r="F250" s="4" t="s">
        <v>68</v>
      </c>
      <c r="G250" s="4" t="s">
        <v>16</v>
      </c>
      <c r="H250" s="6">
        <v>0.9</v>
      </c>
      <c r="I250" s="7">
        <v>18000</v>
      </c>
      <c r="J250" s="7">
        <f t="shared" si="12"/>
        <v>16200</v>
      </c>
      <c r="K250" s="8" t="s">
        <v>17</v>
      </c>
      <c r="L250" t="str">
        <f>IFERROR(VLOOKUP(F250,MÃ!$A:$B,2,0),0)</f>
        <v>NL300184</v>
      </c>
      <c r="M250" t="str">
        <f t="shared" si="13"/>
        <v>08/01/2026NL300184</v>
      </c>
      <c r="N250" s="15">
        <f>IFERROR(VLOOKUP(M250,'WS11'!$B$2:$Q$475,11,0),0)</f>
        <v>0.9</v>
      </c>
      <c r="O250" s="17">
        <f>IFERROR(VLOOKUP(M250,'WS11'!$B$2:$Q$475,12,0),0)</f>
        <v>18000</v>
      </c>
      <c r="P250" s="17">
        <f t="shared" si="14"/>
        <v>16200</v>
      </c>
      <c r="Q250" s="15">
        <f t="shared" si="15"/>
        <v>0</v>
      </c>
      <c r="R250" s="17">
        <f t="shared" si="15"/>
        <v>0</v>
      </c>
      <c r="S250" s="13"/>
    </row>
    <row r="251" spans="1:19" x14ac:dyDescent="0.25">
      <c r="A251" s="4" t="s">
        <v>154</v>
      </c>
      <c r="B251" s="5" t="s">
        <v>125</v>
      </c>
      <c r="C251" s="4" t="s">
        <v>117</v>
      </c>
      <c r="D251" s="5" t="s">
        <v>180</v>
      </c>
      <c r="E251" s="4" t="s">
        <v>14</v>
      </c>
      <c r="F251" s="4" t="s">
        <v>15</v>
      </c>
      <c r="G251" s="4" t="s">
        <v>16</v>
      </c>
      <c r="H251" s="6">
        <v>2.5</v>
      </c>
      <c r="I251" s="7">
        <v>27000</v>
      </c>
      <c r="J251" s="7">
        <f t="shared" si="12"/>
        <v>67500</v>
      </c>
      <c r="K251" s="8" t="s">
        <v>17</v>
      </c>
      <c r="L251" t="str">
        <f>IFERROR(VLOOKUP(F251,MÃ!$A:$B,2,0),0)</f>
        <v>NL300088</v>
      </c>
      <c r="M251" t="str">
        <f t="shared" si="13"/>
        <v>08/01/2026NL300088</v>
      </c>
      <c r="N251" s="15">
        <f>IFERROR(VLOOKUP(M251,'WS11'!$B$2:$Q$475,11,0),0)</f>
        <v>2</v>
      </c>
      <c r="O251" s="17">
        <f>IFERROR(VLOOKUP(M251,'WS11'!$B$2:$Q$475,12,0),0)</f>
        <v>27000</v>
      </c>
      <c r="P251" s="17">
        <f t="shared" si="14"/>
        <v>54000</v>
      </c>
      <c r="Q251" s="15">
        <f t="shared" si="15"/>
        <v>0.5</v>
      </c>
      <c r="R251" s="17">
        <f t="shared" si="15"/>
        <v>0</v>
      </c>
      <c r="S251" s="13" t="s">
        <v>543</v>
      </c>
    </row>
    <row r="252" spans="1:19" x14ac:dyDescent="0.25">
      <c r="A252" s="4" t="s">
        <v>154</v>
      </c>
      <c r="B252" s="5" t="s">
        <v>125</v>
      </c>
      <c r="C252" s="4" t="s">
        <v>117</v>
      </c>
      <c r="D252" s="5" t="s">
        <v>180</v>
      </c>
      <c r="E252" s="4" t="s">
        <v>71</v>
      </c>
      <c r="F252" s="4" t="s">
        <v>72</v>
      </c>
      <c r="G252" s="4" t="s">
        <v>16</v>
      </c>
      <c r="H252" s="6">
        <v>1</v>
      </c>
      <c r="I252" s="7">
        <v>47000</v>
      </c>
      <c r="J252" s="7">
        <f t="shared" si="12"/>
        <v>47000</v>
      </c>
      <c r="K252" s="8" t="s">
        <v>17</v>
      </c>
      <c r="L252" t="str">
        <f>IFERROR(VLOOKUP(F252,MÃ!$A:$B,2,0),0)</f>
        <v>NL300091</v>
      </c>
      <c r="M252" t="str">
        <f t="shared" si="13"/>
        <v>08/01/2026NL300091</v>
      </c>
      <c r="N252" s="15">
        <f>IFERROR(VLOOKUP(M252,'WS11'!$B$2:$Q$475,11,0),0)</f>
        <v>0.9</v>
      </c>
      <c r="O252" s="17">
        <f>IFERROR(VLOOKUP(M252,'WS11'!$B$2:$Q$475,12,0),0)</f>
        <v>47000</v>
      </c>
      <c r="P252" s="17">
        <f t="shared" si="14"/>
        <v>42300</v>
      </c>
      <c r="Q252" s="15">
        <f t="shared" si="15"/>
        <v>9.9999999999999978E-2</v>
      </c>
      <c r="R252" s="17">
        <f t="shared" si="15"/>
        <v>0</v>
      </c>
      <c r="S252" s="13" t="s">
        <v>543</v>
      </c>
    </row>
    <row r="253" spans="1:19" x14ac:dyDescent="0.25">
      <c r="A253" s="4" t="s">
        <v>154</v>
      </c>
      <c r="B253" s="5" t="s">
        <v>125</v>
      </c>
      <c r="C253" s="4" t="s">
        <v>117</v>
      </c>
      <c r="D253" s="5" t="s">
        <v>180</v>
      </c>
      <c r="E253" s="4" t="s">
        <v>73</v>
      </c>
      <c r="F253" s="4" t="s">
        <v>74</v>
      </c>
      <c r="G253" s="4" t="s">
        <v>16</v>
      </c>
      <c r="H253" s="6">
        <v>1.6</v>
      </c>
      <c r="I253" s="7">
        <v>90000</v>
      </c>
      <c r="J253" s="7">
        <f t="shared" si="12"/>
        <v>144000</v>
      </c>
      <c r="K253" s="8" t="s">
        <v>17</v>
      </c>
      <c r="L253" t="str">
        <f>IFERROR(VLOOKUP(F253,MÃ!$A:$B,2,0),0)</f>
        <v>NL300092</v>
      </c>
      <c r="M253" t="str">
        <f t="shared" si="13"/>
        <v>08/01/2026NL300092</v>
      </c>
      <c r="N253" s="15">
        <f>IFERROR(VLOOKUP(M253,'WS11'!$B$2:$Q$475,11,0),0)</f>
        <v>1.3</v>
      </c>
      <c r="O253" s="17">
        <f>IFERROR(VLOOKUP(M253,'WS11'!$B$2:$Q$475,12,0),0)</f>
        <v>90000</v>
      </c>
      <c r="P253" s="17">
        <f t="shared" si="14"/>
        <v>117000</v>
      </c>
      <c r="Q253" s="15">
        <f t="shared" si="15"/>
        <v>0.30000000000000004</v>
      </c>
      <c r="R253" s="17">
        <f t="shared" si="15"/>
        <v>0</v>
      </c>
      <c r="S253" s="13" t="s">
        <v>543</v>
      </c>
    </row>
    <row r="254" spans="1:19" x14ac:dyDescent="0.25">
      <c r="A254" s="4" t="s">
        <v>154</v>
      </c>
      <c r="B254" s="5" t="s">
        <v>125</v>
      </c>
      <c r="C254" s="4" t="s">
        <v>117</v>
      </c>
      <c r="D254" s="5" t="s">
        <v>180</v>
      </c>
      <c r="E254" s="4" t="s">
        <v>100</v>
      </c>
      <c r="F254" s="4" t="s">
        <v>101</v>
      </c>
      <c r="G254" s="4" t="s">
        <v>16</v>
      </c>
      <c r="H254" s="6">
        <v>0.5</v>
      </c>
      <c r="I254" s="7">
        <v>80000</v>
      </c>
      <c r="J254" s="7">
        <f t="shared" si="12"/>
        <v>40000</v>
      </c>
      <c r="K254" s="8" t="s">
        <v>17</v>
      </c>
      <c r="L254" t="str">
        <f>IFERROR(VLOOKUP(F254,MÃ!$A:$B,2,0),0)</f>
        <v>NL300094</v>
      </c>
      <c r="M254" t="str">
        <f t="shared" si="13"/>
        <v>08/01/2026NL300094</v>
      </c>
      <c r="N254" s="15">
        <f>IFERROR(VLOOKUP(M254,'WS11'!$B$2:$Q$475,11,0),0)</f>
        <v>0.4</v>
      </c>
      <c r="O254" s="17">
        <f>IFERROR(VLOOKUP(M254,'WS11'!$B$2:$Q$475,12,0),0)</f>
        <v>80000</v>
      </c>
      <c r="P254" s="17">
        <f t="shared" si="14"/>
        <v>32000</v>
      </c>
      <c r="Q254" s="15">
        <f t="shared" si="15"/>
        <v>9.9999999999999978E-2</v>
      </c>
      <c r="R254" s="17">
        <f t="shared" si="15"/>
        <v>0</v>
      </c>
      <c r="S254" s="13" t="s">
        <v>543</v>
      </c>
    </row>
    <row r="255" spans="1:19" x14ac:dyDescent="0.25">
      <c r="A255" s="4" t="s">
        <v>154</v>
      </c>
      <c r="B255" s="5" t="s">
        <v>125</v>
      </c>
      <c r="C255" s="4" t="s">
        <v>117</v>
      </c>
      <c r="D255" s="5" t="s">
        <v>180</v>
      </c>
      <c r="E255" s="4" t="s">
        <v>44</v>
      </c>
      <c r="F255" s="4" t="s">
        <v>45</v>
      </c>
      <c r="G255" s="4" t="s">
        <v>16</v>
      </c>
      <c r="H255" s="6">
        <v>5</v>
      </c>
      <c r="I255" s="7">
        <v>45000</v>
      </c>
      <c r="J255" s="7">
        <f t="shared" si="12"/>
        <v>225000</v>
      </c>
      <c r="K255" s="8" t="s">
        <v>17</v>
      </c>
      <c r="L255" t="str">
        <f>IFERROR(VLOOKUP(F255,MÃ!$A:$B,2,0),0)</f>
        <v>NL300096</v>
      </c>
      <c r="M255" t="str">
        <f t="shared" si="13"/>
        <v>08/01/2026NL300096</v>
      </c>
      <c r="N255" s="15">
        <f>IFERROR(VLOOKUP(M255,'WS11'!$B$2:$Q$475,11,0),0)</f>
        <v>4.5</v>
      </c>
      <c r="O255" s="17">
        <f>IFERROR(VLOOKUP(M255,'WS11'!$B$2:$Q$475,12,0),0)</f>
        <v>45000</v>
      </c>
      <c r="P255" s="17">
        <f t="shared" si="14"/>
        <v>202500</v>
      </c>
      <c r="Q255" s="15">
        <f t="shared" si="15"/>
        <v>0.5</v>
      </c>
      <c r="R255" s="17">
        <f t="shared" si="15"/>
        <v>0</v>
      </c>
      <c r="S255" s="13" t="s">
        <v>543</v>
      </c>
    </row>
    <row r="256" spans="1:19" x14ac:dyDescent="0.25">
      <c r="A256" s="4" t="s">
        <v>154</v>
      </c>
      <c r="B256" s="5" t="s">
        <v>125</v>
      </c>
      <c r="C256" s="4" t="s">
        <v>117</v>
      </c>
      <c r="D256" s="5" t="s">
        <v>180</v>
      </c>
      <c r="E256" s="4" t="s">
        <v>75</v>
      </c>
      <c r="F256" s="4" t="s">
        <v>76</v>
      </c>
      <c r="G256" s="4" t="s">
        <v>16</v>
      </c>
      <c r="H256" s="6">
        <v>1</v>
      </c>
      <c r="I256" s="7">
        <v>90000</v>
      </c>
      <c r="J256" s="7">
        <f t="shared" si="12"/>
        <v>90000</v>
      </c>
      <c r="K256" s="8" t="s">
        <v>17</v>
      </c>
      <c r="L256" t="str">
        <f>IFERROR(VLOOKUP(F256,MÃ!$A:$B,2,0),0)</f>
        <v>NL300097</v>
      </c>
      <c r="M256" t="str">
        <f t="shared" si="13"/>
        <v>08/01/2026NL300097</v>
      </c>
      <c r="N256" s="15">
        <f>IFERROR(VLOOKUP(M256,'WS11'!$B$2:$Q$475,11,0),0)</f>
        <v>0.7</v>
      </c>
      <c r="O256" s="17">
        <f>IFERROR(VLOOKUP(M256,'WS11'!$B$2:$Q$475,12,0),0)</f>
        <v>90000</v>
      </c>
      <c r="P256" s="17">
        <f t="shared" si="14"/>
        <v>62999.999999999993</v>
      </c>
      <c r="Q256" s="15">
        <f t="shared" si="15"/>
        <v>0.30000000000000004</v>
      </c>
      <c r="R256" s="17">
        <f t="shared" si="15"/>
        <v>0</v>
      </c>
      <c r="S256" s="13" t="s">
        <v>543</v>
      </c>
    </row>
    <row r="257" spans="1:19" x14ac:dyDescent="0.25">
      <c r="A257" s="4" t="s">
        <v>154</v>
      </c>
      <c r="B257" s="5" t="s">
        <v>125</v>
      </c>
      <c r="C257" s="4" t="s">
        <v>117</v>
      </c>
      <c r="D257" s="5" t="s">
        <v>180</v>
      </c>
      <c r="E257" s="4" t="s">
        <v>77</v>
      </c>
      <c r="F257" s="4" t="s">
        <v>78</v>
      </c>
      <c r="G257" s="4" t="s">
        <v>16</v>
      </c>
      <c r="H257" s="6">
        <v>2</v>
      </c>
      <c r="I257" s="7">
        <v>45000</v>
      </c>
      <c r="J257" s="7">
        <f t="shared" si="12"/>
        <v>90000</v>
      </c>
      <c r="K257" s="8" t="s">
        <v>17</v>
      </c>
      <c r="L257" t="str">
        <f>IFERROR(VLOOKUP(F257,MÃ!$A:$B,2,0),0)</f>
        <v>NL300085</v>
      </c>
      <c r="M257" t="str">
        <f t="shared" si="13"/>
        <v>08/01/2026NL300085</v>
      </c>
      <c r="N257" s="15">
        <f>IFERROR(VLOOKUP(M257,'WS11'!$B$2:$Q$475,11,0),0)</f>
        <v>1.5</v>
      </c>
      <c r="O257" s="17">
        <f>IFERROR(VLOOKUP(M257,'WS11'!$B$2:$Q$475,12,0),0)</f>
        <v>45000</v>
      </c>
      <c r="P257" s="17">
        <f t="shared" si="14"/>
        <v>67500</v>
      </c>
      <c r="Q257" s="15">
        <f t="shared" si="15"/>
        <v>0.5</v>
      </c>
      <c r="R257" s="17">
        <f t="shared" si="15"/>
        <v>0</v>
      </c>
      <c r="S257" s="13" t="s">
        <v>543</v>
      </c>
    </row>
    <row r="258" spans="1:19" x14ac:dyDescent="0.25">
      <c r="A258" s="4" t="s">
        <v>154</v>
      </c>
      <c r="B258" s="5" t="s">
        <v>125</v>
      </c>
      <c r="C258" s="4" t="s">
        <v>117</v>
      </c>
      <c r="D258" s="5" t="s">
        <v>180</v>
      </c>
      <c r="E258" s="4" t="s">
        <v>102</v>
      </c>
      <c r="F258" s="4" t="s">
        <v>103</v>
      </c>
      <c r="G258" s="4" t="s">
        <v>16</v>
      </c>
      <c r="H258" s="6">
        <v>0.5</v>
      </c>
      <c r="I258" s="7">
        <v>145000</v>
      </c>
      <c r="J258" s="7">
        <f t="shared" si="12"/>
        <v>72500</v>
      </c>
      <c r="K258" s="8" t="s">
        <v>17</v>
      </c>
      <c r="L258" t="str">
        <f>IFERROR(VLOOKUP(F258,MÃ!$A:$B,2,0),0)</f>
        <v>NL300113</v>
      </c>
      <c r="M258" t="str">
        <f t="shared" si="13"/>
        <v>08/01/2026NL300113</v>
      </c>
      <c r="N258" s="15">
        <f>IFERROR(VLOOKUP(M258,'WS11'!$B$2:$Q$475,11,0),0)</f>
        <v>0.4</v>
      </c>
      <c r="O258" s="17">
        <f>IFERROR(VLOOKUP(M258,'WS11'!$B$2:$Q$475,12,0),0)</f>
        <v>145000</v>
      </c>
      <c r="P258" s="17">
        <f t="shared" si="14"/>
        <v>58000</v>
      </c>
      <c r="Q258" s="15">
        <f t="shared" si="15"/>
        <v>9.9999999999999978E-2</v>
      </c>
      <c r="R258" s="17">
        <f t="shared" si="15"/>
        <v>0</v>
      </c>
      <c r="S258" s="13" t="s">
        <v>543</v>
      </c>
    </row>
    <row r="259" spans="1:19" x14ac:dyDescent="0.25">
      <c r="A259" s="4" t="s">
        <v>154</v>
      </c>
      <c r="B259" s="5" t="s">
        <v>125</v>
      </c>
      <c r="C259" s="4" t="s">
        <v>117</v>
      </c>
      <c r="D259" s="5" t="s">
        <v>180</v>
      </c>
      <c r="E259" s="4" t="s">
        <v>128</v>
      </c>
      <c r="F259" s="4" t="s">
        <v>129</v>
      </c>
      <c r="G259" s="4" t="s">
        <v>16</v>
      </c>
      <c r="H259" s="6">
        <v>0.1</v>
      </c>
      <c r="I259" s="7">
        <v>185000</v>
      </c>
      <c r="J259" s="7">
        <f t="shared" si="12"/>
        <v>18500</v>
      </c>
      <c r="K259" s="8" t="s">
        <v>17</v>
      </c>
      <c r="L259" t="str">
        <f>IFERROR(VLOOKUP(F259,MÃ!$A:$B,2,0),0)</f>
        <v>NL300111</v>
      </c>
      <c r="M259" t="str">
        <f t="shared" si="13"/>
        <v>08/01/2026NL300111</v>
      </c>
      <c r="N259" s="15">
        <f>IFERROR(VLOOKUP(M259,'WS11'!$B$2:$Q$475,11,0),0)</f>
        <v>0.1</v>
      </c>
      <c r="O259" s="17">
        <f>IFERROR(VLOOKUP(M259,'WS11'!$B$2:$Q$475,12,0),0)</f>
        <v>185000</v>
      </c>
      <c r="P259" s="17">
        <f t="shared" si="14"/>
        <v>18500</v>
      </c>
      <c r="Q259" s="15">
        <f t="shared" si="15"/>
        <v>0</v>
      </c>
      <c r="R259" s="17">
        <f t="shared" si="15"/>
        <v>0</v>
      </c>
      <c r="S259" s="13"/>
    </row>
    <row r="260" spans="1:19" x14ac:dyDescent="0.25">
      <c r="A260" s="4" t="s">
        <v>154</v>
      </c>
      <c r="B260" s="5" t="s">
        <v>125</v>
      </c>
      <c r="C260" s="4" t="s">
        <v>117</v>
      </c>
      <c r="D260" s="5" t="s">
        <v>180</v>
      </c>
      <c r="E260" s="4" t="s">
        <v>48</v>
      </c>
      <c r="F260" s="4" t="s">
        <v>49</v>
      </c>
      <c r="G260" s="4" t="s">
        <v>16</v>
      </c>
      <c r="H260" s="6">
        <v>0.5</v>
      </c>
      <c r="I260" s="7">
        <v>42000</v>
      </c>
      <c r="J260" s="7">
        <f t="shared" si="12"/>
        <v>21000</v>
      </c>
      <c r="K260" s="8" t="s">
        <v>17</v>
      </c>
      <c r="L260" t="str">
        <f>IFERROR(VLOOKUP(F260,MÃ!$A:$B,2,0),0)</f>
        <v>NL300125</v>
      </c>
      <c r="M260" t="str">
        <f t="shared" si="13"/>
        <v>08/01/2026NL300125</v>
      </c>
      <c r="N260" s="15">
        <f>IFERROR(VLOOKUP(M260,'WS11'!$B$2:$Q$475,11,0),0)</f>
        <v>0.5</v>
      </c>
      <c r="O260" s="17">
        <f>IFERROR(VLOOKUP(M260,'WS11'!$B$2:$Q$475,12,0),0)</f>
        <v>42000</v>
      </c>
      <c r="P260" s="17">
        <f t="shared" si="14"/>
        <v>21000</v>
      </c>
      <c r="Q260" s="15">
        <f t="shared" si="15"/>
        <v>0</v>
      </c>
      <c r="R260" s="17">
        <f t="shared" si="15"/>
        <v>0</v>
      </c>
      <c r="S260" s="13"/>
    </row>
    <row r="261" spans="1:19" x14ac:dyDescent="0.25">
      <c r="A261" s="4" t="s">
        <v>154</v>
      </c>
      <c r="B261" s="5" t="s">
        <v>125</v>
      </c>
      <c r="C261" s="4" t="s">
        <v>117</v>
      </c>
      <c r="D261" s="5" t="s">
        <v>180</v>
      </c>
      <c r="E261" s="4" t="s">
        <v>50</v>
      </c>
      <c r="F261" s="4" t="s">
        <v>51</v>
      </c>
      <c r="G261" s="4" t="s">
        <v>16</v>
      </c>
      <c r="H261" s="6">
        <v>0.2</v>
      </c>
      <c r="I261" s="7">
        <v>22000</v>
      </c>
      <c r="J261" s="7">
        <f t="shared" si="12"/>
        <v>4400</v>
      </c>
      <c r="K261" s="8" t="s">
        <v>17</v>
      </c>
      <c r="L261" t="str">
        <f>IFERROR(VLOOKUP(F261,MÃ!$A:$B,2,0),0)</f>
        <v>NL300121</v>
      </c>
      <c r="M261" t="str">
        <f t="shared" si="13"/>
        <v>08/01/2026NL300121</v>
      </c>
      <c r="N261" s="15">
        <f>IFERROR(VLOOKUP(M261,'WS11'!$B$2:$Q$475,11,0),0)</f>
        <v>0.2</v>
      </c>
      <c r="O261" s="17">
        <f>IFERROR(VLOOKUP(M261,'WS11'!$B$2:$Q$475,12,0),0)</f>
        <v>22000</v>
      </c>
      <c r="P261" s="17">
        <f t="shared" si="14"/>
        <v>4400</v>
      </c>
      <c r="Q261" s="15">
        <f t="shared" si="15"/>
        <v>0</v>
      </c>
      <c r="R261" s="17">
        <f t="shared" si="15"/>
        <v>0</v>
      </c>
      <c r="S261" s="13"/>
    </row>
    <row r="262" spans="1:19" x14ac:dyDescent="0.25">
      <c r="A262" s="4" t="s">
        <v>154</v>
      </c>
      <c r="B262" s="5" t="s">
        <v>125</v>
      </c>
      <c r="C262" s="4" t="s">
        <v>117</v>
      </c>
      <c r="D262" s="5" t="s">
        <v>180</v>
      </c>
      <c r="E262" s="4" t="s">
        <v>52</v>
      </c>
      <c r="F262" s="4" t="s">
        <v>53</v>
      </c>
      <c r="G262" s="4" t="s">
        <v>16</v>
      </c>
      <c r="H262" s="6">
        <v>1</v>
      </c>
      <c r="I262" s="7">
        <v>21000</v>
      </c>
      <c r="J262" s="7">
        <f t="shared" si="12"/>
        <v>21000</v>
      </c>
      <c r="K262" s="8" t="s">
        <v>17</v>
      </c>
      <c r="L262" t="str">
        <f>IFERROR(VLOOKUP(F262,MÃ!$A:$B,2,0),0)</f>
        <v>NL300119</v>
      </c>
      <c r="M262" t="str">
        <f t="shared" si="13"/>
        <v>08/01/2026NL300119</v>
      </c>
      <c r="N262" s="15">
        <f>IFERROR(VLOOKUP(M262,'WS11'!$B$2:$Q$475,11,0),0)</f>
        <v>0.5</v>
      </c>
      <c r="O262" s="17">
        <f>IFERROR(VLOOKUP(M262,'WS11'!$B$2:$Q$475,12,0),0)</f>
        <v>21000</v>
      </c>
      <c r="P262" s="17">
        <f t="shared" si="14"/>
        <v>10500</v>
      </c>
      <c r="Q262" s="15">
        <f t="shared" si="15"/>
        <v>0.5</v>
      </c>
      <c r="R262" s="17">
        <f t="shared" si="15"/>
        <v>0</v>
      </c>
      <c r="S262" s="13" t="s">
        <v>543</v>
      </c>
    </row>
    <row r="263" spans="1:19" x14ac:dyDescent="0.25">
      <c r="A263" s="4" t="s">
        <v>154</v>
      </c>
      <c r="B263" s="5" t="s">
        <v>125</v>
      </c>
      <c r="C263" s="4" t="s">
        <v>117</v>
      </c>
      <c r="D263" s="5" t="s">
        <v>180</v>
      </c>
      <c r="E263" s="4" t="s">
        <v>85</v>
      </c>
      <c r="F263" s="4" t="s">
        <v>86</v>
      </c>
      <c r="G263" s="4" t="s">
        <v>16</v>
      </c>
      <c r="H263" s="6">
        <v>0.5</v>
      </c>
      <c r="I263" s="7">
        <v>50000</v>
      </c>
      <c r="J263" s="7">
        <f t="shared" si="12"/>
        <v>25000</v>
      </c>
      <c r="K263" s="8" t="s">
        <v>17</v>
      </c>
      <c r="L263" t="str">
        <f>IFERROR(VLOOKUP(F263,MÃ!$A:$B,2,0),0)</f>
        <v>NL300142</v>
      </c>
      <c r="M263" t="str">
        <f t="shared" si="13"/>
        <v>08/01/2026NL300142</v>
      </c>
      <c r="N263" s="15">
        <f>IFERROR(VLOOKUP(M263,'WS11'!$B$2:$Q$475,11,0),0)</f>
        <v>0.5</v>
      </c>
      <c r="O263" s="17">
        <f>IFERROR(VLOOKUP(M263,'WS11'!$B$2:$Q$475,12,0),0)</f>
        <v>50000</v>
      </c>
      <c r="P263" s="17">
        <f t="shared" si="14"/>
        <v>25000</v>
      </c>
      <c r="Q263" s="15">
        <f t="shared" si="15"/>
        <v>0</v>
      </c>
      <c r="R263" s="17">
        <f t="shared" si="15"/>
        <v>0</v>
      </c>
      <c r="S263" s="13"/>
    </row>
    <row r="264" spans="1:19" x14ac:dyDescent="0.25">
      <c r="A264" s="4" t="s">
        <v>154</v>
      </c>
      <c r="B264" s="5" t="s">
        <v>125</v>
      </c>
      <c r="C264" s="4" t="s">
        <v>117</v>
      </c>
      <c r="D264" s="5" t="s">
        <v>180</v>
      </c>
      <c r="E264" s="4" t="s">
        <v>106</v>
      </c>
      <c r="F264" s="4" t="s">
        <v>107</v>
      </c>
      <c r="G264" s="4" t="s">
        <v>108</v>
      </c>
      <c r="H264" s="6">
        <v>20</v>
      </c>
      <c r="I264" s="7">
        <v>5000</v>
      </c>
      <c r="J264" s="7">
        <f t="shared" si="12"/>
        <v>100000</v>
      </c>
      <c r="K264" s="8" t="s">
        <v>17</v>
      </c>
      <c r="L264" t="str">
        <f>IFERROR(VLOOKUP(F264,MÃ!$A:$B,2,0),0)</f>
        <v>NL100101</v>
      </c>
      <c r="M264" t="str">
        <f t="shared" si="13"/>
        <v>08/01/2026NL100101</v>
      </c>
      <c r="N264" s="15">
        <f>IFERROR(VLOOKUP(M264,'WS11'!$B$2:$Q$475,11,0),0)</f>
        <v>15</v>
      </c>
      <c r="O264" s="17">
        <f>IFERROR(VLOOKUP(M264,'WS11'!$B$2:$Q$475,12,0),0)</f>
        <v>5000</v>
      </c>
      <c r="P264" s="17">
        <f t="shared" si="14"/>
        <v>75000</v>
      </c>
      <c r="Q264" s="15">
        <f t="shared" si="15"/>
        <v>5</v>
      </c>
      <c r="R264" s="17">
        <f t="shared" si="15"/>
        <v>0</v>
      </c>
      <c r="S264" s="13" t="s">
        <v>543</v>
      </c>
    </row>
    <row r="265" spans="1:19" x14ac:dyDescent="0.25">
      <c r="A265" s="4" t="s">
        <v>154</v>
      </c>
      <c r="B265" s="5" t="s">
        <v>125</v>
      </c>
      <c r="C265" s="4" t="s">
        <v>117</v>
      </c>
      <c r="D265" s="5" t="s">
        <v>180</v>
      </c>
      <c r="E265" s="4" t="s">
        <v>54</v>
      </c>
      <c r="F265" s="4" t="s">
        <v>55</v>
      </c>
      <c r="G265" s="4" t="s">
        <v>16</v>
      </c>
      <c r="H265" s="6">
        <v>5</v>
      </c>
      <c r="I265" s="7">
        <v>62000</v>
      </c>
      <c r="J265" s="7">
        <f t="shared" si="12"/>
        <v>310000</v>
      </c>
      <c r="K265" s="8" t="s">
        <v>17</v>
      </c>
      <c r="L265" t="str">
        <f>IFERROR(VLOOKUP(F265,MÃ!$A:$B,2,0),0)</f>
        <v>NL300147</v>
      </c>
      <c r="M265" t="str">
        <f t="shared" si="13"/>
        <v>08/01/2026NL300147</v>
      </c>
      <c r="N265" s="15">
        <f>IFERROR(VLOOKUP(M265,'WS11'!$B$2:$Q$475,11,0),0)</f>
        <v>3</v>
      </c>
      <c r="O265" s="17">
        <f>IFERROR(VLOOKUP(M265,'WS11'!$B$2:$Q$475,12,0),0)</f>
        <v>62000</v>
      </c>
      <c r="P265" s="17">
        <f t="shared" si="14"/>
        <v>186000</v>
      </c>
      <c r="Q265" s="15">
        <f t="shared" si="15"/>
        <v>2</v>
      </c>
      <c r="R265" s="17">
        <f t="shared" si="15"/>
        <v>0</v>
      </c>
      <c r="S265" s="13" t="s">
        <v>543</v>
      </c>
    </row>
    <row r="266" spans="1:19" x14ac:dyDescent="0.25">
      <c r="A266" s="4" t="s">
        <v>156</v>
      </c>
      <c r="B266" s="5" t="s">
        <v>125</v>
      </c>
      <c r="C266" s="4" t="s">
        <v>117</v>
      </c>
      <c r="D266" s="5" t="s">
        <v>181</v>
      </c>
      <c r="E266" s="4" t="s">
        <v>18</v>
      </c>
      <c r="F266" s="4" t="s">
        <v>19</v>
      </c>
      <c r="G266" s="4" t="s">
        <v>16</v>
      </c>
      <c r="H266" s="6">
        <v>2</v>
      </c>
      <c r="I266" s="7">
        <v>15000</v>
      </c>
      <c r="J266" s="7">
        <f t="shared" si="12"/>
        <v>30000</v>
      </c>
      <c r="K266" s="8" t="s">
        <v>17</v>
      </c>
      <c r="L266" t="str">
        <f>IFERROR(VLOOKUP(F266,MÃ!$A:$B,2,0),0)</f>
        <v>NL300189</v>
      </c>
      <c r="M266" t="str">
        <f t="shared" si="13"/>
        <v>09/01/2026NL300189</v>
      </c>
      <c r="N266" s="15">
        <f>IFERROR(VLOOKUP(M266,'WS11'!$B$2:$Q$475,11,0),0)</f>
        <v>1</v>
      </c>
      <c r="O266" s="17">
        <f>IFERROR(VLOOKUP(M266,'WS11'!$B$2:$Q$475,12,0),0)</f>
        <v>15000</v>
      </c>
      <c r="P266" s="17">
        <f t="shared" si="14"/>
        <v>15000</v>
      </c>
      <c r="Q266" s="15">
        <f t="shared" si="15"/>
        <v>1</v>
      </c>
      <c r="R266" s="17">
        <f t="shared" si="15"/>
        <v>0</v>
      </c>
      <c r="S266" s="13" t="s">
        <v>543</v>
      </c>
    </row>
    <row r="267" spans="1:19" x14ac:dyDescent="0.25">
      <c r="A267" s="4" t="s">
        <v>156</v>
      </c>
      <c r="B267" s="5" t="s">
        <v>125</v>
      </c>
      <c r="C267" s="4" t="s">
        <v>117</v>
      </c>
      <c r="D267" s="5" t="s">
        <v>181</v>
      </c>
      <c r="E267" s="4" t="s">
        <v>56</v>
      </c>
      <c r="F267" s="4" t="s">
        <v>57</v>
      </c>
      <c r="G267" s="4" t="s">
        <v>58</v>
      </c>
      <c r="H267" s="6">
        <v>10</v>
      </c>
      <c r="I267" s="7">
        <v>8500</v>
      </c>
      <c r="J267" s="7">
        <f t="shared" si="12"/>
        <v>85000</v>
      </c>
      <c r="K267" s="8" t="s">
        <v>17</v>
      </c>
      <c r="L267" t="str">
        <f>IFERROR(VLOOKUP(F267,MÃ!$A:$B,2,0),0)</f>
        <v>NL300107</v>
      </c>
      <c r="M267" t="str">
        <f t="shared" si="13"/>
        <v>09/01/2026NL300107</v>
      </c>
      <c r="N267" s="15">
        <f>IFERROR(VLOOKUP(M267,'WS11'!$B$2:$Q$475,11,0),0)</f>
        <v>8</v>
      </c>
      <c r="O267" s="17">
        <f>IFERROR(VLOOKUP(M267,'WS11'!$B$2:$Q$475,12,0),0)</f>
        <v>8500</v>
      </c>
      <c r="P267" s="17">
        <f t="shared" si="14"/>
        <v>68000</v>
      </c>
      <c r="Q267" s="15">
        <f t="shared" si="15"/>
        <v>2</v>
      </c>
      <c r="R267" s="17">
        <f t="shared" si="15"/>
        <v>0</v>
      </c>
      <c r="S267" s="13" t="s">
        <v>543</v>
      </c>
    </row>
    <row r="268" spans="1:19" x14ac:dyDescent="0.25">
      <c r="A268" s="4" t="s">
        <v>156</v>
      </c>
      <c r="B268" s="5" t="s">
        <v>125</v>
      </c>
      <c r="C268" s="4" t="s">
        <v>117</v>
      </c>
      <c r="D268" s="5" t="s">
        <v>181</v>
      </c>
      <c r="E268" s="4" t="s">
        <v>22</v>
      </c>
      <c r="F268" s="4" t="s">
        <v>23</v>
      </c>
      <c r="G268" s="4" t="s">
        <v>16</v>
      </c>
      <c r="H268" s="6">
        <v>3.9</v>
      </c>
      <c r="I268" s="7">
        <v>30000</v>
      </c>
      <c r="J268" s="7">
        <f t="shared" si="12"/>
        <v>117000</v>
      </c>
      <c r="K268" s="8" t="s">
        <v>17</v>
      </c>
      <c r="L268" t="str">
        <f>IFERROR(VLOOKUP(F268,MÃ!$A:$B,2,0),0)</f>
        <v>NL300007</v>
      </c>
      <c r="M268" t="str">
        <f t="shared" si="13"/>
        <v>09/01/2026NL300007</v>
      </c>
      <c r="N268" s="15">
        <f>IFERROR(VLOOKUP(M268,'WS11'!$B$2:$Q$475,11,0),0)</f>
        <v>2</v>
      </c>
      <c r="O268" s="17">
        <f>IFERROR(VLOOKUP(M268,'WS11'!$B$2:$Q$475,12,0),0)</f>
        <v>30000</v>
      </c>
      <c r="P268" s="17">
        <f t="shared" si="14"/>
        <v>60000</v>
      </c>
      <c r="Q268" s="15">
        <f t="shared" si="15"/>
        <v>1.9</v>
      </c>
      <c r="R268" s="17">
        <f t="shared" si="15"/>
        <v>0</v>
      </c>
      <c r="S268" s="13" t="s">
        <v>543</v>
      </c>
    </row>
    <row r="269" spans="1:19" x14ac:dyDescent="0.25">
      <c r="A269" s="4" t="s">
        <v>156</v>
      </c>
      <c r="B269" s="5" t="s">
        <v>125</v>
      </c>
      <c r="C269" s="4" t="s">
        <v>117</v>
      </c>
      <c r="D269" s="5" t="s">
        <v>181</v>
      </c>
      <c r="E269" s="4" t="s">
        <v>24</v>
      </c>
      <c r="F269" s="4" t="s">
        <v>25</v>
      </c>
      <c r="G269" s="4" t="s">
        <v>16</v>
      </c>
      <c r="H269" s="6">
        <v>8</v>
      </c>
      <c r="I269" s="7">
        <v>40000</v>
      </c>
      <c r="J269" s="7">
        <f t="shared" si="12"/>
        <v>320000</v>
      </c>
      <c r="K269" s="8" t="s">
        <v>17</v>
      </c>
      <c r="L269" t="str">
        <f>IFERROR(VLOOKUP(F269,MÃ!$A:$B,2,0),0)</f>
        <v>NL300008</v>
      </c>
      <c r="M269" t="str">
        <f t="shared" si="13"/>
        <v>09/01/2026NL300008</v>
      </c>
      <c r="N269" s="15">
        <f>IFERROR(VLOOKUP(M269,'WS11'!$B$2:$Q$475,11,0),0)</f>
        <v>4</v>
      </c>
      <c r="O269" s="17">
        <f>IFERROR(VLOOKUP(M269,'WS11'!$B$2:$Q$475,12,0),0)</f>
        <v>40000</v>
      </c>
      <c r="P269" s="17">
        <f t="shared" si="14"/>
        <v>160000</v>
      </c>
      <c r="Q269" s="15">
        <f t="shared" si="15"/>
        <v>4</v>
      </c>
      <c r="R269" s="17">
        <f t="shared" si="15"/>
        <v>0</v>
      </c>
      <c r="S269" s="13" t="s">
        <v>543</v>
      </c>
    </row>
    <row r="270" spans="1:19" x14ac:dyDescent="0.25">
      <c r="A270" s="4" t="s">
        <v>156</v>
      </c>
      <c r="B270" s="5" t="s">
        <v>125</v>
      </c>
      <c r="C270" s="4" t="s">
        <v>117</v>
      </c>
      <c r="D270" s="5" t="s">
        <v>181</v>
      </c>
      <c r="E270" s="4" t="s">
        <v>126</v>
      </c>
      <c r="F270" s="4" t="s">
        <v>127</v>
      </c>
      <c r="G270" s="4" t="s">
        <v>16</v>
      </c>
      <c r="H270" s="6">
        <v>2</v>
      </c>
      <c r="I270" s="7">
        <v>52000</v>
      </c>
      <c r="J270" s="7">
        <f t="shared" si="12"/>
        <v>104000</v>
      </c>
      <c r="K270" s="8" t="s">
        <v>17</v>
      </c>
      <c r="L270" t="str">
        <f>IFERROR(VLOOKUP(F270,MÃ!$A:$B,2,0),0)</f>
        <v>NL300137</v>
      </c>
      <c r="M270" t="str">
        <f t="shared" si="13"/>
        <v>09/01/2026NL300137</v>
      </c>
      <c r="N270" s="15">
        <f>IFERROR(VLOOKUP(M270,'WS11'!$B$2:$Q$475,11,0),0)</f>
        <v>1</v>
      </c>
      <c r="O270" s="17">
        <f>IFERROR(VLOOKUP(M270,'WS11'!$B$2:$Q$475,12,0),0)</f>
        <v>52000</v>
      </c>
      <c r="P270" s="17">
        <f t="shared" si="14"/>
        <v>52000</v>
      </c>
      <c r="Q270" s="15">
        <f t="shared" si="15"/>
        <v>1</v>
      </c>
      <c r="R270" s="17">
        <f t="shared" si="15"/>
        <v>0</v>
      </c>
      <c r="S270" s="13" t="s">
        <v>543</v>
      </c>
    </row>
    <row r="271" spans="1:19" x14ac:dyDescent="0.25">
      <c r="A271" s="4" t="s">
        <v>156</v>
      </c>
      <c r="B271" s="5" t="s">
        <v>125</v>
      </c>
      <c r="C271" s="4" t="s">
        <v>117</v>
      </c>
      <c r="D271" s="5" t="s">
        <v>181</v>
      </c>
      <c r="E271" s="4" t="s">
        <v>28</v>
      </c>
      <c r="F271" s="4" t="s">
        <v>29</v>
      </c>
      <c r="G271" s="4" t="s">
        <v>16</v>
      </c>
      <c r="H271" s="6">
        <v>3</v>
      </c>
      <c r="I271" s="7">
        <v>30000</v>
      </c>
      <c r="J271" s="7">
        <f t="shared" si="12"/>
        <v>90000</v>
      </c>
      <c r="K271" s="8" t="s">
        <v>17</v>
      </c>
      <c r="L271" t="str">
        <f>IFERROR(VLOOKUP(F271,MÃ!$A:$B,2,0),0)</f>
        <v>NL300020</v>
      </c>
      <c r="M271" t="str">
        <f t="shared" si="13"/>
        <v>09/01/2026NL300020</v>
      </c>
      <c r="N271" s="15">
        <f>IFERROR(VLOOKUP(M271,'WS11'!$B$2:$Q$475,11,0),0)</f>
        <v>0.5</v>
      </c>
      <c r="O271" s="17">
        <f>IFERROR(VLOOKUP(M271,'WS11'!$B$2:$Q$475,12,0),0)</f>
        <v>30000</v>
      </c>
      <c r="P271" s="17">
        <f t="shared" si="14"/>
        <v>15000</v>
      </c>
      <c r="Q271" s="15">
        <f t="shared" si="15"/>
        <v>2.5</v>
      </c>
      <c r="R271" s="17">
        <f t="shared" si="15"/>
        <v>0</v>
      </c>
      <c r="S271" s="13" t="s">
        <v>543</v>
      </c>
    </row>
    <row r="272" spans="1:19" x14ac:dyDescent="0.25">
      <c r="A272" s="4" t="s">
        <v>156</v>
      </c>
      <c r="B272" s="5" t="s">
        <v>125</v>
      </c>
      <c r="C272" s="4" t="s">
        <v>117</v>
      </c>
      <c r="D272" s="5" t="s">
        <v>181</v>
      </c>
      <c r="E272" s="4" t="s">
        <v>91</v>
      </c>
      <c r="F272" s="4" t="s">
        <v>92</v>
      </c>
      <c r="G272" s="4" t="s">
        <v>16</v>
      </c>
      <c r="H272" s="6">
        <v>0.7</v>
      </c>
      <c r="I272" s="7">
        <v>34000</v>
      </c>
      <c r="J272" s="7">
        <f t="shared" ref="J272:J335" si="16">H272*I272</f>
        <v>23800</v>
      </c>
      <c r="K272" s="8" t="s">
        <v>17</v>
      </c>
      <c r="L272" t="str">
        <f>IFERROR(VLOOKUP(F272,MÃ!$A:$B,2,0),0)</f>
        <v>NL300030</v>
      </c>
      <c r="M272" t="str">
        <f t="shared" ref="M272:M294" si="17">"0"&amp;DAY(A272)&amp;"/01/2026"&amp;L272</f>
        <v>09/01/2026NL300030</v>
      </c>
      <c r="N272" s="15">
        <f>IFERROR(VLOOKUP(M272,'WS11'!$B$2:$Q$475,11,0),0)</f>
        <v>0.7</v>
      </c>
      <c r="O272" s="17">
        <f>IFERROR(VLOOKUP(M272,'WS11'!$B$2:$Q$475,12,0),0)</f>
        <v>34000</v>
      </c>
      <c r="P272" s="17">
        <f t="shared" ref="P272:P335" si="18">N272*O272</f>
        <v>23800</v>
      </c>
      <c r="Q272" s="15">
        <f t="shared" ref="Q272:R335" si="19">H272-N272</f>
        <v>0</v>
      </c>
      <c r="R272" s="17">
        <f t="shared" si="19"/>
        <v>0</v>
      </c>
      <c r="S272" s="13"/>
    </row>
    <row r="273" spans="1:19" x14ac:dyDescent="0.25">
      <c r="A273" s="4" t="s">
        <v>156</v>
      </c>
      <c r="B273" s="5" t="s">
        <v>125</v>
      </c>
      <c r="C273" s="4" t="s">
        <v>117</v>
      </c>
      <c r="D273" s="5" t="s">
        <v>181</v>
      </c>
      <c r="E273" s="4" t="s">
        <v>93</v>
      </c>
      <c r="F273" s="4" t="s">
        <v>94</v>
      </c>
      <c r="G273" s="4" t="s">
        <v>16</v>
      </c>
      <c r="H273" s="6">
        <v>0.5</v>
      </c>
      <c r="I273" s="7">
        <v>95000</v>
      </c>
      <c r="J273" s="7">
        <f t="shared" si="16"/>
        <v>47500</v>
      </c>
      <c r="K273" s="8" t="s">
        <v>17</v>
      </c>
      <c r="L273" t="str">
        <f>IFERROR(VLOOKUP(F273,MÃ!$A:$B,2,0),0)</f>
        <v>NL600068</v>
      </c>
      <c r="M273" t="str">
        <f t="shared" si="17"/>
        <v>09/01/2026NL600068</v>
      </c>
      <c r="N273" s="15">
        <f>IFERROR(VLOOKUP(M273,'WS11'!$B$2:$Q$475,11,0),0)</f>
        <v>0.5</v>
      </c>
      <c r="O273" s="17">
        <f>IFERROR(VLOOKUP(M273,'WS11'!$B$2:$Q$475,12,0),0)</f>
        <v>95000</v>
      </c>
      <c r="P273" s="17">
        <f t="shared" si="18"/>
        <v>47500</v>
      </c>
      <c r="Q273" s="15">
        <f t="shared" si="19"/>
        <v>0</v>
      </c>
      <c r="R273" s="17">
        <f t="shared" si="19"/>
        <v>0</v>
      </c>
      <c r="S273" s="13"/>
    </row>
    <row r="274" spans="1:19" x14ac:dyDescent="0.25">
      <c r="A274" s="4" t="s">
        <v>156</v>
      </c>
      <c r="B274" s="5" t="s">
        <v>125</v>
      </c>
      <c r="C274" s="4" t="s">
        <v>117</v>
      </c>
      <c r="D274" s="5" t="s">
        <v>181</v>
      </c>
      <c r="E274" s="4" t="s">
        <v>30</v>
      </c>
      <c r="F274" s="4" t="s">
        <v>31</v>
      </c>
      <c r="G274" s="4" t="s">
        <v>16</v>
      </c>
      <c r="H274" s="6">
        <v>1</v>
      </c>
      <c r="I274" s="7">
        <v>38000</v>
      </c>
      <c r="J274" s="7">
        <f t="shared" si="16"/>
        <v>38000</v>
      </c>
      <c r="K274" s="8" t="s">
        <v>17</v>
      </c>
      <c r="L274" t="str">
        <f>IFERROR(VLOOKUP(F274,MÃ!$A:$B,2,0),0)</f>
        <v>NL300054</v>
      </c>
      <c r="M274" t="str">
        <f t="shared" si="17"/>
        <v>09/01/2026NL300054</v>
      </c>
      <c r="N274" s="15">
        <f>IFERROR(VLOOKUP(M274,'WS11'!$B$2:$Q$475,11,0),0)</f>
        <v>0.7</v>
      </c>
      <c r="O274" s="17">
        <f>IFERROR(VLOOKUP(M274,'WS11'!$B$2:$Q$475,12,0),0)</f>
        <v>38000</v>
      </c>
      <c r="P274" s="17">
        <f t="shared" si="18"/>
        <v>26600</v>
      </c>
      <c r="Q274" s="15">
        <f t="shared" si="19"/>
        <v>0.30000000000000004</v>
      </c>
      <c r="R274" s="17">
        <f t="shared" si="19"/>
        <v>0</v>
      </c>
      <c r="S274" s="13" t="s">
        <v>543</v>
      </c>
    </row>
    <row r="275" spans="1:19" x14ac:dyDescent="0.25">
      <c r="A275" s="4" t="s">
        <v>156</v>
      </c>
      <c r="B275" s="5" t="s">
        <v>125</v>
      </c>
      <c r="C275" s="4" t="s">
        <v>117</v>
      </c>
      <c r="D275" s="5" t="s">
        <v>181</v>
      </c>
      <c r="E275" s="4" t="s">
        <v>97</v>
      </c>
      <c r="F275" s="4" t="s">
        <v>98</v>
      </c>
      <c r="G275" s="4" t="s">
        <v>99</v>
      </c>
      <c r="H275" s="6">
        <v>3</v>
      </c>
      <c r="I275" s="7">
        <v>15000</v>
      </c>
      <c r="J275" s="7">
        <f t="shared" si="16"/>
        <v>45000</v>
      </c>
      <c r="K275" s="8" t="s">
        <v>17</v>
      </c>
      <c r="L275" t="str">
        <f>IFERROR(VLOOKUP(F275,MÃ!$A:$B,2,0),0)</f>
        <v>NL300041</v>
      </c>
      <c r="M275" t="str">
        <f t="shared" si="17"/>
        <v>09/01/2026NL300041</v>
      </c>
      <c r="N275" s="15">
        <f>IFERROR(VLOOKUP(M275,'WS11'!$B$2:$Q$475,11,0),0)</f>
        <v>3</v>
      </c>
      <c r="O275" s="17">
        <f>IFERROR(VLOOKUP(M275,'WS11'!$B$2:$Q$475,12,0),0)</f>
        <v>15000</v>
      </c>
      <c r="P275" s="17">
        <f t="shared" si="18"/>
        <v>45000</v>
      </c>
      <c r="Q275" s="15">
        <f t="shared" si="19"/>
        <v>0</v>
      </c>
      <c r="R275" s="17">
        <f t="shared" si="19"/>
        <v>0</v>
      </c>
      <c r="S275" s="13"/>
    </row>
    <row r="276" spans="1:19" x14ac:dyDescent="0.25">
      <c r="A276" s="4" t="s">
        <v>156</v>
      </c>
      <c r="B276" s="5" t="s">
        <v>125</v>
      </c>
      <c r="C276" s="4" t="s">
        <v>117</v>
      </c>
      <c r="D276" s="5" t="s">
        <v>181</v>
      </c>
      <c r="E276" s="4" t="s">
        <v>36</v>
      </c>
      <c r="F276" s="4" t="s">
        <v>37</v>
      </c>
      <c r="G276" s="4" t="s">
        <v>16</v>
      </c>
      <c r="H276" s="6">
        <v>15</v>
      </c>
      <c r="I276" s="7">
        <v>18000</v>
      </c>
      <c r="J276" s="7">
        <f t="shared" si="16"/>
        <v>270000</v>
      </c>
      <c r="K276" s="8" t="s">
        <v>17</v>
      </c>
      <c r="L276" t="str">
        <f>IFERROR(VLOOKUP(F276,MÃ!$A:$B,2,0),0)</f>
        <v>NL600004</v>
      </c>
      <c r="M276" t="str">
        <f t="shared" si="17"/>
        <v>09/01/2026NL600004</v>
      </c>
      <c r="N276" s="15">
        <f>IFERROR(VLOOKUP(M276,'WS11'!$B$2:$Q$475,11,0),0)</f>
        <v>15</v>
      </c>
      <c r="O276" s="17">
        <f>IFERROR(VLOOKUP(M276,'WS11'!$B$2:$Q$475,12,0),0)</f>
        <v>18000</v>
      </c>
      <c r="P276" s="17">
        <f t="shared" si="18"/>
        <v>270000</v>
      </c>
      <c r="Q276" s="15">
        <f t="shared" si="19"/>
        <v>0</v>
      </c>
      <c r="R276" s="17">
        <f t="shared" si="19"/>
        <v>0</v>
      </c>
      <c r="S276" s="13"/>
    </row>
    <row r="277" spans="1:19" x14ac:dyDescent="0.25">
      <c r="A277" s="4" t="s">
        <v>156</v>
      </c>
      <c r="B277" s="5" t="s">
        <v>125</v>
      </c>
      <c r="C277" s="4" t="s">
        <v>117</v>
      </c>
      <c r="D277" s="5" t="s">
        <v>181</v>
      </c>
      <c r="E277" s="4" t="s">
        <v>38</v>
      </c>
      <c r="F277" s="4" t="s">
        <v>39</v>
      </c>
      <c r="G277" s="4" t="s">
        <v>16</v>
      </c>
      <c r="H277" s="6">
        <v>2</v>
      </c>
      <c r="I277" s="7">
        <v>55000</v>
      </c>
      <c r="J277" s="7">
        <f t="shared" si="16"/>
        <v>110000</v>
      </c>
      <c r="K277" s="8" t="s">
        <v>17</v>
      </c>
      <c r="L277" t="str">
        <f>IFERROR(VLOOKUP(F277,MÃ!$A:$B,2,0),0)</f>
        <v>NL300058</v>
      </c>
      <c r="M277" t="str">
        <f t="shared" si="17"/>
        <v>09/01/2026NL300058</v>
      </c>
      <c r="N277" s="15">
        <f>IFERROR(VLOOKUP(M277,'WS11'!$B$2:$Q$475,11,0),0)</f>
        <v>1</v>
      </c>
      <c r="O277" s="17">
        <f>IFERROR(VLOOKUP(M277,'WS11'!$B$2:$Q$475,12,0),0)</f>
        <v>55000</v>
      </c>
      <c r="P277" s="17">
        <f t="shared" si="18"/>
        <v>55000</v>
      </c>
      <c r="Q277" s="15">
        <f t="shared" si="19"/>
        <v>1</v>
      </c>
      <c r="R277" s="17">
        <f t="shared" si="19"/>
        <v>0</v>
      </c>
      <c r="S277" s="13" t="s">
        <v>543</v>
      </c>
    </row>
    <row r="278" spans="1:19" x14ac:dyDescent="0.25">
      <c r="A278" s="4" t="s">
        <v>156</v>
      </c>
      <c r="B278" s="5" t="s">
        <v>125</v>
      </c>
      <c r="C278" s="4" t="s">
        <v>117</v>
      </c>
      <c r="D278" s="5" t="s">
        <v>181</v>
      </c>
      <c r="E278" s="4" t="s">
        <v>63</v>
      </c>
      <c r="F278" s="4" t="s">
        <v>64</v>
      </c>
      <c r="G278" s="4" t="s">
        <v>16</v>
      </c>
      <c r="H278" s="6">
        <v>0.2</v>
      </c>
      <c r="I278" s="7">
        <v>65000</v>
      </c>
      <c r="J278" s="7">
        <f t="shared" si="16"/>
        <v>13000</v>
      </c>
      <c r="K278" s="8" t="s">
        <v>17</v>
      </c>
      <c r="L278" t="str">
        <f>IFERROR(VLOOKUP(F278,MÃ!$A:$B,2,0),0)</f>
        <v>NL300062</v>
      </c>
      <c r="M278" t="str">
        <f t="shared" si="17"/>
        <v>09/01/2026NL300062</v>
      </c>
      <c r="N278" s="15">
        <f>IFERROR(VLOOKUP(M278,'WS11'!$B$2:$Q$475,11,0),0)</f>
        <v>0.2</v>
      </c>
      <c r="O278" s="17">
        <f>IFERROR(VLOOKUP(M278,'WS11'!$B$2:$Q$475,12,0),0)</f>
        <v>65000</v>
      </c>
      <c r="P278" s="17">
        <f t="shared" si="18"/>
        <v>13000</v>
      </c>
      <c r="Q278" s="15">
        <f t="shared" si="19"/>
        <v>0</v>
      </c>
      <c r="R278" s="17">
        <f t="shared" si="19"/>
        <v>0</v>
      </c>
      <c r="S278" s="13"/>
    </row>
    <row r="279" spans="1:19" x14ac:dyDescent="0.25">
      <c r="A279" s="4" t="s">
        <v>156</v>
      </c>
      <c r="B279" s="5" t="s">
        <v>125</v>
      </c>
      <c r="C279" s="4" t="s">
        <v>117</v>
      </c>
      <c r="D279" s="5" t="s">
        <v>181</v>
      </c>
      <c r="E279" s="4" t="s">
        <v>65</v>
      </c>
      <c r="F279" s="4" t="s">
        <v>66</v>
      </c>
      <c r="G279" s="4" t="s">
        <v>16</v>
      </c>
      <c r="H279" s="6">
        <v>0.8</v>
      </c>
      <c r="I279" s="7">
        <v>23000</v>
      </c>
      <c r="J279" s="7">
        <f t="shared" si="16"/>
        <v>18400</v>
      </c>
      <c r="K279" s="8" t="s">
        <v>17</v>
      </c>
      <c r="L279" t="str">
        <f>IFERROR(VLOOKUP(F279,MÃ!$A:$B,2,0),0)</f>
        <v>NL300070</v>
      </c>
      <c r="M279" t="str">
        <f t="shared" si="17"/>
        <v>09/01/2026NL300070</v>
      </c>
      <c r="N279" s="15">
        <f>IFERROR(VLOOKUP(M279,'WS11'!$B$2:$Q$475,11,0),0)</f>
        <v>0.5</v>
      </c>
      <c r="O279" s="17">
        <f>IFERROR(VLOOKUP(M279,'WS11'!$B$2:$Q$475,12,0),0)</f>
        <v>23000</v>
      </c>
      <c r="P279" s="17">
        <f t="shared" si="18"/>
        <v>11500</v>
      </c>
      <c r="Q279" s="15">
        <f t="shared" si="19"/>
        <v>0.30000000000000004</v>
      </c>
      <c r="R279" s="17">
        <f t="shared" si="19"/>
        <v>0</v>
      </c>
      <c r="S279" s="13" t="s">
        <v>543</v>
      </c>
    </row>
    <row r="280" spans="1:19" x14ac:dyDescent="0.25">
      <c r="A280" s="4" t="s">
        <v>156</v>
      </c>
      <c r="B280" s="5" t="s">
        <v>125</v>
      </c>
      <c r="C280" s="4" t="s">
        <v>117</v>
      </c>
      <c r="D280" s="5" t="s">
        <v>181</v>
      </c>
      <c r="E280" s="4" t="s">
        <v>14</v>
      </c>
      <c r="F280" s="4" t="s">
        <v>15</v>
      </c>
      <c r="G280" s="4" t="s">
        <v>16</v>
      </c>
      <c r="H280" s="6">
        <v>2</v>
      </c>
      <c r="I280" s="7">
        <v>27000</v>
      </c>
      <c r="J280" s="7">
        <f t="shared" si="16"/>
        <v>54000</v>
      </c>
      <c r="K280" s="8" t="s">
        <v>17</v>
      </c>
      <c r="L280" t="str">
        <f>IFERROR(VLOOKUP(F280,MÃ!$A:$B,2,0),0)</f>
        <v>NL300088</v>
      </c>
      <c r="M280" t="str">
        <f t="shared" si="17"/>
        <v>09/01/2026NL300088</v>
      </c>
      <c r="N280" s="15">
        <f>IFERROR(VLOOKUP(M280,'WS11'!$B$2:$Q$475,11,0),0)</f>
        <v>1.5</v>
      </c>
      <c r="O280" s="17">
        <f>IFERROR(VLOOKUP(M280,'WS11'!$B$2:$Q$475,12,0),0)</f>
        <v>27000</v>
      </c>
      <c r="P280" s="17">
        <f t="shared" si="18"/>
        <v>40500</v>
      </c>
      <c r="Q280" s="15">
        <f t="shared" si="19"/>
        <v>0.5</v>
      </c>
      <c r="R280" s="17">
        <f t="shared" si="19"/>
        <v>0</v>
      </c>
      <c r="S280" s="13" t="s">
        <v>543</v>
      </c>
    </row>
    <row r="281" spans="1:19" x14ac:dyDescent="0.25">
      <c r="A281" s="4" t="s">
        <v>156</v>
      </c>
      <c r="B281" s="5" t="s">
        <v>125</v>
      </c>
      <c r="C281" s="4" t="s">
        <v>117</v>
      </c>
      <c r="D281" s="5" t="s">
        <v>181</v>
      </c>
      <c r="E281" s="4" t="s">
        <v>71</v>
      </c>
      <c r="F281" s="4" t="s">
        <v>72</v>
      </c>
      <c r="G281" s="4" t="s">
        <v>16</v>
      </c>
      <c r="H281" s="6">
        <v>1</v>
      </c>
      <c r="I281" s="7">
        <v>47000</v>
      </c>
      <c r="J281" s="7">
        <f t="shared" si="16"/>
        <v>47000</v>
      </c>
      <c r="K281" s="8" t="s">
        <v>17</v>
      </c>
      <c r="L281" t="str">
        <f>IFERROR(VLOOKUP(F281,MÃ!$A:$B,2,0),0)</f>
        <v>NL300091</v>
      </c>
      <c r="M281" t="str">
        <f t="shared" si="17"/>
        <v>09/01/2026NL300091</v>
      </c>
      <c r="N281" s="15">
        <f>IFERROR(VLOOKUP(M281,'WS11'!$B$2:$Q$475,11,0),0)</f>
        <v>0.9</v>
      </c>
      <c r="O281" s="17">
        <f>IFERROR(VLOOKUP(M281,'WS11'!$B$2:$Q$475,12,0),0)</f>
        <v>47000</v>
      </c>
      <c r="P281" s="17">
        <f t="shared" si="18"/>
        <v>42300</v>
      </c>
      <c r="Q281" s="15">
        <f t="shared" si="19"/>
        <v>9.9999999999999978E-2</v>
      </c>
      <c r="R281" s="17">
        <f t="shared" si="19"/>
        <v>0</v>
      </c>
      <c r="S281" s="13" t="s">
        <v>543</v>
      </c>
    </row>
    <row r="282" spans="1:19" x14ac:dyDescent="0.25">
      <c r="A282" s="4" t="s">
        <v>156</v>
      </c>
      <c r="B282" s="5" t="s">
        <v>125</v>
      </c>
      <c r="C282" s="4" t="s">
        <v>117</v>
      </c>
      <c r="D282" s="5" t="s">
        <v>181</v>
      </c>
      <c r="E282" s="4" t="s">
        <v>73</v>
      </c>
      <c r="F282" s="4" t="s">
        <v>74</v>
      </c>
      <c r="G282" s="4" t="s">
        <v>16</v>
      </c>
      <c r="H282" s="6">
        <v>1.6</v>
      </c>
      <c r="I282" s="7">
        <v>90000</v>
      </c>
      <c r="J282" s="7">
        <f t="shared" si="16"/>
        <v>144000</v>
      </c>
      <c r="K282" s="8" t="s">
        <v>17</v>
      </c>
      <c r="L282" t="str">
        <f>IFERROR(VLOOKUP(F282,MÃ!$A:$B,2,0),0)</f>
        <v>NL300092</v>
      </c>
      <c r="M282" t="str">
        <f t="shared" si="17"/>
        <v>09/01/2026NL300092</v>
      </c>
      <c r="N282" s="15">
        <f>IFERROR(VLOOKUP(M282,'WS11'!$B$2:$Q$475,11,0),0)</f>
        <v>1.4</v>
      </c>
      <c r="O282" s="17">
        <f>IFERROR(VLOOKUP(M282,'WS11'!$B$2:$Q$475,12,0),0)</f>
        <v>90000</v>
      </c>
      <c r="P282" s="17">
        <f t="shared" si="18"/>
        <v>125999.99999999999</v>
      </c>
      <c r="Q282" s="15">
        <f t="shared" si="19"/>
        <v>0.20000000000000018</v>
      </c>
      <c r="R282" s="17">
        <f t="shared" si="19"/>
        <v>0</v>
      </c>
      <c r="S282" s="13" t="s">
        <v>543</v>
      </c>
    </row>
    <row r="283" spans="1:19" x14ac:dyDescent="0.25">
      <c r="A283" s="4" t="s">
        <v>156</v>
      </c>
      <c r="B283" s="5" t="s">
        <v>125</v>
      </c>
      <c r="C283" s="4" t="s">
        <v>117</v>
      </c>
      <c r="D283" s="5" t="s">
        <v>181</v>
      </c>
      <c r="E283" s="4" t="s">
        <v>100</v>
      </c>
      <c r="F283" s="4" t="s">
        <v>101</v>
      </c>
      <c r="G283" s="4" t="s">
        <v>16</v>
      </c>
      <c r="H283" s="6">
        <v>0.5</v>
      </c>
      <c r="I283" s="7">
        <v>80000</v>
      </c>
      <c r="J283" s="7">
        <f t="shared" si="16"/>
        <v>40000</v>
      </c>
      <c r="K283" s="8" t="s">
        <v>17</v>
      </c>
      <c r="L283" t="str">
        <f>IFERROR(VLOOKUP(F283,MÃ!$A:$B,2,0),0)</f>
        <v>NL300094</v>
      </c>
      <c r="M283" t="str">
        <f t="shared" si="17"/>
        <v>09/01/2026NL300094</v>
      </c>
      <c r="N283" s="15">
        <f>IFERROR(VLOOKUP(M283,'WS11'!$B$2:$Q$475,11,0),0)</f>
        <v>0.4</v>
      </c>
      <c r="O283" s="17">
        <f>IFERROR(VLOOKUP(M283,'WS11'!$B$2:$Q$475,12,0),0)</f>
        <v>80000</v>
      </c>
      <c r="P283" s="17">
        <f t="shared" si="18"/>
        <v>32000</v>
      </c>
      <c r="Q283" s="15">
        <f t="shared" si="19"/>
        <v>9.9999999999999978E-2</v>
      </c>
      <c r="R283" s="17">
        <f t="shared" si="19"/>
        <v>0</v>
      </c>
      <c r="S283" s="13" t="s">
        <v>543</v>
      </c>
    </row>
    <row r="284" spans="1:19" x14ac:dyDescent="0.25">
      <c r="A284" s="4" t="s">
        <v>156</v>
      </c>
      <c r="B284" s="5" t="s">
        <v>125</v>
      </c>
      <c r="C284" s="4" t="s">
        <v>117</v>
      </c>
      <c r="D284" s="5" t="s">
        <v>181</v>
      </c>
      <c r="E284" s="4" t="s">
        <v>75</v>
      </c>
      <c r="F284" s="4" t="s">
        <v>76</v>
      </c>
      <c r="G284" s="4" t="s">
        <v>16</v>
      </c>
      <c r="H284" s="6">
        <v>0.5</v>
      </c>
      <c r="I284" s="7">
        <v>90000</v>
      </c>
      <c r="J284" s="7">
        <f t="shared" si="16"/>
        <v>45000</v>
      </c>
      <c r="K284" s="8" t="s">
        <v>17</v>
      </c>
      <c r="L284" t="str">
        <f>IFERROR(VLOOKUP(F284,MÃ!$A:$B,2,0),0)</f>
        <v>NL300097</v>
      </c>
      <c r="M284" t="str">
        <f t="shared" si="17"/>
        <v>09/01/2026NL300097</v>
      </c>
      <c r="N284" s="15">
        <f>IFERROR(VLOOKUP(M284,'WS11'!$B$2:$Q$475,11,0),0)</f>
        <v>0.4</v>
      </c>
      <c r="O284" s="17">
        <f>IFERROR(VLOOKUP(M284,'WS11'!$B$2:$Q$475,12,0),0)</f>
        <v>90000</v>
      </c>
      <c r="P284" s="17">
        <f t="shared" si="18"/>
        <v>36000</v>
      </c>
      <c r="Q284" s="15">
        <f t="shared" si="19"/>
        <v>9.9999999999999978E-2</v>
      </c>
      <c r="R284" s="17">
        <f t="shared" si="19"/>
        <v>0</v>
      </c>
      <c r="S284" s="13" t="s">
        <v>543</v>
      </c>
    </row>
    <row r="285" spans="1:19" x14ac:dyDescent="0.25">
      <c r="A285" s="4" t="s">
        <v>156</v>
      </c>
      <c r="B285" s="5" t="s">
        <v>125</v>
      </c>
      <c r="C285" s="4" t="s">
        <v>117</v>
      </c>
      <c r="D285" s="5" t="s">
        <v>181</v>
      </c>
      <c r="E285" s="4" t="s">
        <v>77</v>
      </c>
      <c r="F285" s="4" t="s">
        <v>78</v>
      </c>
      <c r="G285" s="4" t="s">
        <v>16</v>
      </c>
      <c r="H285" s="6">
        <v>2</v>
      </c>
      <c r="I285" s="7">
        <v>45000</v>
      </c>
      <c r="J285" s="7">
        <f t="shared" si="16"/>
        <v>90000</v>
      </c>
      <c r="K285" s="8" t="s">
        <v>17</v>
      </c>
      <c r="L285" t="str">
        <f>IFERROR(VLOOKUP(F285,MÃ!$A:$B,2,0),0)</f>
        <v>NL300085</v>
      </c>
      <c r="M285" t="str">
        <f t="shared" si="17"/>
        <v>09/01/2026NL300085</v>
      </c>
      <c r="N285" s="15">
        <f>IFERROR(VLOOKUP(M285,'WS11'!$B$2:$Q$475,11,0),0)</f>
        <v>1</v>
      </c>
      <c r="O285" s="17">
        <f>IFERROR(VLOOKUP(M285,'WS11'!$B$2:$Q$475,12,0),0)</f>
        <v>45000</v>
      </c>
      <c r="P285" s="17">
        <f t="shared" si="18"/>
        <v>45000</v>
      </c>
      <c r="Q285" s="15">
        <f t="shared" si="19"/>
        <v>1</v>
      </c>
      <c r="R285" s="17">
        <f t="shared" si="19"/>
        <v>0</v>
      </c>
      <c r="S285" s="13" t="s">
        <v>543</v>
      </c>
    </row>
    <row r="286" spans="1:19" x14ac:dyDescent="0.25">
      <c r="A286" s="4" t="s">
        <v>156</v>
      </c>
      <c r="B286" s="5" t="s">
        <v>125</v>
      </c>
      <c r="C286" s="4" t="s">
        <v>117</v>
      </c>
      <c r="D286" s="5" t="s">
        <v>181</v>
      </c>
      <c r="E286" s="4" t="s">
        <v>102</v>
      </c>
      <c r="F286" s="4" t="s">
        <v>103</v>
      </c>
      <c r="G286" s="4" t="s">
        <v>16</v>
      </c>
      <c r="H286" s="6">
        <v>0.5</v>
      </c>
      <c r="I286" s="7">
        <v>145000</v>
      </c>
      <c r="J286" s="7">
        <f t="shared" si="16"/>
        <v>72500</v>
      </c>
      <c r="K286" s="8" t="s">
        <v>17</v>
      </c>
      <c r="L286" t="str">
        <f>IFERROR(VLOOKUP(F286,MÃ!$A:$B,2,0),0)</f>
        <v>NL300113</v>
      </c>
      <c r="M286" t="str">
        <f t="shared" si="17"/>
        <v>09/01/2026NL300113</v>
      </c>
      <c r="N286" s="15">
        <f>IFERROR(VLOOKUP(M286,'WS11'!$B$2:$Q$475,11,0),0)</f>
        <v>0.4</v>
      </c>
      <c r="O286" s="17">
        <f>IFERROR(VLOOKUP(M286,'WS11'!$B$2:$Q$475,12,0),0)</f>
        <v>145000</v>
      </c>
      <c r="P286" s="17">
        <f t="shared" si="18"/>
        <v>58000</v>
      </c>
      <c r="Q286" s="15">
        <f t="shared" si="19"/>
        <v>9.9999999999999978E-2</v>
      </c>
      <c r="R286" s="17">
        <f t="shared" si="19"/>
        <v>0</v>
      </c>
      <c r="S286" s="13" t="s">
        <v>543</v>
      </c>
    </row>
    <row r="287" spans="1:19" x14ac:dyDescent="0.25">
      <c r="A287" s="4" t="s">
        <v>156</v>
      </c>
      <c r="B287" s="5" t="s">
        <v>125</v>
      </c>
      <c r="C287" s="4" t="s">
        <v>117</v>
      </c>
      <c r="D287" s="5" t="s">
        <v>181</v>
      </c>
      <c r="E287" s="4" t="s">
        <v>46</v>
      </c>
      <c r="F287" s="4" t="s">
        <v>47</v>
      </c>
      <c r="G287" s="4" t="s">
        <v>16</v>
      </c>
      <c r="H287" s="6">
        <v>0.3</v>
      </c>
      <c r="I287" s="7">
        <v>148000</v>
      </c>
      <c r="J287" s="7">
        <f t="shared" si="16"/>
        <v>44400</v>
      </c>
      <c r="K287" s="8" t="s">
        <v>17</v>
      </c>
      <c r="L287" t="str">
        <f>IFERROR(VLOOKUP(F287,MÃ!$A:$B,2,0),0)</f>
        <v>NL300116</v>
      </c>
      <c r="M287" t="str">
        <f t="shared" si="17"/>
        <v>09/01/2026NL300116</v>
      </c>
      <c r="N287" s="15">
        <f>IFERROR(VLOOKUP(M287,'WS11'!$B$2:$Q$475,11,0),0)</f>
        <v>0.2</v>
      </c>
      <c r="O287" s="17">
        <f>IFERROR(VLOOKUP(M287,'WS11'!$B$2:$Q$475,12,0),0)</f>
        <v>148000</v>
      </c>
      <c r="P287" s="17">
        <f t="shared" si="18"/>
        <v>29600</v>
      </c>
      <c r="Q287" s="15">
        <f t="shared" si="19"/>
        <v>9.9999999999999978E-2</v>
      </c>
      <c r="R287" s="17">
        <f t="shared" si="19"/>
        <v>0</v>
      </c>
      <c r="S287" s="13" t="s">
        <v>543</v>
      </c>
    </row>
    <row r="288" spans="1:19" x14ac:dyDescent="0.25">
      <c r="A288" s="4" t="s">
        <v>156</v>
      </c>
      <c r="B288" s="5" t="s">
        <v>125</v>
      </c>
      <c r="C288" s="4" t="s">
        <v>117</v>
      </c>
      <c r="D288" s="5" t="s">
        <v>181</v>
      </c>
      <c r="E288" s="4" t="s">
        <v>133</v>
      </c>
      <c r="F288" s="4" t="s">
        <v>134</v>
      </c>
      <c r="G288" s="4" t="s">
        <v>16</v>
      </c>
      <c r="H288" s="6">
        <v>1</v>
      </c>
      <c r="I288" s="7">
        <v>36000</v>
      </c>
      <c r="J288" s="7">
        <f t="shared" si="16"/>
        <v>36000</v>
      </c>
      <c r="K288" s="8" t="s">
        <v>17</v>
      </c>
      <c r="L288" t="str">
        <f>IFERROR(VLOOKUP(F288,MÃ!$A:$B,2,0),0)</f>
        <v>NL300140</v>
      </c>
      <c r="M288" t="str">
        <f t="shared" si="17"/>
        <v>09/01/2026NL300140</v>
      </c>
      <c r="N288" s="15">
        <f>IFERROR(VLOOKUP(M288,'WS11'!$B$2:$Q$475,11,0),0)</f>
        <v>0.7</v>
      </c>
      <c r="O288" s="17">
        <f>IFERROR(VLOOKUP(M288,'WS11'!$B$2:$Q$475,12,0),0)</f>
        <v>36000</v>
      </c>
      <c r="P288" s="17">
        <f t="shared" si="18"/>
        <v>25200</v>
      </c>
      <c r="Q288" s="15">
        <f t="shared" si="19"/>
        <v>0.30000000000000004</v>
      </c>
      <c r="R288" s="17">
        <f t="shared" si="19"/>
        <v>0</v>
      </c>
      <c r="S288" s="13" t="s">
        <v>543</v>
      </c>
    </row>
    <row r="289" spans="1:19" x14ac:dyDescent="0.25">
      <c r="A289" s="4" t="s">
        <v>156</v>
      </c>
      <c r="B289" s="5" t="s">
        <v>125</v>
      </c>
      <c r="C289" s="4" t="s">
        <v>117</v>
      </c>
      <c r="D289" s="5" t="s">
        <v>181</v>
      </c>
      <c r="E289" s="4" t="s">
        <v>81</v>
      </c>
      <c r="F289" s="4" t="s">
        <v>82</v>
      </c>
      <c r="G289" s="4" t="s">
        <v>16</v>
      </c>
      <c r="H289" s="6">
        <v>0.5</v>
      </c>
      <c r="I289" s="7">
        <v>12000</v>
      </c>
      <c r="J289" s="7">
        <f t="shared" si="16"/>
        <v>6000</v>
      </c>
      <c r="K289" s="8" t="s">
        <v>17</v>
      </c>
      <c r="L289" t="str">
        <f>IFERROR(VLOOKUP(F289,MÃ!$A:$B,2,0),0)</f>
        <v>NL300132</v>
      </c>
      <c r="M289" t="str">
        <f t="shared" si="17"/>
        <v>09/01/2026NL300132</v>
      </c>
      <c r="N289" s="15">
        <f>IFERROR(VLOOKUP(M289,'WS11'!$B$2:$Q$475,11,0),0)</f>
        <v>0.5</v>
      </c>
      <c r="O289" s="17">
        <f>IFERROR(VLOOKUP(M289,'WS11'!$B$2:$Q$475,12,0),0)</f>
        <v>12000</v>
      </c>
      <c r="P289" s="17">
        <f t="shared" si="18"/>
        <v>6000</v>
      </c>
      <c r="Q289" s="15">
        <f t="shared" si="19"/>
        <v>0</v>
      </c>
      <c r="R289" s="17">
        <f t="shared" si="19"/>
        <v>0</v>
      </c>
      <c r="S289" s="13"/>
    </row>
    <row r="290" spans="1:19" x14ac:dyDescent="0.25">
      <c r="A290" s="4" t="s">
        <v>156</v>
      </c>
      <c r="B290" s="5" t="s">
        <v>125</v>
      </c>
      <c r="C290" s="4" t="s">
        <v>117</v>
      </c>
      <c r="D290" s="5" t="s">
        <v>181</v>
      </c>
      <c r="E290" s="4" t="s">
        <v>52</v>
      </c>
      <c r="F290" s="4" t="s">
        <v>53</v>
      </c>
      <c r="G290" s="4" t="s">
        <v>16</v>
      </c>
      <c r="H290" s="6">
        <v>1</v>
      </c>
      <c r="I290" s="7">
        <v>21000</v>
      </c>
      <c r="J290" s="7">
        <f t="shared" si="16"/>
        <v>21000</v>
      </c>
      <c r="K290" s="8" t="s">
        <v>17</v>
      </c>
      <c r="L290" t="str">
        <f>IFERROR(VLOOKUP(F290,MÃ!$A:$B,2,0),0)</f>
        <v>NL300119</v>
      </c>
      <c r="M290" t="str">
        <f t="shared" si="17"/>
        <v>09/01/2026NL300119</v>
      </c>
      <c r="N290" s="15">
        <f>IFERROR(VLOOKUP(M290,'WS11'!$B$2:$Q$475,11,0),0)</f>
        <v>0</v>
      </c>
      <c r="O290" s="17">
        <f>IFERROR(VLOOKUP(M290,'WS11'!$B$2:$Q$475,12,0),0)</f>
        <v>0</v>
      </c>
      <c r="P290" s="17">
        <f t="shared" si="18"/>
        <v>0</v>
      </c>
      <c r="Q290" s="15">
        <f t="shared" si="19"/>
        <v>1</v>
      </c>
      <c r="R290" s="17">
        <f t="shared" si="19"/>
        <v>21000</v>
      </c>
      <c r="S290" s="13" t="s">
        <v>540</v>
      </c>
    </row>
    <row r="291" spans="1:19" x14ac:dyDescent="0.25">
      <c r="A291" s="4" t="s">
        <v>156</v>
      </c>
      <c r="B291" s="5" t="s">
        <v>125</v>
      </c>
      <c r="C291" s="4" t="s">
        <v>117</v>
      </c>
      <c r="D291" s="5" t="s">
        <v>181</v>
      </c>
      <c r="E291" s="4" t="s">
        <v>85</v>
      </c>
      <c r="F291" s="4" t="s">
        <v>86</v>
      </c>
      <c r="G291" s="4" t="s">
        <v>16</v>
      </c>
      <c r="H291" s="6">
        <v>1.1000000000000001</v>
      </c>
      <c r="I291" s="7">
        <v>50000</v>
      </c>
      <c r="J291" s="7">
        <f t="shared" si="16"/>
        <v>55000.000000000007</v>
      </c>
      <c r="K291" s="8" t="s">
        <v>17</v>
      </c>
      <c r="L291" t="str">
        <f>IFERROR(VLOOKUP(F291,MÃ!$A:$B,2,0),0)</f>
        <v>NL300142</v>
      </c>
      <c r="M291" t="str">
        <f t="shared" si="17"/>
        <v>09/01/2026NL300142</v>
      </c>
      <c r="N291" s="15">
        <f>IFERROR(VLOOKUP(M291,'WS11'!$B$2:$Q$475,11,0),0)</f>
        <v>1.1000000000000001</v>
      </c>
      <c r="O291" s="17">
        <f>IFERROR(VLOOKUP(M291,'WS11'!$B$2:$Q$475,12,0),0)</f>
        <v>50000</v>
      </c>
      <c r="P291" s="17">
        <f t="shared" si="18"/>
        <v>55000.000000000007</v>
      </c>
      <c r="Q291" s="15">
        <f t="shared" si="19"/>
        <v>0</v>
      </c>
      <c r="R291" s="17">
        <f t="shared" si="19"/>
        <v>0</v>
      </c>
      <c r="S291" s="13"/>
    </row>
    <row r="292" spans="1:19" x14ac:dyDescent="0.25">
      <c r="A292" s="4" t="s">
        <v>156</v>
      </c>
      <c r="B292" s="5" t="s">
        <v>125</v>
      </c>
      <c r="C292" s="4" t="s">
        <v>117</v>
      </c>
      <c r="D292" s="5" t="s">
        <v>181</v>
      </c>
      <c r="E292" s="4" t="s">
        <v>106</v>
      </c>
      <c r="F292" s="4" t="s">
        <v>107</v>
      </c>
      <c r="G292" s="4" t="s">
        <v>108</v>
      </c>
      <c r="H292" s="6">
        <v>20</v>
      </c>
      <c r="I292" s="7">
        <v>5000</v>
      </c>
      <c r="J292" s="7">
        <f t="shared" si="16"/>
        <v>100000</v>
      </c>
      <c r="K292" s="8" t="s">
        <v>17</v>
      </c>
      <c r="L292" t="str">
        <f>IFERROR(VLOOKUP(F292,MÃ!$A:$B,2,0),0)</f>
        <v>NL100101</v>
      </c>
      <c r="M292" t="str">
        <f t="shared" si="17"/>
        <v>09/01/2026NL100101</v>
      </c>
      <c r="N292" s="15">
        <f>IFERROR(VLOOKUP(M292,'WS11'!$B$2:$Q$475,11,0),0)</f>
        <v>15</v>
      </c>
      <c r="O292" s="17">
        <f>IFERROR(VLOOKUP(M292,'WS11'!$B$2:$Q$475,12,0),0)</f>
        <v>5000</v>
      </c>
      <c r="P292" s="17">
        <f t="shared" si="18"/>
        <v>75000</v>
      </c>
      <c r="Q292" s="15">
        <f t="shared" si="19"/>
        <v>5</v>
      </c>
      <c r="R292" s="17">
        <f t="shared" si="19"/>
        <v>0</v>
      </c>
      <c r="S292" s="13" t="s">
        <v>543</v>
      </c>
    </row>
    <row r="293" spans="1:19" x14ac:dyDescent="0.25">
      <c r="A293" s="4" t="s">
        <v>156</v>
      </c>
      <c r="B293" s="5" t="s">
        <v>125</v>
      </c>
      <c r="C293" s="4" t="s">
        <v>117</v>
      </c>
      <c r="D293" s="5" t="s">
        <v>181</v>
      </c>
      <c r="E293" s="4" t="s">
        <v>87</v>
      </c>
      <c r="F293" s="4" t="s">
        <v>88</v>
      </c>
      <c r="G293" s="4" t="s">
        <v>16</v>
      </c>
      <c r="H293" s="6">
        <v>0.2</v>
      </c>
      <c r="I293" s="7">
        <v>220000</v>
      </c>
      <c r="J293" s="7">
        <f t="shared" si="16"/>
        <v>44000</v>
      </c>
      <c r="K293" s="8" t="s">
        <v>17</v>
      </c>
      <c r="L293" t="str">
        <f>IFERROR(VLOOKUP(F293,MÃ!$A:$B,2,0),0)</f>
        <v>NL300131</v>
      </c>
      <c r="M293" t="str">
        <f t="shared" si="17"/>
        <v>09/01/2026NL300131</v>
      </c>
      <c r="N293" s="15">
        <f>IFERROR(VLOOKUP(M293,'WS11'!$B$2:$Q$475,11,0),0)</f>
        <v>0.2</v>
      </c>
      <c r="O293" s="17">
        <f>IFERROR(VLOOKUP(M293,'WS11'!$B$2:$Q$475,12,0),0)</f>
        <v>220000</v>
      </c>
      <c r="P293" s="17">
        <f t="shared" si="18"/>
        <v>44000</v>
      </c>
      <c r="Q293" s="15">
        <f t="shared" si="19"/>
        <v>0</v>
      </c>
      <c r="R293" s="17">
        <f t="shared" si="19"/>
        <v>0</v>
      </c>
      <c r="S293" s="13"/>
    </row>
    <row r="294" spans="1:19" x14ac:dyDescent="0.25">
      <c r="A294" s="4" t="s">
        <v>156</v>
      </c>
      <c r="B294" s="5" t="s">
        <v>125</v>
      </c>
      <c r="C294" s="4" t="s">
        <v>117</v>
      </c>
      <c r="D294" s="5" t="s">
        <v>181</v>
      </c>
      <c r="E294" s="4" t="s">
        <v>54</v>
      </c>
      <c r="F294" s="4" t="s">
        <v>55</v>
      </c>
      <c r="G294" s="4" t="s">
        <v>16</v>
      </c>
      <c r="H294" s="6">
        <v>4</v>
      </c>
      <c r="I294" s="7">
        <v>62000</v>
      </c>
      <c r="J294" s="7">
        <f t="shared" si="16"/>
        <v>248000</v>
      </c>
      <c r="K294" s="8" t="s">
        <v>17</v>
      </c>
      <c r="L294" t="str">
        <f>IFERROR(VLOOKUP(F294,MÃ!$A:$B,2,0),0)</f>
        <v>NL300147</v>
      </c>
      <c r="M294" t="str">
        <f t="shared" si="17"/>
        <v>09/01/2026NL300147</v>
      </c>
      <c r="N294" s="15">
        <f>IFERROR(VLOOKUP(M294,'WS11'!$B$2:$Q$475,11,0),0)</f>
        <v>2</v>
      </c>
      <c r="O294" s="17">
        <f>IFERROR(VLOOKUP(M294,'WS11'!$B$2:$Q$475,12,0),0)</f>
        <v>62000</v>
      </c>
      <c r="P294" s="17">
        <f t="shared" si="18"/>
        <v>124000</v>
      </c>
      <c r="Q294" s="15">
        <f t="shared" si="19"/>
        <v>2</v>
      </c>
      <c r="R294" s="17">
        <f t="shared" si="19"/>
        <v>0</v>
      </c>
      <c r="S294" s="13" t="s">
        <v>543</v>
      </c>
    </row>
    <row r="295" spans="1:19" x14ac:dyDescent="0.25">
      <c r="A295" s="4" t="s">
        <v>158</v>
      </c>
      <c r="B295" s="5" t="s">
        <v>125</v>
      </c>
      <c r="C295" s="4" t="s">
        <v>117</v>
      </c>
      <c r="D295" s="5" t="s">
        <v>182</v>
      </c>
      <c r="E295" s="4" t="s">
        <v>18</v>
      </c>
      <c r="F295" s="4" t="s">
        <v>19</v>
      </c>
      <c r="G295" s="4" t="s">
        <v>16</v>
      </c>
      <c r="H295" s="6">
        <v>4</v>
      </c>
      <c r="I295" s="7">
        <v>15000</v>
      </c>
      <c r="J295" s="7">
        <f t="shared" si="16"/>
        <v>60000</v>
      </c>
      <c r="K295" s="8" t="s">
        <v>17</v>
      </c>
      <c r="L295" t="str">
        <f>IFERROR(VLOOKUP(F295,MÃ!$A:$B,2,0),0)</f>
        <v>NL300189</v>
      </c>
      <c r="M295" t="str">
        <f>""&amp;DAY(A295)&amp;"/01/2026"&amp;L295</f>
        <v>10/01/2026NL300189</v>
      </c>
      <c r="N295" s="15">
        <f>IFERROR(VLOOKUP(M295,'WS11'!$B$2:$Q$475,11,0),0)</f>
        <v>2</v>
      </c>
      <c r="O295" s="17">
        <f>IFERROR(VLOOKUP(M295,'WS11'!$B$2:$Q$475,12,0),0)</f>
        <v>15000</v>
      </c>
      <c r="P295" s="17">
        <f t="shared" si="18"/>
        <v>30000</v>
      </c>
      <c r="Q295" s="15">
        <f t="shared" si="19"/>
        <v>2</v>
      </c>
      <c r="R295" s="17">
        <f t="shared" si="19"/>
        <v>0</v>
      </c>
      <c r="S295" s="13" t="s">
        <v>543</v>
      </c>
    </row>
    <row r="296" spans="1:19" x14ac:dyDescent="0.25">
      <c r="A296" s="4" t="s">
        <v>158</v>
      </c>
      <c r="B296" s="5" t="s">
        <v>125</v>
      </c>
      <c r="C296" s="4" t="s">
        <v>117</v>
      </c>
      <c r="D296" s="5" t="s">
        <v>182</v>
      </c>
      <c r="E296" s="4" t="s">
        <v>56</v>
      </c>
      <c r="F296" s="4" t="s">
        <v>57</v>
      </c>
      <c r="G296" s="4" t="s">
        <v>58</v>
      </c>
      <c r="H296" s="6">
        <v>12</v>
      </c>
      <c r="I296" s="7">
        <v>8500</v>
      </c>
      <c r="J296" s="7">
        <f t="shared" si="16"/>
        <v>102000</v>
      </c>
      <c r="K296" s="8" t="s">
        <v>17</v>
      </c>
      <c r="L296" t="str">
        <f>IFERROR(VLOOKUP(F296,MÃ!$A:$B,2,0),0)</f>
        <v>NL300107</v>
      </c>
      <c r="M296" t="str">
        <f t="shared" ref="M296:M359" si="20">""&amp;DAY(A296)&amp;"/01/2026"&amp;L296</f>
        <v>10/01/2026NL300107</v>
      </c>
      <c r="N296" s="15">
        <f>IFERROR(VLOOKUP(M296,'WS11'!$B$2:$Q$475,11,0),0)</f>
        <v>10</v>
      </c>
      <c r="O296" s="17">
        <f>IFERROR(VLOOKUP(M296,'WS11'!$B$2:$Q$475,12,0),0)</f>
        <v>8500</v>
      </c>
      <c r="P296" s="17">
        <f t="shared" si="18"/>
        <v>85000</v>
      </c>
      <c r="Q296" s="15">
        <f t="shared" si="19"/>
        <v>2</v>
      </c>
      <c r="R296" s="17">
        <f t="shared" si="19"/>
        <v>0</v>
      </c>
      <c r="S296" s="13" t="s">
        <v>543</v>
      </c>
    </row>
    <row r="297" spans="1:19" x14ac:dyDescent="0.25">
      <c r="A297" s="4" t="s">
        <v>158</v>
      </c>
      <c r="B297" s="5" t="s">
        <v>125</v>
      </c>
      <c r="C297" s="4" t="s">
        <v>117</v>
      </c>
      <c r="D297" s="5" t="s">
        <v>182</v>
      </c>
      <c r="E297" s="4" t="s">
        <v>22</v>
      </c>
      <c r="F297" s="4" t="s">
        <v>23</v>
      </c>
      <c r="G297" s="4" t="s">
        <v>16</v>
      </c>
      <c r="H297" s="6">
        <v>3.3</v>
      </c>
      <c r="I297" s="7">
        <v>30000</v>
      </c>
      <c r="J297" s="7">
        <f t="shared" si="16"/>
        <v>99000</v>
      </c>
      <c r="K297" s="8" t="s">
        <v>17</v>
      </c>
      <c r="L297" t="str">
        <f>IFERROR(VLOOKUP(F297,MÃ!$A:$B,2,0),0)</f>
        <v>NL300007</v>
      </c>
      <c r="M297" t="str">
        <f t="shared" si="20"/>
        <v>10/01/2026NL300007</v>
      </c>
      <c r="N297" s="15">
        <f>IFERROR(VLOOKUP(M297,'WS11'!$B$2:$Q$475,11,0),0)</f>
        <v>1.4</v>
      </c>
      <c r="O297" s="17">
        <f>IFERROR(VLOOKUP(M297,'WS11'!$B$2:$Q$475,12,0),0)</f>
        <v>30000</v>
      </c>
      <c r="P297" s="17">
        <f t="shared" si="18"/>
        <v>42000</v>
      </c>
      <c r="Q297" s="15">
        <f t="shared" si="19"/>
        <v>1.9</v>
      </c>
      <c r="R297" s="17">
        <f t="shared" si="19"/>
        <v>0</v>
      </c>
      <c r="S297" s="13" t="s">
        <v>543</v>
      </c>
    </row>
    <row r="298" spans="1:19" x14ac:dyDescent="0.25">
      <c r="A298" s="4" t="s">
        <v>158</v>
      </c>
      <c r="B298" s="5" t="s">
        <v>125</v>
      </c>
      <c r="C298" s="4" t="s">
        <v>117</v>
      </c>
      <c r="D298" s="5" t="s">
        <v>182</v>
      </c>
      <c r="E298" s="4" t="s">
        <v>24</v>
      </c>
      <c r="F298" s="4" t="s">
        <v>25</v>
      </c>
      <c r="G298" s="4" t="s">
        <v>16</v>
      </c>
      <c r="H298" s="6">
        <v>8</v>
      </c>
      <c r="I298" s="7">
        <v>40000</v>
      </c>
      <c r="J298" s="7">
        <f t="shared" si="16"/>
        <v>320000</v>
      </c>
      <c r="K298" s="8" t="s">
        <v>17</v>
      </c>
      <c r="L298" t="str">
        <f>IFERROR(VLOOKUP(F298,MÃ!$A:$B,2,0),0)</f>
        <v>NL300008</v>
      </c>
      <c r="M298" t="str">
        <f t="shared" si="20"/>
        <v>10/01/2026NL300008</v>
      </c>
      <c r="N298" s="15">
        <f>IFERROR(VLOOKUP(M298,'WS11'!$B$2:$Q$475,11,0),0)</f>
        <v>4</v>
      </c>
      <c r="O298" s="17">
        <f>IFERROR(VLOOKUP(M298,'WS11'!$B$2:$Q$475,12,0),0)</f>
        <v>40000</v>
      </c>
      <c r="P298" s="17">
        <f t="shared" si="18"/>
        <v>160000</v>
      </c>
      <c r="Q298" s="15">
        <f t="shared" si="19"/>
        <v>4</v>
      </c>
      <c r="R298" s="17">
        <f t="shared" si="19"/>
        <v>0</v>
      </c>
      <c r="S298" s="13" t="s">
        <v>543</v>
      </c>
    </row>
    <row r="299" spans="1:19" x14ac:dyDescent="0.25">
      <c r="A299" s="4" t="s">
        <v>158</v>
      </c>
      <c r="B299" s="5" t="s">
        <v>125</v>
      </c>
      <c r="C299" s="4" t="s">
        <v>117</v>
      </c>
      <c r="D299" s="5" t="s">
        <v>182</v>
      </c>
      <c r="E299" s="4" t="s">
        <v>126</v>
      </c>
      <c r="F299" s="4" t="s">
        <v>127</v>
      </c>
      <c r="G299" s="4" t="s">
        <v>16</v>
      </c>
      <c r="H299" s="6">
        <v>4</v>
      </c>
      <c r="I299" s="7">
        <v>52000</v>
      </c>
      <c r="J299" s="7">
        <f t="shared" si="16"/>
        <v>208000</v>
      </c>
      <c r="K299" s="8" t="s">
        <v>17</v>
      </c>
      <c r="L299" t="str">
        <f>IFERROR(VLOOKUP(F299,MÃ!$A:$B,2,0),0)</f>
        <v>NL300137</v>
      </c>
      <c r="M299" t="str">
        <f t="shared" si="20"/>
        <v>10/01/2026NL300137</v>
      </c>
      <c r="N299" s="15">
        <f>IFERROR(VLOOKUP(M299,'WS11'!$B$2:$Q$475,11,0),0)</f>
        <v>2</v>
      </c>
      <c r="O299" s="17">
        <f>IFERROR(VLOOKUP(M299,'WS11'!$B$2:$Q$475,12,0),0)</f>
        <v>52000</v>
      </c>
      <c r="P299" s="17">
        <f t="shared" si="18"/>
        <v>104000</v>
      </c>
      <c r="Q299" s="15">
        <f t="shared" si="19"/>
        <v>2</v>
      </c>
      <c r="R299" s="17">
        <f t="shared" si="19"/>
        <v>0</v>
      </c>
      <c r="S299" s="13" t="s">
        <v>543</v>
      </c>
    </row>
    <row r="300" spans="1:19" x14ac:dyDescent="0.25">
      <c r="A300" s="4" t="s">
        <v>158</v>
      </c>
      <c r="B300" s="5" t="s">
        <v>125</v>
      </c>
      <c r="C300" s="4" t="s">
        <v>117</v>
      </c>
      <c r="D300" s="5" t="s">
        <v>182</v>
      </c>
      <c r="E300" s="4" t="s">
        <v>26</v>
      </c>
      <c r="F300" s="4" t="s">
        <v>27</v>
      </c>
      <c r="G300" s="4" t="s">
        <v>16</v>
      </c>
      <c r="H300" s="6">
        <v>0.5</v>
      </c>
      <c r="I300" s="7">
        <v>75000</v>
      </c>
      <c r="J300" s="7">
        <f t="shared" si="16"/>
        <v>37500</v>
      </c>
      <c r="K300" s="8" t="s">
        <v>17</v>
      </c>
      <c r="L300" t="str">
        <f>IFERROR(VLOOKUP(F300,MÃ!$A:$B,2,0),0)</f>
        <v>NL300028</v>
      </c>
      <c r="M300" t="str">
        <f t="shared" si="20"/>
        <v>10/01/2026NL300028</v>
      </c>
      <c r="N300" s="15">
        <f>IFERROR(VLOOKUP(M300,'WS11'!$B$2:$Q$475,11,0),0)</f>
        <v>0.4</v>
      </c>
      <c r="O300" s="17">
        <f>IFERROR(VLOOKUP(M300,'WS11'!$B$2:$Q$475,12,0),0)</f>
        <v>75000</v>
      </c>
      <c r="P300" s="17">
        <f t="shared" si="18"/>
        <v>30000</v>
      </c>
      <c r="Q300" s="15">
        <f t="shared" si="19"/>
        <v>9.9999999999999978E-2</v>
      </c>
      <c r="R300" s="17">
        <f t="shared" si="19"/>
        <v>0</v>
      </c>
      <c r="S300" s="13" t="s">
        <v>543</v>
      </c>
    </row>
    <row r="301" spans="1:19" x14ac:dyDescent="0.25">
      <c r="A301" s="4" t="s">
        <v>158</v>
      </c>
      <c r="B301" s="5" t="s">
        <v>125</v>
      </c>
      <c r="C301" s="4" t="s">
        <v>117</v>
      </c>
      <c r="D301" s="5" t="s">
        <v>182</v>
      </c>
      <c r="E301" s="4" t="s">
        <v>28</v>
      </c>
      <c r="F301" s="4" t="s">
        <v>29</v>
      </c>
      <c r="G301" s="4" t="s">
        <v>16</v>
      </c>
      <c r="H301" s="6">
        <v>2.9</v>
      </c>
      <c r="I301" s="7">
        <v>30000</v>
      </c>
      <c r="J301" s="7">
        <f t="shared" si="16"/>
        <v>87000</v>
      </c>
      <c r="K301" s="8" t="s">
        <v>17</v>
      </c>
      <c r="L301" t="str">
        <f>IFERROR(VLOOKUP(F301,MÃ!$A:$B,2,0),0)</f>
        <v>NL300020</v>
      </c>
      <c r="M301" t="str">
        <f t="shared" si="20"/>
        <v>10/01/2026NL300020</v>
      </c>
      <c r="N301" s="15">
        <f>IFERROR(VLOOKUP(M301,'WS11'!$B$2:$Q$475,11,0),0)</f>
        <v>0</v>
      </c>
      <c r="O301" s="17">
        <f>IFERROR(VLOOKUP(M301,'WS11'!$B$2:$Q$475,12,0),0)</f>
        <v>0</v>
      </c>
      <c r="P301" s="17">
        <f t="shared" si="18"/>
        <v>0</v>
      </c>
      <c r="Q301" s="15">
        <f t="shared" si="19"/>
        <v>2.9</v>
      </c>
      <c r="R301" s="17">
        <f t="shared" si="19"/>
        <v>30000</v>
      </c>
      <c r="S301" s="13" t="s">
        <v>540</v>
      </c>
    </row>
    <row r="302" spans="1:19" x14ac:dyDescent="0.25">
      <c r="A302" s="4" t="s">
        <v>158</v>
      </c>
      <c r="B302" s="5" t="s">
        <v>125</v>
      </c>
      <c r="C302" s="4" t="s">
        <v>117</v>
      </c>
      <c r="D302" s="5" t="s">
        <v>182</v>
      </c>
      <c r="E302" s="4" t="s">
        <v>59</v>
      </c>
      <c r="F302" s="4" t="s">
        <v>60</v>
      </c>
      <c r="G302" s="4" t="s">
        <v>16</v>
      </c>
      <c r="H302" s="6">
        <v>0.5</v>
      </c>
      <c r="I302" s="7">
        <v>75000</v>
      </c>
      <c r="J302" s="7">
        <f t="shared" si="16"/>
        <v>37500</v>
      </c>
      <c r="K302" s="8" t="s">
        <v>17</v>
      </c>
      <c r="L302" t="str">
        <f>IFERROR(VLOOKUP(F302,MÃ!$A:$B,2,0),0)</f>
        <v>NL600067</v>
      </c>
      <c r="M302" t="str">
        <f t="shared" si="20"/>
        <v>10/01/2026NL600067</v>
      </c>
      <c r="N302" s="15">
        <f>IFERROR(VLOOKUP(M302,'WS11'!$B$2:$Q$475,11,0),0)</f>
        <v>0.5</v>
      </c>
      <c r="O302" s="17">
        <f>IFERROR(VLOOKUP(M302,'WS11'!$B$2:$Q$475,12,0),0)</f>
        <v>75000</v>
      </c>
      <c r="P302" s="17">
        <f t="shared" si="18"/>
        <v>37500</v>
      </c>
      <c r="Q302" s="15">
        <f t="shared" si="19"/>
        <v>0</v>
      </c>
      <c r="R302" s="17">
        <f t="shared" si="19"/>
        <v>0</v>
      </c>
      <c r="S302" s="13"/>
    </row>
    <row r="303" spans="1:19" x14ac:dyDescent="0.25">
      <c r="A303" s="4" t="s">
        <v>158</v>
      </c>
      <c r="B303" s="5" t="s">
        <v>125</v>
      </c>
      <c r="C303" s="4" t="s">
        <v>117</v>
      </c>
      <c r="D303" s="5" t="s">
        <v>182</v>
      </c>
      <c r="E303" s="4" t="s">
        <v>89</v>
      </c>
      <c r="F303" s="4" t="s">
        <v>90</v>
      </c>
      <c r="G303" s="4" t="s">
        <v>16</v>
      </c>
      <c r="H303" s="6">
        <v>2.4</v>
      </c>
      <c r="I303" s="7">
        <v>44000</v>
      </c>
      <c r="J303" s="7">
        <f t="shared" si="16"/>
        <v>105600</v>
      </c>
      <c r="K303" s="8" t="s">
        <v>17</v>
      </c>
      <c r="L303" t="str">
        <f>IFERROR(VLOOKUP(F303,MÃ!$A:$B,2,0),0)</f>
        <v>NL300025</v>
      </c>
      <c r="M303" t="str">
        <f t="shared" si="20"/>
        <v>10/01/2026NL300025</v>
      </c>
      <c r="N303" s="15">
        <f>IFERROR(VLOOKUP(M303,'WS11'!$B$2:$Q$475,11,0),0)</f>
        <v>1.8</v>
      </c>
      <c r="O303" s="17">
        <f>IFERROR(VLOOKUP(M303,'WS11'!$B$2:$Q$475,12,0),0)</f>
        <v>44000</v>
      </c>
      <c r="P303" s="17">
        <f t="shared" si="18"/>
        <v>79200</v>
      </c>
      <c r="Q303" s="15">
        <f t="shared" si="19"/>
        <v>0.59999999999999987</v>
      </c>
      <c r="R303" s="17">
        <f t="shared" si="19"/>
        <v>0</v>
      </c>
      <c r="S303" s="13" t="s">
        <v>543</v>
      </c>
    </row>
    <row r="304" spans="1:19" x14ac:dyDescent="0.25">
      <c r="A304" s="4" t="s">
        <v>158</v>
      </c>
      <c r="B304" s="5" t="s">
        <v>125</v>
      </c>
      <c r="C304" s="4" t="s">
        <v>117</v>
      </c>
      <c r="D304" s="5" t="s">
        <v>182</v>
      </c>
      <c r="E304" s="4" t="s">
        <v>61</v>
      </c>
      <c r="F304" s="4" t="s">
        <v>62</v>
      </c>
      <c r="G304" s="4" t="s">
        <v>16</v>
      </c>
      <c r="H304" s="6">
        <v>0.5</v>
      </c>
      <c r="I304" s="7">
        <v>22000</v>
      </c>
      <c r="J304" s="7">
        <f t="shared" si="16"/>
        <v>11000</v>
      </c>
      <c r="K304" s="8" t="s">
        <v>17</v>
      </c>
      <c r="L304" t="str">
        <f>IFERROR(VLOOKUP(F304,MÃ!$A:$B,2,0),0)</f>
        <v>NL300029</v>
      </c>
      <c r="M304" t="str">
        <f t="shared" si="20"/>
        <v>10/01/2026NL300029</v>
      </c>
      <c r="N304" s="15">
        <f>IFERROR(VLOOKUP(M304,'WS11'!$B$2:$Q$475,11,0),0)</f>
        <v>0.5</v>
      </c>
      <c r="O304" s="17">
        <f>IFERROR(VLOOKUP(M304,'WS11'!$B$2:$Q$475,12,0),0)</f>
        <v>22000</v>
      </c>
      <c r="P304" s="17">
        <f t="shared" si="18"/>
        <v>11000</v>
      </c>
      <c r="Q304" s="15">
        <f t="shared" si="19"/>
        <v>0</v>
      </c>
      <c r="R304" s="17">
        <f t="shared" si="19"/>
        <v>0</v>
      </c>
      <c r="S304" s="13"/>
    </row>
    <row r="305" spans="1:19" x14ac:dyDescent="0.25">
      <c r="A305" s="4" t="s">
        <v>158</v>
      </c>
      <c r="B305" s="5" t="s">
        <v>125</v>
      </c>
      <c r="C305" s="4" t="s">
        <v>117</v>
      </c>
      <c r="D305" s="5" t="s">
        <v>182</v>
      </c>
      <c r="E305" s="4" t="s">
        <v>30</v>
      </c>
      <c r="F305" s="4" t="s">
        <v>31</v>
      </c>
      <c r="G305" s="4" t="s">
        <v>16</v>
      </c>
      <c r="H305" s="6">
        <v>1</v>
      </c>
      <c r="I305" s="7">
        <v>38000</v>
      </c>
      <c r="J305" s="7">
        <f t="shared" si="16"/>
        <v>38000</v>
      </c>
      <c r="K305" s="8" t="s">
        <v>17</v>
      </c>
      <c r="L305" t="str">
        <f>IFERROR(VLOOKUP(F305,MÃ!$A:$B,2,0),0)</f>
        <v>NL300054</v>
      </c>
      <c r="M305" t="str">
        <f t="shared" si="20"/>
        <v>10/01/2026NL300054</v>
      </c>
      <c r="N305" s="15">
        <f>IFERROR(VLOOKUP(M305,'WS11'!$B$2:$Q$475,11,0),0)</f>
        <v>0.7</v>
      </c>
      <c r="O305" s="17">
        <f>IFERROR(VLOOKUP(M305,'WS11'!$B$2:$Q$475,12,0),0)</f>
        <v>38000</v>
      </c>
      <c r="P305" s="17">
        <f t="shared" si="18"/>
        <v>26600</v>
      </c>
      <c r="Q305" s="15">
        <f t="shared" si="19"/>
        <v>0.30000000000000004</v>
      </c>
      <c r="R305" s="17">
        <f t="shared" si="19"/>
        <v>0</v>
      </c>
      <c r="S305" s="13" t="s">
        <v>543</v>
      </c>
    </row>
    <row r="306" spans="1:19" x14ac:dyDescent="0.25">
      <c r="A306" s="4" t="s">
        <v>158</v>
      </c>
      <c r="B306" s="5" t="s">
        <v>125</v>
      </c>
      <c r="C306" s="4" t="s">
        <v>117</v>
      </c>
      <c r="D306" s="5" t="s">
        <v>182</v>
      </c>
      <c r="E306" s="4" t="s">
        <v>34</v>
      </c>
      <c r="F306" s="4" t="s">
        <v>35</v>
      </c>
      <c r="G306" s="4" t="s">
        <v>16</v>
      </c>
      <c r="H306" s="6">
        <v>3</v>
      </c>
      <c r="I306" s="7">
        <v>32000</v>
      </c>
      <c r="J306" s="7">
        <f t="shared" si="16"/>
        <v>96000</v>
      </c>
      <c r="K306" s="8" t="s">
        <v>17</v>
      </c>
      <c r="L306" t="str">
        <f>IFERROR(VLOOKUP(F306,MÃ!$A:$B,2,0),0)</f>
        <v>NL300038</v>
      </c>
      <c r="M306" t="str">
        <f t="shared" si="20"/>
        <v>10/01/2026NL300038</v>
      </c>
      <c r="N306" s="15">
        <f>IFERROR(VLOOKUP(M306,'WS11'!$B$2:$Q$475,11,0),0)</f>
        <v>2.5</v>
      </c>
      <c r="O306" s="17">
        <f>IFERROR(VLOOKUP(M306,'WS11'!$B$2:$Q$475,12,0),0)</f>
        <v>32000</v>
      </c>
      <c r="P306" s="17">
        <f t="shared" si="18"/>
        <v>80000</v>
      </c>
      <c r="Q306" s="15">
        <f t="shared" si="19"/>
        <v>0.5</v>
      </c>
      <c r="R306" s="17">
        <f t="shared" si="19"/>
        <v>0</v>
      </c>
      <c r="S306" s="13" t="s">
        <v>543</v>
      </c>
    </row>
    <row r="307" spans="1:19" x14ac:dyDescent="0.25">
      <c r="A307" s="4" t="s">
        <v>158</v>
      </c>
      <c r="B307" s="5" t="s">
        <v>125</v>
      </c>
      <c r="C307" s="4" t="s">
        <v>117</v>
      </c>
      <c r="D307" s="5" t="s">
        <v>182</v>
      </c>
      <c r="E307" s="4" t="s">
        <v>97</v>
      </c>
      <c r="F307" s="4" t="s">
        <v>98</v>
      </c>
      <c r="G307" s="4" t="s">
        <v>99</v>
      </c>
      <c r="H307" s="6">
        <v>5</v>
      </c>
      <c r="I307" s="7">
        <v>15000</v>
      </c>
      <c r="J307" s="7">
        <f t="shared" si="16"/>
        <v>75000</v>
      </c>
      <c r="K307" s="8" t="s">
        <v>17</v>
      </c>
      <c r="L307" t="str">
        <f>IFERROR(VLOOKUP(F307,MÃ!$A:$B,2,0),0)</f>
        <v>NL300041</v>
      </c>
      <c r="M307" t="str">
        <f t="shared" si="20"/>
        <v>10/01/2026NL300041</v>
      </c>
      <c r="N307" s="15">
        <f>IFERROR(VLOOKUP(M307,'WS11'!$B$2:$Q$475,11,0),0)</f>
        <v>5</v>
      </c>
      <c r="O307" s="17">
        <f>IFERROR(VLOOKUP(M307,'WS11'!$B$2:$Q$475,12,0),0)</f>
        <v>15000</v>
      </c>
      <c r="P307" s="17">
        <f t="shared" si="18"/>
        <v>75000</v>
      </c>
      <c r="Q307" s="15">
        <f t="shared" si="19"/>
        <v>0</v>
      </c>
      <c r="R307" s="17">
        <f t="shared" si="19"/>
        <v>0</v>
      </c>
      <c r="S307" s="13"/>
    </row>
    <row r="308" spans="1:19" x14ac:dyDescent="0.25">
      <c r="A308" s="4" t="s">
        <v>158</v>
      </c>
      <c r="B308" s="5" t="s">
        <v>125</v>
      </c>
      <c r="C308" s="4" t="s">
        <v>117</v>
      </c>
      <c r="D308" s="5" t="s">
        <v>182</v>
      </c>
      <c r="E308" s="4" t="s">
        <v>36</v>
      </c>
      <c r="F308" s="4" t="s">
        <v>37</v>
      </c>
      <c r="G308" s="4" t="s">
        <v>16</v>
      </c>
      <c r="H308" s="6">
        <v>19</v>
      </c>
      <c r="I308" s="7">
        <v>18000</v>
      </c>
      <c r="J308" s="7">
        <f t="shared" si="16"/>
        <v>342000</v>
      </c>
      <c r="K308" s="8" t="s">
        <v>17</v>
      </c>
      <c r="L308" t="str">
        <f>IFERROR(VLOOKUP(F308,MÃ!$A:$B,2,0),0)</f>
        <v>NL600004</v>
      </c>
      <c r="M308" t="str">
        <f t="shared" si="20"/>
        <v>10/01/2026NL600004</v>
      </c>
      <c r="N308" s="15">
        <f>IFERROR(VLOOKUP(M308,'WS11'!$B$2:$Q$475,11,0),0)</f>
        <v>19</v>
      </c>
      <c r="O308" s="17">
        <f>IFERROR(VLOOKUP(M308,'WS11'!$B$2:$Q$475,12,0),0)</f>
        <v>18000</v>
      </c>
      <c r="P308" s="17">
        <f t="shared" si="18"/>
        <v>342000</v>
      </c>
      <c r="Q308" s="15">
        <f t="shared" si="19"/>
        <v>0</v>
      </c>
      <c r="R308" s="17">
        <f t="shared" si="19"/>
        <v>0</v>
      </c>
      <c r="S308" s="13"/>
    </row>
    <row r="309" spans="1:19" x14ac:dyDescent="0.25">
      <c r="A309" s="4" t="s">
        <v>158</v>
      </c>
      <c r="B309" s="5" t="s">
        <v>125</v>
      </c>
      <c r="C309" s="4" t="s">
        <v>117</v>
      </c>
      <c r="D309" s="5" t="s">
        <v>182</v>
      </c>
      <c r="E309" s="4" t="s">
        <v>38</v>
      </c>
      <c r="F309" s="4" t="s">
        <v>39</v>
      </c>
      <c r="G309" s="4" t="s">
        <v>16</v>
      </c>
      <c r="H309" s="6">
        <v>3</v>
      </c>
      <c r="I309" s="7">
        <v>55000</v>
      </c>
      <c r="J309" s="7">
        <f t="shared" si="16"/>
        <v>165000</v>
      </c>
      <c r="K309" s="8" t="s">
        <v>17</v>
      </c>
      <c r="L309" t="str">
        <f>IFERROR(VLOOKUP(F309,MÃ!$A:$B,2,0),0)</f>
        <v>NL300058</v>
      </c>
      <c r="M309" t="str">
        <f t="shared" si="20"/>
        <v>10/01/2026NL300058</v>
      </c>
      <c r="N309" s="15">
        <f>IFERROR(VLOOKUP(M309,'WS11'!$B$2:$Q$475,11,0),0)</f>
        <v>2.5</v>
      </c>
      <c r="O309" s="17">
        <f>IFERROR(VLOOKUP(M309,'WS11'!$B$2:$Q$475,12,0),0)</f>
        <v>55000</v>
      </c>
      <c r="P309" s="17">
        <f t="shared" si="18"/>
        <v>137500</v>
      </c>
      <c r="Q309" s="15">
        <f t="shared" si="19"/>
        <v>0.5</v>
      </c>
      <c r="R309" s="17">
        <f t="shared" si="19"/>
        <v>0</v>
      </c>
      <c r="S309" s="13" t="s">
        <v>543</v>
      </c>
    </row>
    <row r="310" spans="1:19" x14ac:dyDescent="0.25">
      <c r="A310" s="4" t="s">
        <v>158</v>
      </c>
      <c r="B310" s="5" t="s">
        <v>125</v>
      </c>
      <c r="C310" s="4" t="s">
        <v>117</v>
      </c>
      <c r="D310" s="5" t="s">
        <v>182</v>
      </c>
      <c r="E310" s="4" t="s">
        <v>115</v>
      </c>
      <c r="F310" s="4" t="s">
        <v>116</v>
      </c>
      <c r="G310" s="4" t="s">
        <v>16</v>
      </c>
      <c r="H310" s="6">
        <v>0.6</v>
      </c>
      <c r="I310" s="7">
        <v>38000</v>
      </c>
      <c r="J310" s="7">
        <f t="shared" si="16"/>
        <v>22800</v>
      </c>
      <c r="K310" s="8" t="s">
        <v>17</v>
      </c>
      <c r="L310" t="str">
        <f>IFERROR(VLOOKUP(F310,MÃ!$A:$B,2,0),0)</f>
        <v>NL300061</v>
      </c>
      <c r="M310" t="str">
        <f t="shared" si="20"/>
        <v>10/01/2026NL300061</v>
      </c>
      <c r="N310" s="15">
        <f>IFERROR(VLOOKUP(M310,'WS11'!$B$2:$Q$475,11,0),0)</f>
        <v>0.5</v>
      </c>
      <c r="O310" s="17">
        <f>IFERROR(VLOOKUP(M310,'WS11'!$B$2:$Q$475,12,0),0)</f>
        <v>38000</v>
      </c>
      <c r="P310" s="17">
        <f t="shared" si="18"/>
        <v>19000</v>
      </c>
      <c r="Q310" s="15">
        <f t="shared" si="19"/>
        <v>9.9999999999999978E-2</v>
      </c>
      <c r="R310" s="17">
        <f t="shared" si="19"/>
        <v>0</v>
      </c>
      <c r="S310" s="13" t="s">
        <v>543</v>
      </c>
    </row>
    <row r="311" spans="1:19" x14ac:dyDescent="0.25">
      <c r="A311" s="4" t="s">
        <v>158</v>
      </c>
      <c r="B311" s="5" t="s">
        <v>125</v>
      </c>
      <c r="C311" s="4" t="s">
        <v>117</v>
      </c>
      <c r="D311" s="5" t="s">
        <v>182</v>
      </c>
      <c r="E311" s="4" t="s">
        <v>63</v>
      </c>
      <c r="F311" s="4" t="s">
        <v>64</v>
      </c>
      <c r="G311" s="4" t="s">
        <v>16</v>
      </c>
      <c r="H311" s="6">
        <v>0.2</v>
      </c>
      <c r="I311" s="7">
        <v>65000</v>
      </c>
      <c r="J311" s="7">
        <f t="shared" si="16"/>
        <v>13000</v>
      </c>
      <c r="K311" s="8" t="s">
        <v>17</v>
      </c>
      <c r="L311" t="str">
        <f>IFERROR(VLOOKUP(F311,MÃ!$A:$B,2,0),0)</f>
        <v>NL300062</v>
      </c>
      <c r="M311" t="str">
        <f t="shared" si="20"/>
        <v>10/01/2026NL300062</v>
      </c>
      <c r="N311" s="15">
        <f>IFERROR(VLOOKUP(M311,'WS11'!$B$2:$Q$475,11,0),0)</f>
        <v>0.2</v>
      </c>
      <c r="O311" s="17">
        <f>IFERROR(VLOOKUP(M311,'WS11'!$B$2:$Q$475,12,0),0)</f>
        <v>65000</v>
      </c>
      <c r="P311" s="17">
        <f t="shared" si="18"/>
        <v>13000</v>
      </c>
      <c r="Q311" s="15">
        <f t="shared" si="19"/>
        <v>0</v>
      </c>
      <c r="R311" s="17">
        <f t="shared" si="19"/>
        <v>0</v>
      </c>
      <c r="S311" s="13"/>
    </row>
    <row r="312" spans="1:19" x14ac:dyDescent="0.25">
      <c r="A312" s="4" t="s">
        <v>158</v>
      </c>
      <c r="B312" s="5" t="s">
        <v>125</v>
      </c>
      <c r="C312" s="4" t="s">
        <v>117</v>
      </c>
      <c r="D312" s="5" t="s">
        <v>182</v>
      </c>
      <c r="E312" s="4" t="s">
        <v>65</v>
      </c>
      <c r="F312" s="4" t="s">
        <v>66</v>
      </c>
      <c r="G312" s="4" t="s">
        <v>16</v>
      </c>
      <c r="H312" s="6">
        <v>0.6</v>
      </c>
      <c r="I312" s="7">
        <v>23000</v>
      </c>
      <c r="J312" s="7">
        <f t="shared" si="16"/>
        <v>13800</v>
      </c>
      <c r="K312" s="8" t="s">
        <v>17</v>
      </c>
      <c r="L312" t="str">
        <f>IFERROR(VLOOKUP(F312,MÃ!$A:$B,2,0),0)</f>
        <v>NL300070</v>
      </c>
      <c r="M312" t="str">
        <f t="shared" si="20"/>
        <v>10/01/2026NL300070</v>
      </c>
      <c r="N312" s="15">
        <f>IFERROR(VLOOKUP(M312,'WS11'!$B$2:$Q$475,11,0),0)</f>
        <v>0.5</v>
      </c>
      <c r="O312" s="17">
        <f>IFERROR(VLOOKUP(M312,'WS11'!$B$2:$Q$475,12,0),0)</f>
        <v>23000</v>
      </c>
      <c r="P312" s="17">
        <f t="shared" si="18"/>
        <v>11500</v>
      </c>
      <c r="Q312" s="15">
        <f t="shared" si="19"/>
        <v>9.9999999999999978E-2</v>
      </c>
      <c r="R312" s="17">
        <f t="shared" si="19"/>
        <v>0</v>
      </c>
      <c r="S312" s="13" t="s">
        <v>543</v>
      </c>
    </row>
    <row r="313" spans="1:19" x14ac:dyDescent="0.25">
      <c r="A313" s="4" t="s">
        <v>158</v>
      </c>
      <c r="B313" s="5" t="s">
        <v>125</v>
      </c>
      <c r="C313" s="4" t="s">
        <v>117</v>
      </c>
      <c r="D313" s="5" t="s">
        <v>182</v>
      </c>
      <c r="E313" s="4" t="s">
        <v>14</v>
      </c>
      <c r="F313" s="4" t="s">
        <v>15</v>
      </c>
      <c r="G313" s="4" t="s">
        <v>16</v>
      </c>
      <c r="H313" s="6">
        <v>3</v>
      </c>
      <c r="I313" s="7">
        <v>27000</v>
      </c>
      <c r="J313" s="7">
        <f t="shared" si="16"/>
        <v>81000</v>
      </c>
      <c r="K313" s="8" t="s">
        <v>17</v>
      </c>
      <c r="L313" t="str">
        <f>IFERROR(VLOOKUP(F313,MÃ!$A:$B,2,0),0)</f>
        <v>NL300088</v>
      </c>
      <c r="M313" t="str">
        <f t="shared" si="20"/>
        <v>10/01/2026NL300088</v>
      </c>
      <c r="N313" s="15">
        <f>IFERROR(VLOOKUP(M313,'WS11'!$B$2:$Q$475,11,0),0)</f>
        <v>1.5</v>
      </c>
      <c r="O313" s="17">
        <f>IFERROR(VLOOKUP(M313,'WS11'!$B$2:$Q$475,12,0),0)</f>
        <v>27000</v>
      </c>
      <c r="P313" s="17">
        <f t="shared" si="18"/>
        <v>40500</v>
      </c>
      <c r="Q313" s="15">
        <f t="shared" si="19"/>
        <v>1.5</v>
      </c>
      <c r="R313" s="17">
        <f t="shared" si="19"/>
        <v>0</v>
      </c>
      <c r="S313" s="13" t="s">
        <v>543</v>
      </c>
    </row>
    <row r="314" spans="1:19" x14ac:dyDescent="0.25">
      <c r="A314" s="4" t="s">
        <v>158</v>
      </c>
      <c r="B314" s="5" t="s">
        <v>125</v>
      </c>
      <c r="C314" s="4" t="s">
        <v>117</v>
      </c>
      <c r="D314" s="5" t="s">
        <v>182</v>
      </c>
      <c r="E314" s="4" t="s">
        <v>69</v>
      </c>
      <c r="F314" s="4" t="s">
        <v>70</v>
      </c>
      <c r="G314" s="4" t="s">
        <v>16</v>
      </c>
      <c r="H314" s="6">
        <v>5</v>
      </c>
      <c r="I314" s="7">
        <v>145000</v>
      </c>
      <c r="J314" s="7">
        <f t="shared" si="16"/>
        <v>725000</v>
      </c>
      <c r="K314" s="8" t="s">
        <v>17</v>
      </c>
      <c r="L314" t="str">
        <f>IFERROR(VLOOKUP(F314,MÃ!$A:$B,2,0),0)</f>
        <v>NL300090</v>
      </c>
      <c r="M314" t="str">
        <f t="shared" si="20"/>
        <v>10/01/2026NL300090</v>
      </c>
      <c r="N314" s="15">
        <f>IFERROR(VLOOKUP(M314,'WS11'!$B$2:$Q$475,11,0),0)</f>
        <v>3</v>
      </c>
      <c r="O314" s="17">
        <f>IFERROR(VLOOKUP(M314,'WS11'!$B$2:$Q$475,12,0),0)</f>
        <v>145000</v>
      </c>
      <c r="P314" s="17">
        <f t="shared" si="18"/>
        <v>435000</v>
      </c>
      <c r="Q314" s="15">
        <f t="shared" si="19"/>
        <v>2</v>
      </c>
      <c r="R314" s="17">
        <f t="shared" si="19"/>
        <v>0</v>
      </c>
      <c r="S314" s="13" t="s">
        <v>543</v>
      </c>
    </row>
    <row r="315" spans="1:19" x14ac:dyDescent="0.25">
      <c r="A315" s="4" t="s">
        <v>158</v>
      </c>
      <c r="B315" s="5" t="s">
        <v>125</v>
      </c>
      <c r="C315" s="4" t="s">
        <v>117</v>
      </c>
      <c r="D315" s="5" t="s">
        <v>182</v>
      </c>
      <c r="E315" s="4" t="s">
        <v>71</v>
      </c>
      <c r="F315" s="4" t="s">
        <v>72</v>
      </c>
      <c r="G315" s="4" t="s">
        <v>16</v>
      </c>
      <c r="H315" s="6">
        <v>2</v>
      </c>
      <c r="I315" s="7">
        <v>47000</v>
      </c>
      <c r="J315" s="7">
        <f t="shared" si="16"/>
        <v>94000</v>
      </c>
      <c r="K315" s="8" t="s">
        <v>17</v>
      </c>
      <c r="L315" t="str">
        <f>IFERROR(VLOOKUP(F315,MÃ!$A:$B,2,0),0)</f>
        <v>NL300091</v>
      </c>
      <c r="M315" t="str">
        <f t="shared" si="20"/>
        <v>10/01/2026NL300091</v>
      </c>
      <c r="N315" s="15">
        <f>IFERROR(VLOOKUP(M315,'WS11'!$B$2:$Q$475,11,0),0)</f>
        <v>1.8</v>
      </c>
      <c r="O315" s="17">
        <f>IFERROR(VLOOKUP(M315,'WS11'!$B$2:$Q$475,12,0),0)</f>
        <v>47000</v>
      </c>
      <c r="P315" s="17">
        <f t="shared" si="18"/>
        <v>84600</v>
      </c>
      <c r="Q315" s="15">
        <f t="shared" si="19"/>
        <v>0.19999999999999996</v>
      </c>
      <c r="R315" s="17">
        <f t="shared" si="19"/>
        <v>0</v>
      </c>
      <c r="S315" s="13" t="s">
        <v>543</v>
      </c>
    </row>
    <row r="316" spans="1:19" x14ac:dyDescent="0.25">
      <c r="A316" s="4" t="s">
        <v>158</v>
      </c>
      <c r="B316" s="5" t="s">
        <v>125</v>
      </c>
      <c r="C316" s="4" t="s">
        <v>117</v>
      </c>
      <c r="D316" s="5" t="s">
        <v>182</v>
      </c>
      <c r="E316" s="4" t="s">
        <v>73</v>
      </c>
      <c r="F316" s="4" t="s">
        <v>74</v>
      </c>
      <c r="G316" s="4" t="s">
        <v>16</v>
      </c>
      <c r="H316" s="6">
        <v>2.1</v>
      </c>
      <c r="I316" s="7">
        <v>90000</v>
      </c>
      <c r="J316" s="7">
        <f t="shared" si="16"/>
        <v>189000</v>
      </c>
      <c r="K316" s="8" t="s">
        <v>17</v>
      </c>
      <c r="L316" t="str">
        <f>IFERROR(VLOOKUP(F316,MÃ!$A:$B,2,0),0)</f>
        <v>NL300092</v>
      </c>
      <c r="M316" t="str">
        <f t="shared" si="20"/>
        <v>10/01/2026NL300092</v>
      </c>
      <c r="N316" s="15">
        <f>IFERROR(VLOOKUP(M316,'WS11'!$B$2:$Q$475,11,0),0)</f>
        <v>1.9</v>
      </c>
      <c r="O316" s="17">
        <f>IFERROR(VLOOKUP(M316,'WS11'!$B$2:$Q$475,12,0),0)</f>
        <v>90000</v>
      </c>
      <c r="P316" s="17">
        <f t="shared" si="18"/>
        <v>171000</v>
      </c>
      <c r="Q316" s="15">
        <f t="shared" si="19"/>
        <v>0.20000000000000018</v>
      </c>
      <c r="R316" s="17">
        <f t="shared" si="19"/>
        <v>0</v>
      </c>
      <c r="S316" s="13" t="s">
        <v>543</v>
      </c>
    </row>
    <row r="317" spans="1:19" x14ac:dyDescent="0.25">
      <c r="A317" s="4" t="s">
        <v>158</v>
      </c>
      <c r="B317" s="5" t="s">
        <v>125</v>
      </c>
      <c r="C317" s="4" t="s">
        <v>117</v>
      </c>
      <c r="D317" s="5" t="s">
        <v>182</v>
      </c>
      <c r="E317" s="4" t="s">
        <v>100</v>
      </c>
      <c r="F317" s="4" t="s">
        <v>101</v>
      </c>
      <c r="G317" s="4" t="s">
        <v>16</v>
      </c>
      <c r="H317" s="6">
        <v>1</v>
      </c>
      <c r="I317" s="7">
        <v>80000</v>
      </c>
      <c r="J317" s="7">
        <f t="shared" si="16"/>
        <v>80000</v>
      </c>
      <c r="K317" s="8" t="s">
        <v>17</v>
      </c>
      <c r="L317" t="str">
        <f>IFERROR(VLOOKUP(F317,MÃ!$A:$B,2,0),0)</f>
        <v>NL300094</v>
      </c>
      <c r="M317" t="str">
        <f t="shared" si="20"/>
        <v>10/01/2026NL300094</v>
      </c>
      <c r="N317" s="15">
        <f>IFERROR(VLOOKUP(M317,'WS11'!$B$2:$Q$475,11,0),0)</f>
        <v>0.9</v>
      </c>
      <c r="O317" s="17">
        <f>IFERROR(VLOOKUP(M317,'WS11'!$B$2:$Q$475,12,0),0)</f>
        <v>80000</v>
      </c>
      <c r="P317" s="17">
        <f t="shared" si="18"/>
        <v>72000</v>
      </c>
      <c r="Q317" s="15">
        <f t="shared" si="19"/>
        <v>9.9999999999999978E-2</v>
      </c>
      <c r="R317" s="17">
        <f t="shared" si="19"/>
        <v>0</v>
      </c>
      <c r="S317" s="13" t="s">
        <v>543</v>
      </c>
    </row>
    <row r="318" spans="1:19" x14ac:dyDescent="0.25">
      <c r="A318" s="4" t="s">
        <v>158</v>
      </c>
      <c r="B318" s="5" t="s">
        <v>125</v>
      </c>
      <c r="C318" s="4" t="s">
        <v>117</v>
      </c>
      <c r="D318" s="5" t="s">
        <v>182</v>
      </c>
      <c r="E318" s="4" t="s">
        <v>44</v>
      </c>
      <c r="F318" s="4" t="s">
        <v>45</v>
      </c>
      <c r="G318" s="4" t="s">
        <v>16</v>
      </c>
      <c r="H318" s="6">
        <v>5</v>
      </c>
      <c r="I318" s="7">
        <v>45000</v>
      </c>
      <c r="J318" s="7">
        <f t="shared" si="16"/>
        <v>225000</v>
      </c>
      <c r="K318" s="8" t="s">
        <v>17</v>
      </c>
      <c r="L318" t="str">
        <f>IFERROR(VLOOKUP(F318,MÃ!$A:$B,2,0),0)</f>
        <v>NL300096</v>
      </c>
      <c r="M318" t="str">
        <f t="shared" si="20"/>
        <v>10/01/2026NL300096</v>
      </c>
      <c r="N318" s="15">
        <f>IFERROR(VLOOKUP(M318,'WS11'!$B$2:$Q$475,11,0),0)</f>
        <v>4.5</v>
      </c>
      <c r="O318" s="17">
        <f>IFERROR(VLOOKUP(M318,'WS11'!$B$2:$Q$475,12,0),0)</f>
        <v>45000</v>
      </c>
      <c r="P318" s="17">
        <f t="shared" si="18"/>
        <v>202500</v>
      </c>
      <c r="Q318" s="15">
        <f t="shared" si="19"/>
        <v>0.5</v>
      </c>
      <c r="R318" s="17">
        <f t="shared" si="19"/>
        <v>0</v>
      </c>
      <c r="S318" s="13" t="s">
        <v>543</v>
      </c>
    </row>
    <row r="319" spans="1:19" x14ac:dyDescent="0.25">
      <c r="A319" s="4" t="s">
        <v>158</v>
      </c>
      <c r="B319" s="5" t="s">
        <v>125</v>
      </c>
      <c r="C319" s="4" t="s">
        <v>117</v>
      </c>
      <c r="D319" s="5" t="s">
        <v>182</v>
      </c>
      <c r="E319" s="4" t="s">
        <v>75</v>
      </c>
      <c r="F319" s="4" t="s">
        <v>76</v>
      </c>
      <c r="G319" s="4" t="s">
        <v>16</v>
      </c>
      <c r="H319" s="6">
        <v>1.1000000000000001</v>
      </c>
      <c r="I319" s="7">
        <v>90000</v>
      </c>
      <c r="J319" s="7">
        <f t="shared" si="16"/>
        <v>99000.000000000015</v>
      </c>
      <c r="K319" s="8" t="s">
        <v>17</v>
      </c>
      <c r="L319" t="str">
        <f>IFERROR(VLOOKUP(F319,MÃ!$A:$B,2,0),0)</f>
        <v>NL300097</v>
      </c>
      <c r="M319" t="str">
        <f t="shared" si="20"/>
        <v>10/01/2026NL300097</v>
      </c>
      <c r="N319" s="15">
        <f>IFERROR(VLOOKUP(M319,'WS11'!$B$2:$Q$475,11,0),0)</f>
        <v>0.9</v>
      </c>
      <c r="O319" s="17">
        <f>IFERROR(VLOOKUP(M319,'WS11'!$B$2:$Q$475,12,0),0)</f>
        <v>90000</v>
      </c>
      <c r="P319" s="17">
        <f t="shared" si="18"/>
        <v>81000</v>
      </c>
      <c r="Q319" s="15">
        <f t="shared" si="19"/>
        <v>0.20000000000000007</v>
      </c>
      <c r="R319" s="17">
        <f t="shared" si="19"/>
        <v>0</v>
      </c>
      <c r="S319" s="13" t="s">
        <v>543</v>
      </c>
    </row>
    <row r="320" spans="1:19" x14ac:dyDescent="0.25">
      <c r="A320" s="4" t="s">
        <v>158</v>
      </c>
      <c r="B320" s="5" t="s">
        <v>125</v>
      </c>
      <c r="C320" s="4" t="s">
        <v>117</v>
      </c>
      <c r="D320" s="5" t="s">
        <v>182</v>
      </c>
      <c r="E320" s="4" t="s">
        <v>109</v>
      </c>
      <c r="F320" s="4" t="s">
        <v>110</v>
      </c>
      <c r="G320" s="4" t="s">
        <v>16</v>
      </c>
      <c r="H320" s="6">
        <v>0.9</v>
      </c>
      <c r="I320" s="7">
        <v>195000</v>
      </c>
      <c r="J320" s="7">
        <f t="shared" si="16"/>
        <v>175500</v>
      </c>
      <c r="K320" s="8" t="s">
        <v>17</v>
      </c>
      <c r="L320" t="str">
        <f>IFERROR(VLOOKUP(F320,MÃ!$A:$B,2,0),0)</f>
        <v>NL300101</v>
      </c>
      <c r="M320" t="str">
        <f t="shared" si="20"/>
        <v>10/01/2026NL300101</v>
      </c>
      <c r="N320" s="15">
        <f>IFERROR(VLOOKUP(M320,'WS11'!$B$2:$Q$475,11,0),0)</f>
        <v>0.7</v>
      </c>
      <c r="O320" s="17">
        <f>IFERROR(VLOOKUP(M320,'WS11'!$B$2:$Q$475,12,0),0)</f>
        <v>195000</v>
      </c>
      <c r="P320" s="17">
        <f t="shared" si="18"/>
        <v>136500</v>
      </c>
      <c r="Q320" s="15">
        <f t="shared" si="19"/>
        <v>0.20000000000000007</v>
      </c>
      <c r="R320" s="17">
        <f t="shared" si="19"/>
        <v>0</v>
      </c>
      <c r="S320" s="13" t="s">
        <v>543</v>
      </c>
    </row>
    <row r="321" spans="1:19" x14ac:dyDescent="0.25">
      <c r="A321" s="4" t="s">
        <v>158</v>
      </c>
      <c r="B321" s="5" t="s">
        <v>125</v>
      </c>
      <c r="C321" s="4" t="s">
        <v>117</v>
      </c>
      <c r="D321" s="5" t="s">
        <v>182</v>
      </c>
      <c r="E321" s="4" t="s">
        <v>77</v>
      </c>
      <c r="F321" s="4" t="s">
        <v>78</v>
      </c>
      <c r="G321" s="4" t="s">
        <v>16</v>
      </c>
      <c r="H321" s="6">
        <v>3</v>
      </c>
      <c r="I321" s="7">
        <v>45000</v>
      </c>
      <c r="J321" s="7">
        <f t="shared" si="16"/>
        <v>135000</v>
      </c>
      <c r="K321" s="8" t="s">
        <v>17</v>
      </c>
      <c r="L321" t="str">
        <f>IFERROR(VLOOKUP(F321,MÃ!$A:$B,2,0),0)</f>
        <v>NL300085</v>
      </c>
      <c r="M321" t="str">
        <f t="shared" si="20"/>
        <v>10/01/2026NL300085</v>
      </c>
      <c r="N321" s="15">
        <f>IFERROR(VLOOKUP(M321,'WS11'!$B$2:$Q$475,11,0),0)</f>
        <v>2.5</v>
      </c>
      <c r="O321" s="17">
        <f>IFERROR(VLOOKUP(M321,'WS11'!$B$2:$Q$475,12,0),0)</f>
        <v>45000</v>
      </c>
      <c r="P321" s="17">
        <f t="shared" si="18"/>
        <v>112500</v>
      </c>
      <c r="Q321" s="15">
        <f t="shared" si="19"/>
        <v>0.5</v>
      </c>
      <c r="R321" s="17">
        <f t="shared" si="19"/>
        <v>0</v>
      </c>
      <c r="S321" s="13" t="s">
        <v>543</v>
      </c>
    </row>
    <row r="322" spans="1:19" x14ac:dyDescent="0.25">
      <c r="A322" s="4" t="s">
        <v>158</v>
      </c>
      <c r="B322" s="5" t="s">
        <v>125</v>
      </c>
      <c r="C322" s="4" t="s">
        <v>117</v>
      </c>
      <c r="D322" s="5" t="s">
        <v>182</v>
      </c>
      <c r="E322" s="4" t="s">
        <v>102</v>
      </c>
      <c r="F322" s="4" t="s">
        <v>103</v>
      </c>
      <c r="G322" s="4" t="s">
        <v>16</v>
      </c>
      <c r="H322" s="6">
        <v>1.2</v>
      </c>
      <c r="I322" s="7">
        <v>145000</v>
      </c>
      <c r="J322" s="7">
        <f t="shared" si="16"/>
        <v>174000</v>
      </c>
      <c r="K322" s="8" t="s">
        <v>17</v>
      </c>
      <c r="L322" t="str">
        <f>IFERROR(VLOOKUP(F322,MÃ!$A:$B,2,0),0)</f>
        <v>NL300113</v>
      </c>
      <c r="M322" t="str">
        <f t="shared" si="20"/>
        <v>10/01/2026NL300113</v>
      </c>
      <c r="N322" s="15">
        <f>IFERROR(VLOOKUP(M322,'WS11'!$B$2:$Q$475,11,0),0)</f>
        <v>1</v>
      </c>
      <c r="O322" s="17">
        <f>IFERROR(VLOOKUP(M322,'WS11'!$B$2:$Q$475,12,0),0)</f>
        <v>145000</v>
      </c>
      <c r="P322" s="17">
        <f t="shared" si="18"/>
        <v>145000</v>
      </c>
      <c r="Q322" s="15">
        <f t="shared" si="19"/>
        <v>0.19999999999999996</v>
      </c>
      <c r="R322" s="17">
        <f t="shared" si="19"/>
        <v>0</v>
      </c>
      <c r="S322" s="13" t="s">
        <v>543</v>
      </c>
    </row>
    <row r="323" spans="1:19" x14ac:dyDescent="0.25">
      <c r="A323" s="4" t="s">
        <v>158</v>
      </c>
      <c r="B323" s="5" t="s">
        <v>125</v>
      </c>
      <c r="C323" s="4" t="s">
        <v>117</v>
      </c>
      <c r="D323" s="5" t="s">
        <v>182</v>
      </c>
      <c r="E323" s="4" t="s">
        <v>46</v>
      </c>
      <c r="F323" s="4" t="s">
        <v>47</v>
      </c>
      <c r="G323" s="4" t="s">
        <v>16</v>
      </c>
      <c r="H323" s="6">
        <v>0.5</v>
      </c>
      <c r="I323" s="7">
        <v>148000</v>
      </c>
      <c r="J323" s="7">
        <f t="shared" si="16"/>
        <v>74000</v>
      </c>
      <c r="K323" s="8" t="s">
        <v>17</v>
      </c>
      <c r="L323" t="str">
        <f>IFERROR(VLOOKUP(F323,MÃ!$A:$B,2,0),0)</f>
        <v>NL300116</v>
      </c>
      <c r="M323" t="str">
        <f t="shared" si="20"/>
        <v>10/01/2026NL300116</v>
      </c>
      <c r="N323" s="15">
        <f>IFERROR(VLOOKUP(M323,'WS11'!$B$2:$Q$475,11,0),0)</f>
        <v>0.4</v>
      </c>
      <c r="O323" s="17">
        <f>IFERROR(VLOOKUP(M323,'WS11'!$B$2:$Q$475,12,0),0)</f>
        <v>148000</v>
      </c>
      <c r="P323" s="17">
        <f t="shared" si="18"/>
        <v>59200</v>
      </c>
      <c r="Q323" s="15">
        <f t="shared" si="19"/>
        <v>9.9999999999999978E-2</v>
      </c>
      <c r="R323" s="17">
        <f t="shared" si="19"/>
        <v>0</v>
      </c>
      <c r="S323" s="13" t="s">
        <v>543</v>
      </c>
    </row>
    <row r="324" spans="1:19" x14ac:dyDescent="0.25">
      <c r="A324" s="4" t="s">
        <v>158</v>
      </c>
      <c r="B324" s="5" t="s">
        <v>125</v>
      </c>
      <c r="C324" s="4" t="s">
        <v>117</v>
      </c>
      <c r="D324" s="5" t="s">
        <v>182</v>
      </c>
      <c r="E324" s="4" t="s">
        <v>48</v>
      </c>
      <c r="F324" s="4" t="s">
        <v>49</v>
      </c>
      <c r="G324" s="4" t="s">
        <v>16</v>
      </c>
      <c r="H324" s="6">
        <v>0.6</v>
      </c>
      <c r="I324" s="7">
        <v>42000</v>
      </c>
      <c r="J324" s="7">
        <f t="shared" si="16"/>
        <v>25200</v>
      </c>
      <c r="K324" s="8" t="s">
        <v>17</v>
      </c>
      <c r="L324" t="str">
        <f>IFERROR(VLOOKUP(F324,MÃ!$A:$B,2,0),0)</f>
        <v>NL300125</v>
      </c>
      <c r="M324" t="str">
        <f t="shared" si="20"/>
        <v>10/01/2026NL300125</v>
      </c>
      <c r="N324" s="15">
        <f>IFERROR(VLOOKUP(M324,'WS11'!$B$2:$Q$475,11,0),0)</f>
        <v>0.6</v>
      </c>
      <c r="O324" s="17">
        <f>IFERROR(VLOOKUP(M324,'WS11'!$B$2:$Q$475,12,0),0)</f>
        <v>42000</v>
      </c>
      <c r="P324" s="17">
        <f t="shared" si="18"/>
        <v>25200</v>
      </c>
      <c r="Q324" s="15">
        <f t="shared" si="19"/>
        <v>0</v>
      </c>
      <c r="R324" s="17">
        <f t="shared" si="19"/>
        <v>0</v>
      </c>
      <c r="S324" s="13"/>
    </row>
    <row r="325" spans="1:19" x14ac:dyDescent="0.25">
      <c r="A325" s="4" t="s">
        <v>158</v>
      </c>
      <c r="B325" s="5" t="s">
        <v>125</v>
      </c>
      <c r="C325" s="4" t="s">
        <v>117</v>
      </c>
      <c r="D325" s="5" t="s">
        <v>182</v>
      </c>
      <c r="E325" s="4" t="s">
        <v>81</v>
      </c>
      <c r="F325" s="4" t="s">
        <v>82</v>
      </c>
      <c r="G325" s="4" t="s">
        <v>16</v>
      </c>
      <c r="H325" s="6">
        <v>0.5</v>
      </c>
      <c r="I325" s="7">
        <v>12000</v>
      </c>
      <c r="J325" s="7">
        <f t="shared" si="16"/>
        <v>6000</v>
      </c>
      <c r="K325" s="8" t="s">
        <v>17</v>
      </c>
      <c r="L325" t="str">
        <f>IFERROR(VLOOKUP(F325,MÃ!$A:$B,2,0),0)</f>
        <v>NL300132</v>
      </c>
      <c r="M325" t="str">
        <f t="shared" si="20"/>
        <v>10/01/2026NL300132</v>
      </c>
      <c r="N325" s="15">
        <f>IFERROR(VLOOKUP(M325,'WS11'!$B$2:$Q$475,11,0),0)</f>
        <v>0.4</v>
      </c>
      <c r="O325" s="17">
        <f>IFERROR(VLOOKUP(M325,'WS11'!$B$2:$Q$475,12,0),0)</f>
        <v>12000</v>
      </c>
      <c r="P325" s="17">
        <f t="shared" si="18"/>
        <v>4800</v>
      </c>
      <c r="Q325" s="15">
        <f t="shared" si="19"/>
        <v>9.9999999999999978E-2</v>
      </c>
      <c r="R325" s="17">
        <f t="shared" si="19"/>
        <v>0</v>
      </c>
      <c r="S325" s="13" t="s">
        <v>543</v>
      </c>
    </row>
    <row r="326" spans="1:19" x14ac:dyDescent="0.25">
      <c r="A326" s="4" t="s">
        <v>158</v>
      </c>
      <c r="B326" s="5" t="s">
        <v>125</v>
      </c>
      <c r="C326" s="4" t="s">
        <v>117</v>
      </c>
      <c r="D326" s="5" t="s">
        <v>182</v>
      </c>
      <c r="E326" s="4" t="s">
        <v>52</v>
      </c>
      <c r="F326" s="4" t="s">
        <v>53</v>
      </c>
      <c r="G326" s="4" t="s">
        <v>16</v>
      </c>
      <c r="H326" s="6">
        <v>1.6</v>
      </c>
      <c r="I326" s="7">
        <v>21000</v>
      </c>
      <c r="J326" s="7">
        <f t="shared" si="16"/>
        <v>33600</v>
      </c>
      <c r="K326" s="8" t="s">
        <v>17</v>
      </c>
      <c r="L326" t="str">
        <f>IFERROR(VLOOKUP(F326,MÃ!$A:$B,2,0),0)</f>
        <v>NL300119</v>
      </c>
      <c r="M326" t="str">
        <f t="shared" si="20"/>
        <v>10/01/2026NL300119</v>
      </c>
      <c r="N326" s="15">
        <f>IFERROR(VLOOKUP(M326,'WS11'!$B$2:$Q$475,11,0),0)</f>
        <v>1</v>
      </c>
      <c r="O326" s="17">
        <f>IFERROR(VLOOKUP(M326,'WS11'!$B$2:$Q$475,12,0),0)</f>
        <v>21000</v>
      </c>
      <c r="P326" s="17">
        <f t="shared" si="18"/>
        <v>21000</v>
      </c>
      <c r="Q326" s="15">
        <f t="shared" si="19"/>
        <v>0.60000000000000009</v>
      </c>
      <c r="R326" s="17">
        <f t="shared" si="19"/>
        <v>0</v>
      </c>
      <c r="S326" s="13" t="s">
        <v>543</v>
      </c>
    </row>
    <row r="327" spans="1:19" x14ac:dyDescent="0.25">
      <c r="A327" s="4" t="s">
        <v>158</v>
      </c>
      <c r="B327" s="5" t="s">
        <v>125</v>
      </c>
      <c r="C327" s="4" t="s">
        <v>117</v>
      </c>
      <c r="D327" s="5" t="s">
        <v>182</v>
      </c>
      <c r="E327" s="4" t="s">
        <v>85</v>
      </c>
      <c r="F327" s="4" t="s">
        <v>86</v>
      </c>
      <c r="G327" s="4" t="s">
        <v>16</v>
      </c>
      <c r="H327" s="6">
        <v>1.5</v>
      </c>
      <c r="I327" s="7">
        <v>50000</v>
      </c>
      <c r="J327" s="7">
        <f t="shared" si="16"/>
        <v>75000</v>
      </c>
      <c r="K327" s="8" t="s">
        <v>17</v>
      </c>
      <c r="L327" t="str">
        <f>IFERROR(VLOOKUP(F327,MÃ!$A:$B,2,0),0)</f>
        <v>NL300142</v>
      </c>
      <c r="M327" t="str">
        <f t="shared" si="20"/>
        <v>10/01/2026NL300142</v>
      </c>
      <c r="N327" s="15">
        <f>IFERROR(VLOOKUP(M327,'WS11'!$B$2:$Q$475,11,0),0)</f>
        <v>1.5</v>
      </c>
      <c r="O327" s="17">
        <f>IFERROR(VLOOKUP(M327,'WS11'!$B$2:$Q$475,12,0),0)</f>
        <v>50000</v>
      </c>
      <c r="P327" s="17">
        <f t="shared" si="18"/>
        <v>75000</v>
      </c>
      <c r="Q327" s="15">
        <f t="shared" si="19"/>
        <v>0</v>
      </c>
      <c r="R327" s="17">
        <f t="shared" si="19"/>
        <v>0</v>
      </c>
      <c r="S327" s="13"/>
    </row>
    <row r="328" spans="1:19" x14ac:dyDescent="0.25">
      <c r="A328" s="4" t="s">
        <v>158</v>
      </c>
      <c r="B328" s="5" t="s">
        <v>125</v>
      </c>
      <c r="C328" s="4" t="s">
        <v>117</v>
      </c>
      <c r="D328" s="5" t="s">
        <v>182</v>
      </c>
      <c r="E328" s="4" t="s">
        <v>106</v>
      </c>
      <c r="F328" s="4" t="s">
        <v>107</v>
      </c>
      <c r="G328" s="4" t="s">
        <v>108</v>
      </c>
      <c r="H328" s="6">
        <v>70</v>
      </c>
      <c r="I328" s="7">
        <v>5000</v>
      </c>
      <c r="J328" s="7">
        <f t="shared" si="16"/>
        <v>350000</v>
      </c>
      <c r="K328" s="8" t="s">
        <v>17</v>
      </c>
      <c r="L328" t="str">
        <f>IFERROR(VLOOKUP(F328,MÃ!$A:$B,2,0),0)</f>
        <v>NL100101</v>
      </c>
      <c r="M328" t="str">
        <f t="shared" si="20"/>
        <v>10/01/2026NL100101</v>
      </c>
      <c r="N328" s="15">
        <f>IFERROR(VLOOKUP(M328,'WS11'!$B$2:$Q$475,11,0),0)</f>
        <v>60</v>
      </c>
      <c r="O328" s="17">
        <f>IFERROR(VLOOKUP(M328,'WS11'!$B$2:$Q$475,12,0),0)</f>
        <v>5000</v>
      </c>
      <c r="P328" s="17">
        <f t="shared" si="18"/>
        <v>300000</v>
      </c>
      <c r="Q328" s="15">
        <f t="shared" si="19"/>
        <v>10</v>
      </c>
      <c r="R328" s="17">
        <f t="shared" si="19"/>
        <v>0</v>
      </c>
      <c r="S328" s="13" t="s">
        <v>543</v>
      </c>
    </row>
    <row r="329" spans="1:19" x14ac:dyDescent="0.25">
      <c r="A329" s="4" t="s">
        <v>158</v>
      </c>
      <c r="B329" s="5" t="s">
        <v>125</v>
      </c>
      <c r="C329" s="4" t="s">
        <v>117</v>
      </c>
      <c r="D329" s="5" t="s">
        <v>182</v>
      </c>
      <c r="E329" s="4" t="s">
        <v>87</v>
      </c>
      <c r="F329" s="4" t="s">
        <v>88</v>
      </c>
      <c r="G329" s="4" t="s">
        <v>16</v>
      </c>
      <c r="H329" s="6">
        <v>0.1</v>
      </c>
      <c r="I329" s="7">
        <v>220000</v>
      </c>
      <c r="J329" s="7">
        <f t="shared" si="16"/>
        <v>22000</v>
      </c>
      <c r="K329" s="8" t="s">
        <v>17</v>
      </c>
      <c r="L329" t="str">
        <f>IFERROR(VLOOKUP(F329,MÃ!$A:$B,2,0),0)</f>
        <v>NL300131</v>
      </c>
      <c r="M329" t="str">
        <f t="shared" si="20"/>
        <v>10/01/2026NL300131</v>
      </c>
      <c r="N329" s="15">
        <f>IFERROR(VLOOKUP(M329,'WS11'!$B$2:$Q$475,11,0),0)</f>
        <v>0.1</v>
      </c>
      <c r="O329" s="17">
        <f>IFERROR(VLOOKUP(M329,'WS11'!$B$2:$Q$475,12,0),0)</f>
        <v>220000</v>
      </c>
      <c r="P329" s="17">
        <f t="shared" si="18"/>
        <v>22000</v>
      </c>
      <c r="Q329" s="15">
        <f t="shared" si="19"/>
        <v>0</v>
      </c>
      <c r="R329" s="17">
        <f t="shared" si="19"/>
        <v>0</v>
      </c>
      <c r="S329" s="13"/>
    </row>
    <row r="330" spans="1:19" x14ac:dyDescent="0.25">
      <c r="A330" s="4" t="s">
        <v>158</v>
      </c>
      <c r="B330" s="5" t="s">
        <v>125</v>
      </c>
      <c r="C330" s="4" t="s">
        <v>117</v>
      </c>
      <c r="D330" s="5" t="s">
        <v>182</v>
      </c>
      <c r="E330" s="4" t="s">
        <v>54</v>
      </c>
      <c r="F330" s="4" t="s">
        <v>55</v>
      </c>
      <c r="G330" s="4" t="s">
        <v>16</v>
      </c>
      <c r="H330" s="6">
        <v>5.4</v>
      </c>
      <c r="I330" s="7">
        <v>62000</v>
      </c>
      <c r="J330" s="7">
        <f t="shared" si="16"/>
        <v>334800</v>
      </c>
      <c r="K330" s="8" t="s">
        <v>17</v>
      </c>
      <c r="L330" t="str">
        <f>IFERROR(VLOOKUP(F330,MÃ!$A:$B,2,0),0)</f>
        <v>NL300147</v>
      </c>
      <c r="M330" t="str">
        <f t="shared" si="20"/>
        <v>10/01/2026NL300147</v>
      </c>
      <c r="N330" s="15">
        <f>IFERROR(VLOOKUP(M330,'WS11'!$B$2:$Q$475,11,0),0)</f>
        <v>3</v>
      </c>
      <c r="O330" s="17">
        <f>IFERROR(VLOOKUP(M330,'WS11'!$B$2:$Q$475,12,0),0)</f>
        <v>62000</v>
      </c>
      <c r="P330" s="17">
        <f t="shared" si="18"/>
        <v>186000</v>
      </c>
      <c r="Q330" s="15">
        <f t="shared" si="19"/>
        <v>2.4000000000000004</v>
      </c>
      <c r="R330" s="17">
        <f t="shared" si="19"/>
        <v>0</v>
      </c>
      <c r="S330" s="13" t="s">
        <v>543</v>
      </c>
    </row>
    <row r="331" spans="1:19" x14ac:dyDescent="0.25">
      <c r="A331" s="4" t="s">
        <v>160</v>
      </c>
      <c r="B331" s="5" t="s">
        <v>125</v>
      </c>
      <c r="C331" s="4" t="s">
        <v>117</v>
      </c>
      <c r="D331" s="5" t="s">
        <v>183</v>
      </c>
      <c r="E331" s="4" t="s">
        <v>18</v>
      </c>
      <c r="F331" s="4" t="s">
        <v>19</v>
      </c>
      <c r="G331" s="4" t="s">
        <v>16</v>
      </c>
      <c r="H331" s="6">
        <v>2.6</v>
      </c>
      <c r="I331" s="7">
        <v>15000</v>
      </c>
      <c r="J331" s="7">
        <f t="shared" si="16"/>
        <v>39000</v>
      </c>
      <c r="K331" s="8" t="s">
        <v>17</v>
      </c>
      <c r="L331" t="str">
        <f>IFERROR(VLOOKUP(F331,MÃ!$A:$B,2,0),0)</f>
        <v>NL300189</v>
      </c>
      <c r="M331" t="str">
        <f t="shared" si="20"/>
        <v>11/01/2026NL300189</v>
      </c>
      <c r="N331" s="15">
        <f>IFERROR(VLOOKUP(M331,'WS11'!$B$2:$Q$475,11,0),0)</f>
        <v>1</v>
      </c>
      <c r="O331" s="17">
        <f>IFERROR(VLOOKUP(M331,'WS11'!$B$2:$Q$475,12,0),0)</f>
        <v>15000</v>
      </c>
      <c r="P331" s="17">
        <f t="shared" si="18"/>
        <v>15000</v>
      </c>
      <c r="Q331" s="15">
        <f t="shared" si="19"/>
        <v>1.6</v>
      </c>
      <c r="R331" s="17">
        <f t="shared" si="19"/>
        <v>0</v>
      </c>
      <c r="S331" s="13" t="s">
        <v>543</v>
      </c>
    </row>
    <row r="332" spans="1:19" x14ac:dyDescent="0.25">
      <c r="A332" s="4" t="s">
        <v>160</v>
      </c>
      <c r="B332" s="5" t="s">
        <v>125</v>
      </c>
      <c r="C332" s="4" t="s">
        <v>117</v>
      </c>
      <c r="D332" s="5" t="s">
        <v>183</v>
      </c>
      <c r="E332" s="4" t="s">
        <v>56</v>
      </c>
      <c r="F332" s="4" t="s">
        <v>57</v>
      </c>
      <c r="G332" s="4" t="s">
        <v>58</v>
      </c>
      <c r="H332" s="6">
        <v>12</v>
      </c>
      <c r="I332" s="7">
        <v>8500</v>
      </c>
      <c r="J332" s="7">
        <f t="shared" si="16"/>
        <v>102000</v>
      </c>
      <c r="K332" s="8" t="s">
        <v>17</v>
      </c>
      <c r="L332" t="str">
        <f>IFERROR(VLOOKUP(F332,MÃ!$A:$B,2,0),0)</f>
        <v>NL300107</v>
      </c>
      <c r="M332" t="str">
        <f t="shared" si="20"/>
        <v>11/01/2026NL300107</v>
      </c>
      <c r="N332" s="15">
        <f>IFERROR(VLOOKUP(M332,'WS11'!$B$2:$Q$475,11,0),0)</f>
        <v>10</v>
      </c>
      <c r="O332" s="17">
        <f>IFERROR(VLOOKUP(M332,'WS11'!$B$2:$Q$475,12,0),0)</f>
        <v>8500</v>
      </c>
      <c r="P332" s="17">
        <f t="shared" si="18"/>
        <v>85000</v>
      </c>
      <c r="Q332" s="15">
        <f t="shared" si="19"/>
        <v>2</v>
      </c>
      <c r="R332" s="17">
        <f t="shared" si="19"/>
        <v>0</v>
      </c>
      <c r="S332" s="13" t="s">
        <v>543</v>
      </c>
    </row>
    <row r="333" spans="1:19" x14ac:dyDescent="0.25">
      <c r="A333" s="4" t="s">
        <v>160</v>
      </c>
      <c r="B333" s="5" t="s">
        <v>125</v>
      </c>
      <c r="C333" s="4" t="s">
        <v>117</v>
      </c>
      <c r="D333" s="5" t="s">
        <v>183</v>
      </c>
      <c r="E333" s="4" t="s">
        <v>22</v>
      </c>
      <c r="F333" s="4" t="s">
        <v>23</v>
      </c>
      <c r="G333" s="4" t="s">
        <v>16</v>
      </c>
      <c r="H333" s="6">
        <v>3</v>
      </c>
      <c r="I333" s="7">
        <v>30000</v>
      </c>
      <c r="J333" s="7">
        <f t="shared" si="16"/>
        <v>90000</v>
      </c>
      <c r="K333" s="8" t="s">
        <v>17</v>
      </c>
      <c r="L333" t="str">
        <f>IFERROR(VLOOKUP(F333,MÃ!$A:$B,2,0),0)</f>
        <v>NL300007</v>
      </c>
      <c r="M333" t="str">
        <f t="shared" si="20"/>
        <v>11/01/2026NL300007</v>
      </c>
      <c r="N333" s="15">
        <f>IFERROR(VLOOKUP(M333,'WS11'!$B$2:$Q$475,11,0),0)</f>
        <v>2</v>
      </c>
      <c r="O333" s="17">
        <f>IFERROR(VLOOKUP(M333,'WS11'!$B$2:$Q$475,12,0),0)</f>
        <v>30000</v>
      </c>
      <c r="P333" s="17">
        <f t="shared" si="18"/>
        <v>60000</v>
      </c>
      <c r="Q333" s="15">
        <f t="shared" si="19"/>
        <v>1</v>
      </c>
      <c r="R333" s="17">
        <f t="shared" si="19"/>
        <v>0</v>
      </c>
      <c r="S333" s="13" t="s">
        <v>543</v>
      </c>
    </row>
    <row r="334" spans="1:19" x14ac:dyDescent="0.25">
      <c r="A334" s="4" t="s">
        <v>160</v>
      </c>
      <c r="B334" s="5" t="s">
        <v>125</v>
      </c>
      <c r="C334" s="4" t="s">
        <v>117</v>
      </c>
      <c r="D334" s="5" t="s">
        <v>183</v>
      </c>
      <c r="E334" s="4" t="s">
        <v>24</v>
      </c>
      <c r="F334" s="4" t="s">
        <v>25</v>
      </c>
      <c r="G334" s="4" t="s">
        <v>16</v>
      </c>
      <c r="H334" s="6">
        <v>8</v>
      </c>
      <c r="I334" s="7">
        <v>40000</v>
      </c>
      <c r="J334" s="7">
        <f t="shared" si="16"/>
        <v>320000</v>
      </c>
      <c r="K334" s="8" t="s">
        <v>17</v>
      </c>
      <c r="L334" t="str">
        <f>IFERROR(VLOOKUP(F334,MÃ!$A:$B,2,0),0)</f>
        <v>NL300008</v>
      </c>
      <c r="M334" t="str">
        <f t="shared" si="20"/>
        <v>11/01/2026NL300008</v>
      </c>
      <c r="N334" s="15">
        <f>IFERROR(VLOOKUP(M334,'WS11'!$B$2:$Q$475,11,0),0)</f>
        <v>5</v>
      </c>
      <c r="O334" s="17">
        <f>IFERROR(VLOOKUP(M334,'WS11'!$B$2:$Q$475,12,0),0)</f>
        <v>40000</v>
      </c>
      <c r="P334" s="17">
        <f t="shared" si="18"/>
        <v>200000</v>
      </c>
      <c r="Q334" s="15">
        <f t="shared" si="19"/>
        <v>3</v>
      </c>
      <c r="R334" s="17">
        <f t="shared" si="19"/>
        <v>0</v>
      </c>
      <c r="S334" s="13" t="s">
        <v>543</v>
      </c>
    </row>
    <row r="335" spans="1:19" x14ac:dyDescent="0.25">
      <c r="A335" s="4" t="s">
        <v>160</v>
      </c>
      <c r="B335" s="5" t="s">
        <v>125</v>
      </c>
      <c r="C335" s="4" t="s">
        <v>117</v>
      </c>
      <c r="D335" s="5" t="s">
        <v>183</v>
      </c>
      <c r="E335" s="4" t="s">
        <v>126</v>
      </c>
      <c r="F335" s="4" t="s">
        <v>127</v>
      </c>
      <c r="G335" s="4" t="s">
        <v>16</v>
      </c>
      <c r="H335" s="6">
        <v>4</v>
      </c>
      <c r="I335" s="7">
        <v>52000</v>
      </c>
      <c r="J335" s="7">
        <f t="shared" si="16"/>
        <v>208000</v>
      </c>
      <c r="K335" s="8" t="s">
        <v>17</v>
      </c>
      <c r="L335" t="str">
        <f>IFERROR(VLOOKUP(F335,MÃ!$A:$B,2,0),0)</f>
        <v>NL300137</v>
      </c>
      <c r="M335" t="str">
        <f t="shared" si="20"/>
        <v>11/01/2026NL300137</v>
      </c>
      <c r="N335" s="15">
        <f>IFERROR(VLOOKUP(M335,'WS11'!$B$2:$Q$475,11,0),0)</f>
        <v>3</v>
      </c>
      <c r="O335" s="17">
        <f>IFERROR(VLOOKUP(M335,'WS11'!$B$2:$Q$475,12,0),0)</f>
        <v>52000</v>
      </c>
      <c r="P335" s="17">
        <f t="shared" si="18"/>
        <v>156000</v>
      </c>
      <c r="Q335" s="15">
        <f t="shared" si="19"/>
        <v>1</v>
      </c>
      <c r="R335" s="17">
        <f t="shared" si="19"/>
        <v>0</v>
      </c>
      <c r="S335" s="13" t="s">
        <v>543</v>
      </c>
    </row>
    <row r="336" spans="1:19" x14ac:dyDescent="0.25">
      <c r="A336" s="4" t="s">
        <v>160</v>
      </c>
      <c r="B336" s="5" t="s">
        <v>125</v>
      </c>
      <c r="C336" s="4" t="s">
        <v>117</v>
      </c>
      <c r="D336" s="5" t="s">
        <v>183</v>
      </c>
      <c r="E336" s="4" t="s">
        <v>26</v>
      </c>
      <c r="F336" s="4" t="s">
        <v>27</v>
      </c>
      <c r="G336" s="4" t="s">
        <v>16</v>
      </c>
      <c r="H336" s="6">
        <v>0.5</v>
      </c>
      <c r="I336" s="7">
        <v>75000</v>
      </c>
      <c r="J336" s="7">
        <f t="shared" ref="J336:J399" si="21">H336*I336</f>
        <v>37500</v>
      </c>
      <c r="K336" s="8" t="s">
        <v>17</v>
      </c>
      <c r="L336" t="str">
        <f>IFERROR(VLOOKUP(F336,MÃ!$A:$B,2,0),0)</f>
        <v>NL300028</v>
      </c>
      <c r="M336" t="str">
        <f t="shared" si="20"/>
        <v>11/01/2026NL300028</v>
      </c>
      <c r="N336" s="15">
        <f>IFERROR(VLOOKUP(M336,'WS11'!$B$2:$Q$475,11,0),0)</f>
        <v>0.4</v>
      </c>
      <c r="O336" s="17">
        <f>IFERROR(VLOOKUP(M336,'WS11'!$B$2:$Q$475,12,0),0)</f>
        <v>75000</v>
      </c>
      <c r="P336" s="17">
        <f t="shared" ref="P336:P399" si="22">N336*O336</f>
        <v>30000</v>
      </c>
      <c r="Q336" s="15">
        <f t="shared" ref="Q336:R399" si="23">H336-N336</f>
        <v>9.9999999999999978E-2</v>
      </c>
      <c r="R336" s="17">
        <f t="shared" si="23"/>
        <v>0</v>
      </c>
      <c r="S336" s="13" t="s">
        <v>543</v>
      </c>
    </row>
    <row r="337" spans="1:19" x14ac:dyDescent="0.25">
      <c r="A337" s="4" t="s">
        <v>160</v>
      </c>
      <c r="B337" s="5" t="s">
        <v>125</v>
      </c>
      <c r="C337" s="4" t="s">
        <v>117</v>
      </c>
      <c r="D337" s="5" t="s">
        <v>183</v>
      </c>
      <c r="E337" s="4" t="s">
        <v>28</v>
      </c>
      <c r="F337" s="4" t="s">
        <v>29</v>
      </c>
      <c r="G337" s="4" t="s">
        <v>16</v>
      </c>
      <c r="H337" s="6">
        <v>1.5</v>
      </c>
      <c r="I337" s="7">
        <v>30000</v>
      </c>
      <c r="J337" s="7">
        <f t="shared" si="21"/>
        <v>45000</v>
      </c>
      <c r="K337" s="8" t="s">
        <v>17</v>
      </c>
      <c r="L337" t="str">
        <f>IFERROR(VLOOKUP(F337,MÃ!$A:$B,2,0),0)</f>
        <v>NL300020</v>
      </c>
      <c r="M337" t="str">
        <f t="shared" si="20"/>
        <v>11/01/2026NL300020</v>
      </c>
      <c r="N337" s="15">
        <f>IFERROR(VLOOKUP(M337,'WS11'!$B$2:$Q$475,11,0),0)</f>
        <v>0</v>
      </c>
      <c r="O337" s="17">
        <f>IFERROR(VLOOKUP(M337,'WS11'!$B$2:$Q$475,12,0),0)</f>
        <v>0</v>
      </c>
      <c r="P337" s="17">
        <f t="shared" si="22"/>
        <v>0</v>
      </c>
      <c r="Q337" s="15">
        <f t="shared" si="23"/>
        <v>1.5</v>
      </c>
      <c r="R337" s="17">
        <f t="shared" si="23"/>
        <v>30000</v>
      </c>
      <c r="S337" s="13" t="s">
        <v>540</v>
      </c>
    </row>
    <row r="338" spans="1:19" x14ac:dyDescent="0.25">
      <c r="A338" s="4" t="s">
        <v>160</v>
      </c>
      <c r="B338" s="5" t="s">
        <v>125</v>
      </c>
      <c r="C338" s="4" t="s">
        <v>117</v>
      </c>
      <c r="D338" s="5" t="s">
        <v>183</v>
      </c>
      <c r="E338" s="4" t="s">
        <v>89</v>
      </c>
      <c r="F338" s="4" t="s">
        <v>90</v>
      </c>
      <c r="G338" s="4" t="s">
        <v>16</v>
      </c>
      <c r="H338" s="6">
        <v>1.3</v>
      </c>
      <c r="I338" s="7">
        <v>44000</v>
      </c>
      <c r="J338" s="7">
        <f t="shared" si="21"/>
        <v>57200</v>
      </c>
      <c r="K338" s="8" t="s">
        <v>17</v>
      </c>
      <c r="L338" t="str">
        <f>IFERROR(VLOOKUP(F338,MÃ!$A:$B,2,0),0)</f>
        <v>NL300025</v>
      </c>
      <c r="M338" t="str">
        <f t="shared" si="20"/>
        <v>11/01/2026NL300025</v>
      </c>
      <c r="N338" s="15">
        <f>IFERROR(VLOOKUP(M338,'WS11'!$B$2:$Q$475,11,0),0)</f>
        <v>1</v>
      </c>
      <c r="O338" s="17">
        <f>IFERROR(VLOOKUP(M338,'WS11'!$B$2:$Q$475,12,0),0)</f>
        <v>44000</v>
      </c>
      <c r="P338" s="17">
        <f t="shared" si="22"/>
        <v>44000</v>
      </c>
      <c r="Q338" s="15">
        <f t="shared" si="23"/>
        <v>0.30000000000000004</v>
      </c>
      <c r="R338" s="17">
        <f t="shared" si="23"/>
        <v>0</v>
      </c>
      <c r="S338" s="13" t="s">
        <v>543</v>
      </c>
    </row>
    <row r="339" spans="1:19" x14ac:dyDescent="0.25">
      <c r="A339" s="4" t="s">
        <v>160</v>
      </c>
      <c r="B339" s="5" t="s">
        <v>125</v>
      </c>
      <c r="C339" s="4" t="s">
        <v>117</v>
      </c>
      <c r="D339" s="5" t="s">
        <v>183</v>
      </c>
      <c r="E339" s="4" t="s">
        <v>91</v>
      </c>
      <c r="F339" s="4" t="s">
        <v>92</v>
      </c>
      <c r="G339" s="4" t="s">
        <v>16</v>
      </c>
      <c r="H339" s="6">
        <v>0.5</v>
      </c>
      <c r="I339" s="7">
        <v>34000</v>
      </c>
      <c r="J339" s="7">
        <f t="shared" si="21"/>
        <v>17000</v>
      </c>
      <c r="K339" s="8" t="s">
        <v>17</v>
      </c>
      <c r="L339" t="str">
        <f>IFERROR(VLOOKUP(F339,MÃ!$A:$B,2,0),0)</f>
        <v>NL300030</v>
      </c>
      <c r="M339" t="str">
        <f t="shared" si="20"/>
        <v>11/01/2026NL300030</v>
      </c>
      <c r="N339" s="15">
        <f>IFERROR(VLOOKUP(M339,'WS11'!$B$2:$Q$475,11,0),0)</f>
        <v>0.5</v>
      </c>
      <c r="O339" s="17">
        <f>IFERROR(VLOOKUP(M339,'WS11'!$B$2:$Q$475,12,0),0)</f>
        <v>34000</v>
      </c>
      <c r="P339" s="17">
        <f t="shared" si="22"/>
        <v>17000</v>
      </c>
      <c r="Q339" s="15">
        <f t="shared" si="23"/>
        <v>0</v>
      </c>
      <c r="R339" s="17">
        <f t="shared" si="23"/>
        <v>0</v>
      </c>
      <c r="S339" s="13"/>
    </row>
    <row r="340" spans="1:19" x14ac:dyDescent="0.25">
      <c r="A340" s="4" t="s">
        <v>160</v>
      </c>
      <c r="B340" s="5" t="s">
        <v>125</v>
      </c>
      <c r="C340" s="4" t="s">
        <v>117</v>
      </c>
      <c r="D340" s="5" t="s">
        <v>183</v>
      </c>
      <c r="E340" s="4" t="s">
        <v>61</v>
      </c>
      <c r="F340" s="4" t="s">
        <v>62</v>
      </c>
      <c r="G340" s="4" t="s">
        <v>16</v>
      </c>
      <c r="H340" s="6">
        <v>1</v>
      </c>
      <c r="I340" s="7">
        <v>22000</v>
      </c>
      <c r="J340" s="7">
        <f t="shared" si="21"/>
        <v>22000</v>
      </c>
      <c r="K340" s="8" t="s">
        <v>17</v>
      </c>
      <c r="L340" t="str">
        <f>IFERROR(VLOOKUP(F340,MÃ!$A:$B,2,0),0)</f>
        <v>NL300029</v>
      </c>
      <c r="M340" t="str">
        <f t="shared" si="20"/>
        <v>11/01/2026NL300029</v>
      </c>
      <c r="N340" s="15">
        <f>IFERROR(VLOOKUP(M340,'WS11'!$B$2:$Q$475,11,0),0)</f>
        <v>1</v>
      </c>
      <c r="O340" s="17">
        <f>IFERROR(VLOOKUP(M340,'WS11'!$B$2:$Q$475,12,0),0)</f>
        <v>22000</v>
      </c>
      <c r="P340" s="17">
        <f t="shared" si="22"/>
        <v>22000</v>
      </c>
      <c r="Q340" s="15">
        <f t="shared" si="23"/>
        <v>0</v>
      </c>
      <c r="R340" s="17">
        <f t="shared" si="23"/>
        <v>0</v>
      </c>
      <c r="S340" s="13"/>
    </row>
    <row r="341" spans="1:19" x14ac:dyDescent="0.25">
      <c r="A341" s="4" t="s">
        <v>160</v>
      </c>
      <c r="B341" s="5" t="s">
        <v>125</v>
      </c>
      <c r="C341" s="4" t="s">
        <v>117</v>
      </c>
      <c r="D341" s="5" t="s">
        <v>183</v>
      </c>
      <c r="E341" s="4" t="s">
        <v>32</v>
      </c>
      <c r="F341" s="4" t="s">
        <v>33</v>
      </c>
      <c r="G341" s="4" t="s">
        <v>16</v>
      </c>
      <c r="H341" s="6">
        <v>0.1</v>
      </c>
      <c r="I341" s="7">
        <v>25000</v>
      </c>
      <c r="J341" s="7">
        <f t="shared" si="21"/>
        <v>2500</v>
      </c>
      <c r="K341" s="8" t="s">
        <v>17</v>
      </c>
      <c r="L341" t="str">
        <f>IFERROR(VLOOKUP(F341,MÃ!$A:$B,2,0),0)</f>
        <v>NL300035</v>
      </c>
      <c r="M341" t="str">
        <f t="shared" si="20"/>
        <v>11/01/2026NL300035</v>
      </c>
      <c r="N341" s="15">
        <f>IFERROR(VLOOKUP(M341,'WS11'!$B$2:$Q$475,11,0),0)</f>
        <v>0.1</v>
      </c>
      <c r="O341" s="17">
        <f>IFERROR(VLOOKUP(M341,'WS11'!$B$2:$Q$475,12,0),0)</f>
        <v>25000</v>
      </c>
      <c r="P341" s="17">
        <f t="shared" si="22"/>
        <v>2500</v>
      </c>
      <c r="Q341" s="15">
        <f t="shared" si="23"/>
        <v>0</v>
      </c>
      <c r="R341" s="17">
        <f t="shared" si="23"/>
        <v>0</v>
      </c>
      <c r="S341" s="13"/>
    </row>
    <row r="342" spans="1:19" x14ac:dyDescent="0.25">
      <c r="A342" s="4" t="s">
        <v>160</v>
      </c>
      <c r="B342" s="5" t="s">
        <v>125</v>
      </c>
      <c r="C342" s="4" t="s">
        <v>117</v>
      </c>
      <c r="D342" s="5" t="s">
        <v>183</v>
      </c>
      <c r="E342" s="4" t="s">
        <v>95</v>
      </c>
      <c r="F342" s="4" t="s">
        <v>96</v>
      </c>
      <c r="G342" s="4" t="s">
        <v>16</v>
      </c>
      <c r="H342" s="6">
        <v>0.5</v>
      </c>
      <c r="I342" s="7">
        <v>47000</v>
      </c>
      <c r="J342" s="7">
        <f t="shared" si="21"/>
        <v>23500</v>
      </c>
      <c r="K342" s="8" t="s">
        <v>17</v>
      </c>
      <c r="L342" t="str">
        <f>IFERROR(VLOOKUP(F342,MÃ!$A:$B,2,0),0)</f>
        <v>NL300036</v>
      </c>
      <c r="M342" t="str">
        <f t="shared" si="20"/>
        <v>11/01/2026NL300036</v>
      </c>
      <c r="N342" s="15">
        <f>IFERROR(VLOOKUP(M342,'WS11'!$B$2:$Q$475,11,0),0)</f>
        <v>0.4</v>
      </c>
      <c r="O342" s="17">
        <f>IFERROR(VLOOKUP(M342,'WS11'!$B$2:$Q$475,12,0),0)</f>
        <v>47000</v>
      </c>
      <c r="P342" s="17">
        <f t="shared" si="22"/>
        <v>18800</v>
      </c>
      <c r="Q342" s="15">
        <f t="shared" si="23"/>
        <v>9.9999999999999978E-2</v>
      </c>
      <c r="R342" s="17">
        <f t="shared" si="23"/>
        <v>0</v>
      </c>
      <c r="S342" s="13" t="s">
        <v>543</v>
      </c>
    </row>
    <row r="343" spans="1:19" x14ac:dyDescent="0.25">
      <c r="A343" s="4" t="s">
        <v>160</v>
      </c>
      <c r="B343" s="5" t="s">
        <v>125</v>
      </c>
      <c r="C343" s="4" t="s">
        <v>117</v>
      </c>
      <c r="D343" s="5" t="s">
        <v>183</v>
      </c>
      <c r="E343" s="4" t="s">
        <v>34</v>
      </c>
      <c r="F343" s="4" t="s">
        <v>35</v>
      </c>
      <c r="G343" s="4" t="s">
        <v>16</v>
      </c>
      <c r="H343" s="6">
        <v>3</v>
      </c>
      <c r="I343" s="7">
        <v>32000</v>
      </c>
      <c r="J343" s="7">
        <f t="shared" si="21"/>
        <v>96000</v>
      </c>
      <c r="K343" s="8" t="s">
        <v>17</v>
      </c>
      <c r="L343" t="str">
        <f>IFERROR(VLOOKUP(F343,MÃ!$A:$B,2,0),0)</f>
        <v>NL300038</v>
      </c>
      <c r="M343" t="str">
        <f t="shared" si="20"/>
        <v>11/01/2026NL300038</v>
      </c>
      <c r="N343" s="15">
        <f>IFERROR(VLOOKUP(M343,'WS11'!$B$2:$Q$475,11,0),0)</f>
        <v>2</v>
      </c>
      <c r="O343" s="17">
        <f>IFERROR(VLOOKUP(M343,'WS11'!$B$2:$Q$475,12,0),0)</f>
        <v>32000</v>
      </c>
      <c r="P343" s="17">
        <f t="shared" si="22"/>
        <v>64000</v>
      </c>
      <c r="Q343" s="15">
        <f t="shared" si="23"/>
        <v>1</v>
      </c>
      <c r="R343" s="17">
        <f t="shared" si="23"/>
        <v>0</v>
      </c>
      <c r="S343" s="13" t="s">
        <v>543</v>
      </c>
    </row>
    <row r="344" spans="1:19" x14ac:dyDescent="0.25">
      <c r="A344" s="4" t="s">
        <v>160</v>
      </c>
      <c r="B344" s="5" t="s">
        <v>125</v>
      </c>
      <c r="C344" s="4" t="s">
        <v>117</v>
      </c>
      <c r="D344" s="5" t="s">
        <v>183</v>
      </c>
      <c r="E344" s="4" t="s">
        <v>36</v>
      </c>
      <c r="F344" s="4" t="s">
        <v>37</v>
      </c>
      <c r="G344" s="4" t="s">
        <v>16</v>
      </c>
      <c r="H344" s="6">
        <v>20</v>
      </c>
      <c r="I344" s="7">
        <v>18000</v>
      </c>
      <c r="J344" s="7">
        <f t="shared" si="21"/>
        <v>360000</v>
      </c>
      <c r="K344" s="8" t="s">
        <v>17</v>
      </c>
      <c r="L344" t="str">
        <f>IFERROR(VLOOKUP(F344,MÃ!$A:$B,2,0),0)</f>
        <v>NL600004</v>
      </c>
      <c r="M344" t="str">
        <f t="shared" si="20"/>
        <v>11/01/2026NL600004</v>
      </c>
      <c r="N344" s="15">
        <f>IFERROR(VLOOKUP(M344,'WS11'!$B$2:$Q$475,11,0),0)</f>
        <v>20</v>
      </c>
      <c r="O344" s="17">
        <f>IFERROR(VLOOKUP(M344,'WS11'!$B$2:$Q$475,12,0),0)</f>
        <v>18000</v>
      </c>
      <c r="P344" s="17">
        <f t="shared" si="22"/>
        <v>360000</v>
      </c>
      <c r="Q344" s="15">
        <f t="shared" si="23"/>
        <v>0</v>
      </c>
      <c r="R344" s="17">
        <f t="shared" si="23"/>
        <v>0</v>
      </c>
      <c r="S344" s="13"/>
    </row>
    <row r="345" spans="1:19" x14ac:dyDescent="0.25">
      <c r="A345" s="4" t="s">
        <v>160</v>
      </c>
      <c r="B345" s="5" t="s">
        <v>125</v>
      </c>
      <c r="C345" s="4" t="s">
        <v>117</v>
      </c>
      <c r="D345" s="5" t="s">
        <v>183</v>
      </c>
      <c r="E345" s="4" t="s">
        <v>38</v>
      </c>
      <c r="F345" s="4" t="s">
        <v>39</v>
      </c>
      <c r="G345" s="4" t="s">
        <v>16</v>
      </c>
      <c r="H345" s="6">
        <v>2</v>
      </c>
      <c r="I345" s="7">
        <v>55000</v>
      </c>
      <c r="J345" s="7">
        <f t="shared" si="21"/>
        <v>110000</v>
      </c>
      <c r="K345" s="8" t="s">
        <v>17</v>
      </c>
      <c r="L345" t="str">
        <f>IFERROR(VLOOKUP(F345,MÃ!$A:$B,2,0),0)</f>
        <v>NL300058</v>
      </c>
      <c r="M345" t="str">
        <f t="shared" si="20"/>
        <v>11/01/2026NL300058</v>
      </c>
      <c r="N345" s="15">
        <f>IFERROR(VLOOKUP(M345,'WS11'!$B$2:$Q$475,11,0),0)</f>
        <v>0</v>
      </c>
      <c r="O345" s="17">
        <f>IFERROR(VLOOKUP(M345,'WS11'!$B$2:$Q$475,12,0),0)</f>
        <v>0</v>
      </c>
      <c r="P345" s="17">
        <f t="shared" si="22"/>
        <v>0</v>
      </c>
      <c r="Q345" s="15">
        <f t="shared" si="23"/>
        <v>2</v>
      </c>
      <c r="R345" s="17">
        <f t="shared" si="23"/>
        <v>55000</v>
      </c>
      <c r="S345" s="13" t="s">
        <v>540</v>
      </c>
    </row>
    <row r="346" spans="1:19" x14ac:dyDescent="0.25">
      <c r="A346" s="4" t="s">
        <v>160</v>
      </c>
      <c r="B346" s="5" t="s">
        <v>125</v>
      </c>
      <c r="C346" s="4" t="s">
        <v>117</v>
      </c>
      <c r="D346" s="5" t="s">
        <v>183</v>
      </c>
      <c r="E346" s="4" t="s">
        <v>115</v>
      </c>
      <c r="F346" s="4" t="s">
        <v>116</v>
      </c>
      <c r="G346" s="4" t="s">
        <v>16</v>
      </c>
      <c r="H346" s="6">
        <v>0.5</v>
      </c>
      <c r="I346" s="7">
        <v>38000</v>
      </c>
      <c r="J346" s="7">
        <f t="shared" si="21"/>
        <v>19000</v>
      </c>
      <c r="K346" s="8" t="s">
        <v>17</v>
      </c>
      <c r="L346" t="str">
        <f>IFERROR(VLOOKUP(F346,MÃ!$A:$B,2,0),0)</f>
        <v>NL300061</v>
      </c>
      <c r="M346" t="str">
        <f t="shared" si="20"/>
        <v>11/01/2026NL300061</v>
      </c>
      <c r="N346" s="15">
        <f>IFERROR(VLOOKUP(M346,'WS11'!$B$2:$Q$475,11,0),0)</f>
        <v>0.4</v>
      </c>
      <c r="O346" s="17">
        <f>IFERROR(VLOOKUP(M346,'WS11'!$B$2:$Q$475,12,0),0)</f>
        <v>38000</v>
      </c>
      <c r="P346" s="17">
        <f t="shared" si="22"/>
        <v>15200</v>
      </c>
      <c r="Q346" s="15">
        <f t="shared" si="23"/>
        <v>9.9999999999999978E-2</v>
      </c>
      <c r="R346" s="17">
        <f t="shared" si="23"/>
        <v>0</v>
      </c>
      <c r="S346" s="13" t="s">
        <v>543</v>
      </c>
    </row>
    <row r="347" spans="1:19" x14ac:dyDescent="0.25">
      <c r="A347" s="4" t="s">
        <v>160</v>
      </c>
      <c r="B347" s="5" t="s">
        <v>125</v>
      </c>
      <c r="C347" s="4" t="s">
        <v>117</v>
      </c>
      <c r="D347" s="5" t="s">
        <v>183</v>
      </c>
      <c r="E347" s="4" t="s">
        <v>113</v>
      </c>
      <c r="F347" s="4" t="s">
        <v>114</v>
      </c>
      <c r="G347" s="4" t="s">
        <v>16</v>
      </c>
      <c r="H347" s="6">
        <v>0.6</v>
      </c>
      <c r="I347" s="7">
        <v>13000</v>
      </c>
      <c r="J347" s="7">
        <f t="shared" si="21"/>
        <v>7800</v>
      </c>
      <c r="K347" s="8" t="s">
        <v>17</v>
      </c>
      <c r="L347" t="str">
        <f>IFERROR(VLOOKUP(F347,MÃ!$A:$B,2,0),0)</f>
        <v>NL300059</v>
      </c>
      <c r="M347" t="str">
        <f t="shared" si="20"/>
        <v>11/01/2026NL300059</v>
      </c>
      <c r="N347" s="15">
        <f>IFERROR(VLOOKUP(M347,'WS11'!$B$2:$Q$475,11,0),0)</f>
        <v>0.5</v>
      </c>
      <c r="O347" s="17">
        <f>IFERROR(VLOOKUP(M347,'WS11'!$B$2:$Q$475,12,0),0)</f>
        <v>13000</v>
      </c>
      <c r="P347" s="17">
        <f t="shared" si="22"/>
        <v>6500</v>
      </c>
      <c r="Q347" s="15">
        <f t="shared" si="23"/>
        <v>9.9999999999999978E-2</v>
      </c>
      <c r="R347" s="17">
        <f t="shared" si="23"/>
        <v>0</v>
      </c>
      <c r="S347" s="13" t="s">
        <v>543</v>
      </c>
    </row>
    <row r="348" spans="1:19" x14ac:dyDescent="0.25">
      <c r="A348" s="4" t="s">
        <v>160</v>
      </c>
      <c r="B348" s="5" t="s">
        <v>125</v>
      </c>
      <c r="C348" s="4" t="s">
        <v>117</v>
      </c>
      <c r="D348" s="5" t="s">
        <v>183</v>
      </c>
      <c r="E348" s="4" t="s">
        <v>40</v>
      </c>
      <c r="F348" s="4" t="s">
        <v>41</v>
      </c>
      <c r="G348" s="4" t="s">
        <v>16</v>
      </c>
      <c r="H348" s="6">
        <v>0.2</v>
      </c>
      <c r="I348" s="7">
        <v>80000</v>
      </c>
      <c r="J348" s="7">
        <f t="shared" si="21"/>
        <v>16000</v>
      </c>
      <c r="K348" s="8" t="s">
        <v>17</v>
      </c>
      <c r="L348" t="str">
        <f>IFERROR(VLOOKUP(F348,MÃ!$A:$B,2,0),0)</f>
        <v>NL300055</v>
      </c>
      <c r="M348" t="str">
        <f t="shared" si="20"/>
        <v>11/01/2026NL300055</v>
      </c>
      <c r="N348" s="15">
        <f>IFERROR(VLOOKUP(M348,'WS11'!$B$2:$Q$475,11,0),0)</f>
        <v>0.2</v>
      </c>
      <c r="O348" s="17">
        <f>IFERROR(VLOOKUP(M348,'WS11'!$B$2:$Q$475,12,0),0)</f>
        <v>80000</v>
      </c>
      <c r="P348" s="17">
        <f t="shared" si="22"/>
        <v>16000</v>
      </c>
      <c r="Q348" s="15">
        <f t="shared" si="23"/>
        <v>0</v>
      </c>
      <c r="R348" s="17">
        <f t="shared" si="23"/>
        <v>0</v>
      </c>
      <c r="S348" s="13"/>
    </row>
    <row r="349" spans="1:19" x14ac:dyDescent="0.25">
      <c r="A349" s="4" t="s">
        <v>160</v>
      </c>
      <c r="B349" s="5" t="s">
        <v>125</v>
      </c>
      <c r="C349" s="4" t="s">
        <v>117</v>
      </c>
      <c r="D349" s="5" t="s">
        <v>183</v>
      </c>
      <c r="E349" s="4" t="s">
        <v>63</v>
      </c>
      <c r="F349" s="4" t="s">
        <v>64</v>
      </c>
      <c r="G349" s="4" t="s">
        <v>16</v>
      </c>
      <c r="H349" s="6">
        <v>0.3</v>
      </c>
      <c r="I349" s="7">
        <v>65000</v>
      </c>
      <c r="J349" s="7">
        <f t="shared" si="21"/>
        <v>19500</v>
      </c>
      <c r="K349" s="8" t="s">
        <v>17</v>
      </c>
      <c r="L349" t="str">
        <f>IFERROR(VLOOKUP(F349,MÃ!$A:$B,2,0),0)</f>
        <v>NL300062</v>
      </c>
      <c r="M349" t="str">
        <f t="shared" si="20"/>
        <v>11/01/2026NL300062</v>
      </c>
      <c r="N349" s="15">
        <f>IFERROR(VLOOKUP(M349,'WS11'!$B$2:$Q$475,11,0),0)</f>
        <v>0.3</v>
      </c>
      <c r="O349" s="17">
        <f>IFERROR(VLOOKUP(M349,'WS11'!$B$2:$Q$475,12,0),0)</f>
        <v>65000</v>
      </c>
      <c r="P349" s="17">
        <f t="shared" si="22"/>
        <v>19500</v>
      </c>
      <c r="Q349" s="15">
        <f t="shared" si="23"/>
        <v>0</v>
      </c>
      <c r="R349" s="17">
        <f t="shared" si="23"/>
        <v>0</v>
      </c>
      <c r="S349" s="13"/>
    </row>
    <row r="350" spans="1:19" x14ac:dyDescent="0.25">
      <c r="A350" s="4" t="s">
        <v>160</v>
      </c>
      <c r="B350" s="5" t="s">
        <v>125</v>
      </c>
      <c r="C350" s="4" t="s">
        <v>117</v>
      </c>
      <c r="D350" s="5" t="s">
        <v>183</v>
      </c>
      <c r="E350" s="4" t="s">
        <v>67</v>
      </c>
      <c r="F350" s="4" t="s">
        <v>68</v>
      </c>
      <c r="G350" s="4" t="s">
        <v>16</v>
      </c>
      <c r="H350" s="6">
        <v>0.6</v>
      </c>
      <c r="I350" s="7">
        <v>18000</v>
      </c>
      <c r="J350" s="7">
        <f t="shared" si="21"/>
        <v>10800</v>
      </c>
      <c r="K350" s="8" t="s">
        <v>17</v>
      </c>
      <c r="L350" t="str">
        <f>IFERROR(VLOOKUP(F350,MÃ!$A:$B,2,0),0)</f>
        <v>NL300184</v>
      </c>
      <c r="M350" t="str">
        <f t="shared" si="20"/>
        <v>11/01/2026NL300184</v>
      </c>
      <c r="N350" s="15">
        <f>IFERROR(VLOOKUP(M350,'WS11'!$B$2:$Q$475,11,0),0)</f>
        <v>0.6</v>
      </c>
      <c r="O350" s="17">
        <f>IFERROR(VLOOKUP(M350,'WS11'!$B$2:$Q$475,12,0),0)</f>
        <v>18000</v>
      </c>
      <c r="P350" s="17">
        <f t="shared" si="22"/>
        <v>10800</v>
      </c>
      <c r="Q350" s="15">
        <f t="shared" si="23"/>
        <v>0</v>
      </c>
      <c r="R350" s="17">
        <f t="shared" si="23"/>
        <v>0</v>
      </c>
      <c r="S350" s="13"/>
    </row>
    <row r="351" spans="1:19" x14ac:dyDescent="0.25">
      <c r="A351" s="4" t="s">
        <v>160</v>
      </c>
      <c r="B351" s="5" t="s">
        <v>125</v>
      </c>
      <c r="C351" s="4" t="s">
        <v>117</v>
      </c>
      <c r="D351" s="5" t="s">
        <v>183</v>
      </c>
      <c r="E351" s="4" t="s">
        <v>14</v>
      </c>
      <c r="F351" s="4" t="s">
        <v>15</v>
      </c>
      <c r="G351" s="4" t="s">
        <v>16</v>
      </c>
      <c r="H351" s="6">
        <v>3</v>
      </c>
      <c r="I351" s="7">
        <v>27000</v>
      </c>
      <c r="J351" s="7">
        <f t="shared" si="21"/>
        <v>81000</v>
      </c>
      <c r="K351" s="8" t="s">
        <v>17</v>
      </c>
      <c r="L351" t="str">
        <f>IFERROR(VLOOKUP(F351,MÃ!$A:$B,2,0),0)</f>
        <v>NL300088</v>
      </c>
      <c r="M351" t="str">
        <f t="shared" si="20"/>
        <v>11/01/2026NL300088</v>
      </c>
      <c r="N351" s="15">
        <f>IFERROR(VLOOKUP(M351,'WS11'!$B$2:$Q$475,11,0),0)</f>
        <v>2</v>
      </c>
      <c r="O351" s="17">
        <f>IFERROR(VLOOKUP(M351,'WS11'!$B$2:$Q$475,12,0),0)</f>
        <v>27000</v>
      </c>
      <c r="P351" s="17">
        <f t="shared" si="22"/>
        <v>54000</v>
      </c>
      <c r="Q351" s="15">
        <f t="shared" si="23"/>
        <v>1</v>
      </c>
      <c r="R351" s="17">
        <f t="shared" si="23"/>
        <v>0</v>
      </c>
      <c r="S351" s="13" t="s">
        <v>543</v>
      </c>
    </row>
    <row r="352" spans="1:19" x14ac:dyDescent="0.25">
      <c r="A352" s="4" t="s">
        <v>160</v>
      </c>
      <c r="B352" s="5" t="s">
        <v>125</v>
      </c>
      <c r="C352" s="4" t="s">
        <v>117</v>
      </c>
      <c r="D352" s="5" t="s">
        <v>183</v>
      </c>
      <c r="E352" s="4" t="s">
        <v>69</v>
      </c>
      <c r="F352" s="4" t="s">
        <v>70</v>
      </c>
      <c r="G352" s="4" t="s">
        <v>16</v>
      </c>
      <c r="H352" s="6">
        <v>3</v>
      </c>
      <c r="I352" s="7">
        <v>145000</v>
      </c>
      <c r="J352" s="7">
        <f t="shared" si="21"/>
        <v>435000</v>
      </c>
      <c r="K352" s="8" t="s">
        <v>17</v>
      </c>
      <c r="L352" t="str">
        <f>IFERROR(VLOOKUP(F352,MÃ!$A:$B,2,0),0)</f>
        <v>NL300090</v>
      </c>
      <c r="M352" t="str">
        <f t="shared" si="20"/>
        <v>11/01/2026NL300090</v>
      </c>
      <c r="N352" s="15">
        <f>IFERROR(VLOOKUP(M352,'WS11'!$B$2:$Q$475,11,0),0)</f>
        <v>2</v>
      </c>
      <c r="O352" s="17">
        <f>IFERROR(VLOOKUP(M352,'WS11'!$B$2:$Q$475,12,0),0)</f>
        <v>145000</v>
      </c>
      <c r="P352" s="17">
        <f t="shared" si="22"/>
        <v>290000</v>
      </c>
      <c r="Q352" s="15">
        <f t="shared" si="23"/>
        <v>1</v>
      </c>
      <c r="R352" s="17">
        <f t="shared" si="23"/>
        <v>0</v>
      </c>
      <c r="S352" s="13" t="s">
        <v>543</v>
      </c>
    </row>
    <row r="353" spans="1:19" x14ac:dyDescent="0.25">
      <c r="A353" s="4" t="s">
        <v>160</v>
      </c>
      <c r="B353" s="5" t="s">
        <v>125</v>
      </c>
      <c r="C353" s="4" t="s">
        <v>117</v>
      </c>
      <c r="D353" s="5" t="s">
        <v>183</v>
      </c>
      <c r="E353" s="4" t="s">
        <v>71</v>
      </c>
      <c r="F353" s="4" t="s">
        <v>72</v>
      </c>
      <c r="G353" s="4" t="s">
        <v>16</v>
      </c>
      <c r="H353" s="6">
        <v>1</v>
      </c>
      <c r="I353" s="7">
        <v>47000</v>
      </c>
      <c r="J353" s="7">
        <f t="shared" si="21"/>
        <v>47000</v>
      </c>
      <c r="K353" s="8" t="s">
        <v>17</v>
      </c>
      <c r="L353" t="str">
        <f>IFERROR(VLOOKUP(F353,MÃ!$A:$B,2,0),0)</f>
        <v>NL300091</v>
      </c>
      <c r="M353" t="str">
        <f t="shared" si="20"/>
        <v>11/01/2026NL300091</v>
      </c>
      <c r="N353" s="15">
        <f>IFERROR(VLOOKUP(M353,'WS11'!$B$2:$Q$475,11,0),0)</f>
        <v>0.9</v>
      </c>
      <c r="O353" s="17">
        <f>IFERROR(VLOOKUP(M353,'WS11'!$B$2:$Q$475,12,0),0)</f>
        <v>47000</v>
      </c>
      <c r="P353" s="17">
        <f t="shared" si="22"/>
        <v>42300</v>
      </c>
      <c r="Q353" s="15">
        <f t="shared" si="23"/>
        <v>9.9999999999999978E-2</v>
      </c>
      <c r="R353" s="17">
        <f t="shared" si="23"/>
        <v>0</v>
      </c>
      <c r="S353" s="13" t="s">
        <v>543</v>
      </c>
    </row>
    <row r="354" spans="1:19" x14ac:dyDescent="0.25">
      <c r="A354" s="4" t="s">
        <v>160</v>
      </c>
      <c r="B354" s="5" t="s">
        <v>125</v>
      </c>
      <c r="C354" s="4" t="s">
        <v>117</v>
      </c>
      <c r="D354" s="5" t="s">
        <v>183</v>
      </c>
      <c r="E354" s="4" t="s">
        <v>73</v>
      </c>
      <c r="F354" s="4" t="s">
        <v>74</v>
      </c>
      <c r="G354" s="4" t="s">
        <v>16</v>
      </c>
      <c r="H354" s="6">
        <v>1.5</v>
      </c>
      <c r="I354" s="7">
        <v>90000</v>
      </c>
      <c r="J354" s="7">
        <f t="shared" si="21"/>
        <v>135000</v>
      </c>
      <c r="K354" s="8" t="s">
        <v>17</v>
      </c>
      <c r="L354" t="str">
        <f>IFERROR(VLOOKUP(F354,MÃ!$A:$B,2,0),0)</f>
        <v>NL300092</v>
      </c>
      <c r="M354" t="str">
        <f t="shared" si="20"/>
        <v>11/01/2026NL300092</v>
      </c>
      <c r="N354" s="15">
        <f>IFERROR(VLOOKUP(M354,'WS11'!$B$2:$Q$475,11,0),0)</f>
        <v>1.3</v>
      </c>
      <c r="O354" s="17">
        <f>IFERROR(VLOOKUP(M354,'WS11'!$B$2:$Q$475,12,0),0)</f>
        <v>90000</v>
      </c>
      <c r="P354" s="17">
        <f t="shared" si="22"/>
        <v>117000</v>
      </c>
      <c r="Q354" s="15">
        <f t="shared" si="23"/>
        <v>0.19999999999999996</v>
      </c>
      <c r="R354" s="17">
        <f t="shared" si="23"/>
        <v>0</v>
      </c>
      <c r="S354" s="13" t="s">
        <v>543</v>
      </c>
    </row>
    <row r="355" spans="1:19" x14ac:dyDescent="0.25">
      <c r="A355" s="4" t="s">
        <v>160</v>
      </c>
      <c r="B355" s="5" t="s">
        <v>125</v>
      </c>
      <c r="C355" s="4" t="s">
        <v>117</v>
      </c>
      <c r="D355" s="5" t="s">
        <v>183</v>
      </c>
      <c r="E355" s="4" t="s">
        <v>100</v>
      </c>
      <c r="F355" s="4" t="s">
        <v>101</v>
      </c>
      <c r="G355" s="4" t="s">
        <v>16</v>
      </c>
      <c r="H355" s="6">
        <v>1</v>
      </c>
      <c r="I355" s="7">
        <v>80000</v>
      </c>
      <c r="J355" s="7">
        <f t="shared" si="21"/>
        <v>80000</v>
      </c>
      <c r="K355" s="8" t="s">
        <v>17</v>
      </c>
      <c r="L355" t="str">
        <f>IFERROR(VLOOKUP(F355,MÃ!$A:$B,2,0),0)</f>
        <v>NL300094</v>
      </c>
      <c r="M355" t="str">
        <f t="shared" si="20"/>
        <v>11/01/2026NL300094</v>
      </c>
      <c r="N355" s="15">
        <f>IFERROR(VLOOKUP(M355,'WS11'!$B$2:$Q$475,11,0),0)</f>
        <v>0.9</v>
      </c>
      <c r="O355" s="17">
        <f>IFERROR(VLOOKUP(M355,'WS11'!$B$2:$Q$475,12,0),0)</f>
        <v>80000</v>
      </c>
      <c r="P355" s="17">
        <f t="shared" si="22"/>
        <v>72000</v>
      </c>
      <c r="Q355" s="15">
        <f t="shared" si="23"/>
        <v>9.9999999999999978E-2</v>
      </c>
      <c r="R355" s="17">
        <f t="shared" si="23"/>
        <v>0</v>
      </c>
      <c r="S355" s="13" t="s">
        <v>543</v>
      </c>
    </row>
    <row r="356" spans="1:19" x14ac:dyDescent="0.25">
      <c r="A356" s="4" t="s">
        <v>160</v>
      </c>
      <c r="B356" s="5" t="s">
        <v>125</v>
      </c>
      <c r="C356" s="4" t="s">
        <v>117</v>
      </c>
      <c r="D356" s="5" t="s">
        <v>183</v>
      </c>
      <c r="E356" s="4" t="s">
        <v>44</v>
      </c>
      <c r="F356" s="4" t="s">
        <v>45</v>
      </c>
      <c r="G356" s="4" t="s">
        <v>16</v>
      </c>
      <c r="H356" s="6">
        <v>5</v>
      </c>
      <c r="I356" s="7">
        <v>45000</v>
      </c>
      <c r="J356" s="7">
        <f t="shared" si="21"/>
        <v>225000</v>
      </c>
      <c r="K356" s="8" t="s">
        <v>17</v>
      </c>
      <c r="L356" t="str">
        <f>IFERROR(VLOOKUP(F356,MÃ!$A:$B,2,0),0)</f>
        <v>NL300096</v>
      </c>
      <c r="M356" t="str">
        <f t="shared" si="20"/>
        <v>11/01/2026NL300096</v>
      </c>
      <c r="N356" s="15">
        <f>IFERROR(VLOOKUP(M356,'WS11'!$B$2:$Q$475,11,0),0)</f>
        <v>4.5</v>
      </c>
      <c r="O356" s="17">
        <f>IFERROR(VLOOKUP(M356,'WS11'!$B$2:$Q$475,12,0),0)</f>
        <v>45000</v>
      </c>
      <c r="P356" s="17">
        <f t="shared" si="22"/>
        <v>202500</v>
      </c>
      <c r="Q356" s="15">
        <f t="shared" si="23"/>
        <v>0.5</v>
      </c>
      <c r="R356" s="17">
        <f t="shared" si="23"/>
        <v>0</v>
      </c>
      <c r="S356" s="13" t="s">
        <v>543</v>
      </c>
    </row>
    <row r="357" spans="1:19" x14ac:dyDescent="0.25">
      <c r="A357" s="4" t="s">
        <v>160</v>
      </c>
      <c r="B357" s="5" t="s">
        <v>125</v>
      </c>
      <c r="C357" s="4" t="s">
        <v>117</v>
      </c>
      <c r="D357" s="5" t="s">
        <v>183</v>
      </c>
      <c r="E357" s="4" t="s">
        <v>75</v>
      </c>
      <c r="F357" s="4" t="s">
        <v>76</v>
      </c>
      <c r="G357" s="4" t="s">
        <v>16</v>
      </c>
      <c r="H357" s="6">
        <v>1</v>
      </c>
      <c r="I357" s="7">
        <v>90000</v>
      </c>
      <c r="J357" s="7">
        <f t="shared" si="21"/>
        <v>90000</v>
      </c>
      <c r="K357" s="8" t="s">
        <v>17</v>
      </c>
      <c r="L357" t="str">
        <f>IFERROR(VLOOKUP(F357,MÃ!$A:$B,2,0),0)</f>
        <v>NL300097</v>
      </c>
      <c r="M357" t="str">
        <f t="shared" si="20"/>
        <v>11/01/2026NL300097</v>
      </c>
      <c r="N357" s="15">
        <f>IFERROR(VLOOKUP(M357,'WS11'!$B$2:$Q$475,11,0),0)</f>
        <v>0.9</v>
      </c>
      <c r="O357" s="17">
        <f>IFERROR(VLOOKUP(M357,'WS11'!$B$2:$Q$475,12,0),0)</f>
        <v>90000</v>
      </c>
      <c r="P357" s="17">
        <f t="shared" si="22"/>
        <v>81000</v>
      </c>
      <c r="Q357" s="15">
        <f t="shared" si="23"/>
        <v>9.9999999999999978E-2</v>
      </c>
      <c r="R357" s="17">
        <f t="shared" si="23"/>
        <v>0</v>
      </c>
      <c r="S357" s="13" t="s">
        <v>543</v>
      </c>
    </row>
    <row r="358" spans="1:19" x14ac:dyDescent="0.25">
      <c r="A358" s="4" t="s">
        <v>160</v>
      </c>
      <c r="B358" s="5" t="s">
        <v>125</v>
      </c>
      <c r="C358" s="4" t="s">
        <v>117</v>
      </c>
      <c r="D358" s="5" t="s">
        <v>183</v>
      </c>
      <c r="E358" s="4" t="s">
        <v>119</v>
      </c>
      <c r="F358" s="4" t="s">
        <v>118</v>
      </c>
      <c r="G358" s="4" t="s">
        <v>16</v>
      </c>
      <c r="H358" s="6">
        <v>0.3</v>
      </c>
      <c r="I358" s="7">
        <v>95000</v>
      </c>
      <c r="J358" s="7">
        <f t="shared" si="21"/>
        <v>28500</v>
      </c>
      <c r="K358" s="8" t="s">
        <v>17</v>
      </c>
      <c r="L358" t="str">
        <f>IFERROR(VLOOKUP(F358,MÃ!$A:$B,2,0),0)</f>
        <v>NL300098</v>
      </c>
      <c r="M358" t="str">
        <f t="shared" si="20"/>
        <v>11/01/2026NL300098</v>
      </c>
      <c r="N358" s="15">
        <f>IFERROR(VLOOKUP(M358,'WS11'!$B$2:$Q$475,11,0),0)</f>
        <v>0.3</v>
      </c>
      <c r="O358" s="17">
        <f>IFERROR(VLOOKUP(M358,'WS11'!$B$2:$Q$475,12,0),0)</f>
        <v>95000</v>
      </c>
      <c r="P358" s="17">
        <f t="shared" si="22"/>
        <v>28500</v>
      </c>
      <c r="Q358" s="15">
        <f t="shared" si="23"/>
        <v>0</v>
      </c>
      <c r="R358" s="17">
        <f t="shared" si="23"/>
        <v>0</v>
      </c>
      <c r="S358" s="13"/>
    </row>
    <row r="359" spans="1:19" x14ac:dyDescent="0.25">
      <c r="A359" s="4" t="s">
        <v>160</v>
      </c>
      <c r="B359" s="5" t="s">
        <v>125</v>
      </c>
      <c r="C359" s="4" t="s">
        <v>117</v>
      </c>
      <c r="D359" s="5" t="s">
        <v>183</v>
      </c>
      <c r="E359" s="4" t="s">
        <v>77</v>
      </c>
      <c r="F359" s="4" t="s">
        <v>78</v>
      </c>
      <c r="G359" s="4" t="s">
        <v>16</v>
      </c>
      <c r="H359" s="6">
        <v>2</v>
      </c>
      <c r="I359" s="7">
        <v>45000</v>
      </c>
      <c r="J359" s="7">
        <f t="shared" si="21"/>
        <v>90000</v>
      </c>
      <c r="K359" s="8" t="s">
        <v>17</v>
      </c>
      <c r="L359" t="str">
        <f>IFERROR(VLOOKUP(F359,MÃ!$A:$B,2,0),0)</f>
        <v>NL300085</v>
      </c>
      <c r="M359" t="str">
        <f t="shared" si="20"/>
        <v>11/01/2026NL300085</v>
      </c>
      <c r="N359" s="15">
        <f>IFERROR(VLOOKUP(M359,'WS11'!$B$2:$Q$475,11,0),0)</f>
        <v>1.5</v>
      </c>
      <c r="O359" s="17">
        <f>IFERROR(VLOOKUP(M359,'WS11'!$B$2:$Q$475,12,0),0)</f>
        <v>45000</v>
      </c>
      <c r="P359" s="17">
        <f t="shared" si="22"/>
        <v>67500</v>
      </c>
      <c r="Q359" s="15">
        <f t="shared" si="23"/>
        <v>0.5</v>
      </c>
      <c r="R359" s="17">
        <f t="shared" si="23"/>
        <v>0</v>
      </c>
      <c r="S359" s="13" t="s">
        <v>543</v>
      </c>
    </row>
    <row r="360" spans="1:19" x14ac:dyDescent="0.25">
      <c r="A360" s="4" t="s">
        <v>160</v>
      </c>
      <c r="B360" s="5" t="s">
        <v>125</v>
      </c>
      <c r="C360" s="4" t="s">
        <v>117</v>
      </c>
      <c r="D360" s="5" t="s">
        <v>183</v>
      </c>
      <c r="E360" s="4" t="s">
        <v>79</v>
      </c>
      <c r="F360" s="4" t="s">
        <v>80</v>
      </c>
      <c r="G360" s="4" t="s">
        <v>16</v>
      </c>
      <c r="H360" s="6">
        <v>0.4</v>
      </c>
      <c r="I360" s="7">
        <v>70000</v>
      </c>
      <c r="J360" s="7">
        <f t="shared" si="21"/>
        <v>28000</v>
      </c>
      <c r="K360" s="8" t="s">
        <v>17</v>
      </c>
      <c r="L360" t="str">
        <f>IFERROR(VLOOKUP(F360,MÃ!$A:$B,2,0),0)</f>
        <v>NL300126</v>
      </c>
      <c r="M360" t="str">
        <f t="shared" ref="M360:M423" si="24">""&amp;DAY(A360)&amp;"/01/2026"&amp;L360</f>
        <v>11/01/2026NL300126</v>
      </c>
      <c r="N360" s="15">
        <f>IFERROR(VLOOKUP(M360,'WS11'!$B$2:$Q$475,11,0),0)</f>
        <v>0.4</v>
      </c>
      <c r="O360" s="17">
        <f>IFERROR(VLOOKUP(M360,'WS11'!$B$2:$Q$475,12,0),0)</f>
        <v>70000</v>
      </c>
      <c r="P360" s="17">
        <f t="shared" si="22"/>
        <v>28000</v>
      </c>
      <c r="Q360" s="15">
        <f t="shared" si="23"/>
        <v>0</v>
      </c>
      <c r="R360" s="17">
        <f t="shared" si="23"/>
        <v>0</v>
      </c>
      <c r="S360" s="13"/>
    </row>
    <row r="361" spans="1:19" x14ac:dyDescent="0.25">
      <c r="A361" s="4" t="s">
        <v>160</v>
      </c>
      <c r="B361" s="5" t="s">
        <v>125</v>
      </c>
      <c r="C361" s="4" t="s">
        <v>117</v>
      </c>
      <c r="D361" s="5" t="s">
        <v>183</v>
      </c>
      <c r="E361" s="4" t="s">
        <v>102</v>
      </c>
      <c r="F361" s="4" t="s">
        <v>103</v>
      </c>
      <c r="G361" s="4" t="s">
        <v>16</v>
      </c>
      <c r="H361" s="6">
        <v>0.6</v>
      </c>
      <c r="I361" s="7">
        <v>145000</v>
      </c>
      <c r="J361" s="7">
        <f t="shared" si="21"/>
        <v>87000</v>
      </c>
      <c r="K361" s="8" t="s">
        <v>17</v>
      </c>
      <c r="L361" t="str">
        <f>IFERROR(VLOOKUP(F361,MÃ!$A:$B,2,0),0)</f>
        <v>NL300113</v>
      </c>
      <c r="M361" t="str">
        <f t="shared" si="24"/>
        <v>11/01/2026NL300113</v>
      </c>
      <c r="N361" s="15">
        <f>IFERROR(VLOOKUP(M361,'WS11'!$B$2:$Q$475,11,0),0)</f>
        <v>0.5</v>
      </c>
      <c r="O361" s="17">
        <f>IFERROR(VLOOKUP(M361,'WS11'!$B$2:$Q$475,12,0),0)</f>
        <v>145000</v>
      </c>
      <c r="P361" s="17">
        <f t="shared" si="22"/>
        <v>72500</v>
      </c>
      <c r="Q361" s="15">
        <f t="shared" si="23"/>
        <v>9.9999999999999978E-2</v>
      </c>
      <c r="R361" s="17">
        <f t="shared" si="23"/>
        <v>0</v>
      </c>
      <c r="S361" s="13" t="s">
        <v>543</v>
      </c>
    </row>
    <row r="362" spans="1:19" x14ac:dyDescent="0.25">
      <c r="A362" s="4" t="s">
        <v>160</v>
      </c>
      <c r="B362" s="5" t="s">
        <v>125</v>
      </c>
      <c r="C362" s="4" t="s">
        <v>117</v>
      </c>
      <c r="D362" s="5" t="s">
        <v>183</v>
      </c>
      <c r="E362" s="4" t="s">
        <v>46</v>
      </c>
      <c r="F362" s="4" t="s">
        <v>47</v>
      </c>
      <c r="G362" s="4" t="s">
        <v>16</v>
      </c>
      <c r="H362" s="6">
        <v>0.5</v>
      </c>
      <c r="I362" s="7">
        <v>148000</v>
      </c>
      <c r="J362" s="7">
        <f t="shared" si="21"/>
        <v>74000</v>
      </c>
      <c r="K362" s="8" t="s">
        <v>17</v>
      </c>
      <c r="L362" t="str">
        <f>IFERROR(VLOOKUP(F362,MÃ!$A:$B,2,0),0)</f>
        <v>NL300116</v>
      </c>
      <c r="M362" t="str">
        <f t="shared" si="24"/>
        <v>11/01/2026NL300116</v>
      </c>
      <c r="N362" s="15">
        <f>IFERROR(VLOOKUP(M362,'WS11'!$B$2:$Q$475,11,0),0)</f>
        <v>0.4</v>
      </c>
      <c r="O362" s="17">
        <f>IFERROR(VLOOKUP(M362,'WS11'!$B$2:$Q$475,12,0),0)</f>
        <v>148000</v>
      </c>
      <c r="P362" s="17">
        <f t="shared" si="22"/>
        <v>59200</v>
      </c>
      <c r="Q362" s="15">
        <f t="shared" si="23"/>
        <v>9.9999999999999978E-2</v>
      </c>
      <c r="R362" s="17">
        <f t="shared" si="23"/>
        <v>0</v>
      </c>
      <c r="S362" s="13" t="s">
        <v>543</v>
      </c>
    </row>
    <row r="363" spans="1:19" x14ac:dyDescent="0.25">
      <c r="A363" s="4" t="s">
        <v>160</v>
      </c>
      <c r="B363" s="5" t="s">
        <v>125</v>
      </c>
      <c r="C363" s="4" t="s">
        <v>117</v>
      </c>
      <c r="D363" s="5" t="s">
        <v>183</v>
      </c>
      <c r="E363" s="4" t="s">
        <v>50</v>
      </c>
      <c r="F363" s="4" t="s">
        <v>51</v>
      </c>
      <c r="G363" s="4" t="s">
        <v>16</v>
      </c>
      <c r="H363" s="6">
        <v>0.2</v>
      </c>
      <c r="I363" s="7">
        <v>22000</v>
      </c>
      <c r="J363" s="7">
        <f t="shared" si="21"/>
        <v>4400</v>
      </c>
      <c r="K363" s="8" t="s">
        <v>17</v>
      </c>
      <c r="L363" t="str">
        <f>IFERROR(VLOOKUP(F363,MÃ!$A:$B,2,0),0)</f>
        <v>NL300121</v>
      </c>
      <c r="M363" t="str">
        <f t="shared" si="24"/>
        <v>11/01/2026NL300121</v>
      </c>
      <c r="N363" s="15">
        <f>IFERROR(VLOOKUP(M363,'WS11'!$B$2:$Q$475,11,0),0)</f>
        <v>0.2</v>
      </c>
      <c r="O363" s="17">
        <f>IFERROR(VLOOKUP(M363,'WS11'!$B$2:$Q$475,12,0),0)</f>
        <v>22000</v>
      </c>
      <c r="P363" s="17">
        <f t="shared" si="22"/>
        <v>4400</v>
      </c>
      <c r="Q363" s="15">
        <f t="shared" si="23"/>
        <v>0</v>
      </c>
      <c r="R363" s="17">
        <f t="shared" si="23"/>
        <v>0</v>
      </c>
      <c r="S363" s="13"/>
    </row>
    <row r="364" spans="1:19" x14ac:dyDescent="0.25">
      <c r="A364" s="4" t="s">
        <v>160</v>
      </c>
      <c r="B364" s="5" t="s">
        <v>125</v>
      </c>
      <c r="C364" s="4" t="s">
        <v>117</v>
      </c>
      <c r="D364" s="5" t="s">
        <v>183</v>
      </c>
      <c r="E364" s="4" t="s">
        <v>52</v>
      </c>
      <c r="F364" s="4" t="s">
        <v>53</v>
      </c>
      <c r="G364" s="4" t="s">
        <v>16</v>
      </c>
      <c r="H364" s="6">
        <v>1.2</v>
      </c>
      <c r="I364" s="7">
        <v>21000</v>
      </c>
      <c r="J364" s="7">
        <f t="shared" si="21"/>
        <v>25200</v>
      </c>
      <c r="K364" s="8" t="s">
        <v>17</v>
      </c>
      <c r="L364" t="str">
        <f>IFERROR(VLOOKUP(F364,MÃ!$A:$B,2,0),0)</f>
        <v>NL300119</v>
      </c>
      <c r="M364" t="str">
        <f t="shared" si="24"/>
        <v>11/01/2026NL300119</v>
      </c>
      <c r="N364" s="15">
        <f>IFERROR(VLOOKUP(M364,'WS11'!$B$2:$Q$475,11,0),0)</f>
        <v>1</v>
      </c>
      <c r="O364" s="17">
        <f>IFERROR(VLOOKUP(M364,'WS11'!$B$2:$Q$475,12,0),0)</f>
        <v>21000</v>
      </c>
      <c r="P364" s="17">
        <f t="shared" si="22"/>
        <v>21000</v>
      </c>
      <c r="Q364" s="15">
        <f t="shared" si="23"/>
        <v>0.19999999999999996</v>
      </c>
      <c r="R364" s="17">
        <f t="shared" si="23"/>
        <v>0</v>
      </c>
      <c r="S364" s="13" t="s">
        <v>543</v>
      </c>
    </row>
    <row r="365" spans="1:19" x14ac:dyDescent="0.25">
      <c r="A365" s="4" t="s">
        <v>160</v>
      </c>
      <c r="B365" s="5" t="s">
        <v>125</v>
      </c>
      <c r="C365" s="4" t="s">
        <v>117</v>
      </c>
      <c r="D365" s="5" t="s">
        <v>183</v>
      </c>
      <c r="E365" s="4" t="s">
        <v>85</v>
      </c>
      <c r="F365" s="4" t="s">
        <v>86</v>
      </c>
      <c r="G365" s="4" t="s">
        <v>16</v>
      </c>
      <c r="H365" s="6">
        <v>1.5</v>
      </c>
      <c r="I365" s="7">
        <v>50000</v>
      </c>
      <c r="J365" s="7">
        <f t="shared" si="21"/>
        <v>75000</v>
      </c>
      <c r="K365" s="8" t="s">
        <v>17</v>
      </c>
      <c r="L365" t="str">
        <f>IFERROR(VLOOKUP(F365,MÃ!$A:$B,2,0),0)</f>
        <v>NL300142</v>
      </c>
      <c r="M365" t="str">
        <f t="shared" si="24"/>
        <v>11/01/2026NL300142</v>
      </c>
      <c r="N365" s="15">
        <f>IFERROR(VLOOKUP(M365,'WS11'!$B$2:$Q$475,11,0),0)</f>
        <v>1.5</v>
      </c>
      <c r="O365" s="17">
        <f>IFERROR(VLOOKUP(M365,'WS11'!$B$2:$Q$475,12,0),0)</f>
        <v>50000</v>
      </c>
      <c r="P365" s="17">
        <f t="shared" si="22"/>
        <v>75000</v>
      </c>
      <c r="Q365" s="15">
        <f t="shared" si="23"/>
        <v>0</v>
      </c>
      <c r="R365" s="17">
        <f t="shared" si="23"/>
        <v>0</v>
      </c>
      <c r="S365" s="13"/>
    </row>
    <row r="366" spans="1:19" x14ac:dyDescent="0.25">
      <c r="A366" s="4" t="s">
        <v>160</v>
      </c>
      <c r="B366" s="5" t="s">
        <v>125</v>
      </c>
      <c r="C366" s="4" t="s">
        <v>117</v>
      </c>
      <c r="D366" s="5" t="s">
        <v>183</v>
      </c>
      <c r="E366" s="4" t="s">
        <v>135</v>
      </c>
      <c r="F366" s="4" t="s">
        <v>136</v>
      </c>
      <c r="G366" s="4" t="s">
        <v>108</v>
      </c>
      <c r="H366" s="6">
        <v>23</v>
      </c>
      <c r="I366" s="7">
        <v>9000</v>
      </c>
      <c r="J366" s="7">
        <f t="shared" si="21"/>
        <v>207000</v>
      </c>
      <c r="K366" s="8" t="s">
        <v>17</v>
      </c>
      <c r="L366" t="str">
        <f>IFERROR(VLOOKUP(F366,MÃ!$A:$B,2,0),0)</f>
        <v>NL100279</v>
      </c>
      <c r="M366" t="str">
        <f t="shared" si="24"/>
        <v>11/01/2026NL100279</v>
      </c>
      <c r="N366" s="15">
        <f>IFERROR(VLOOKUP(M366,'WS11'!$B$2:$Q$475,11,0),0)</f>
        <v>20</v>
      </c>
      <c r="O366" s="17">
        <f>IFERROR(VLOOKUP(M366,'WS11'!$B$2:$Q$475,12,0),0)</f>
        <v>9000</v>
      </c>
      <c r="P366" s="17">
        <f t="shared" si="22"/>
        <v>180000</v>
      </c>
      <c r="Q366" s="15">
        <f t="shared" si="23"/>
        <v>3</v>
      </c>
      <c r="R366" s="17">
        <f t="shared" si="23"/>
        <v>0</v>
      </c>
      <c r="S366" s="13" t="s">
        <v>543</v>
      </c>
    </row>
    <row r="367" spans="1:19" x14ac:dyDescent="0.25">
      <c r="A367" s="4" t="s">
        <v>160</v>
      </c>
      <c r="B367" s="5" t="s">
        <v>125</v>
      </c>
      <c r="C367" s="4" t="s">
        <v>117</v>
      </c>
      <c r="D367" s="5" t="s">
        <v>183</v>
      </c>
      <c r="E367" s="4" t="s">
        <v>106</v>
      </c>
      <c r="F367" s="4" t="s">
        <v>107</v>
      </c>
      <c r="G367" s="4" t="s">
        <v>108</v>
      </c>
      <c r="H367" s="6">
        <v>20</v>
      </c>
      <c r="I367" s="7">
        <v>5000</v>
      </c>
      <c r="J367" s="7">
        <f t="shared" si="21"/>
        <v>100000</v>
      </c>
      <c r="K367" s="8" t="s">
        <v>17</v>
      </c>
      <c r="L367" t="str">
        <f>IFERROR(VLOOKUP(F367,MÃ!$A:$B,2,0),0)</f>
        <v>NL100101</v>
      </c>
      <c r="M367" t="str">
        <f t="shared" si="24"/>
        <v>11/01/2026NL100101</v>
      </c>
      <c r="N367" s="15">
        <f>IFERROR(VLOOKUP(M367,'WS11'!$B$2:$Q$475,11,0),0)</f>
        <v>15</v>
      </c>
      <c r="O367" s="17">
        <f>IFERROR(VLOOKUP(M367,'WS11'!$B$2:$Q$475,12,0),0)</f>
        <v>5000</v>
      </c>
      <c r="P367" s="17">
        <f t="shared" si="22"/>
        <v>75000</v>
      </c>
      <c r="Q367" s="15">
        <f t="shared" si="23"/>
        <v>5</v>
      </c>
      <c r="R367" s="17">
        <f t="shared" si="23"/>
        <v>0</v>
      </c>
      <c r="S367" s="13" t="s">
        <v>543</v>
      </c>
    </row>
    <row r="368" spans="1:19" x14ac:dyDescent="0.25">
      <c r="A368" s="4" t="s">
        <v>160</v>
      </c>
      <c r="B368" s="5" t="s">
        <v>125</v>
      </c>
      <c r="C368" s="4" t="s">
        <v>117</v>
      </c>
      <c r="D368" s="5" t="s">
        <v>183</v>
      </c>
      <c r="E368" s="4" t="s">
        <v>54</v>
      </c>
      <c r="F368" s="4" t="s">
        <v>55</v>
      </c>
      <c r="G368" s="4" t="s">
        <v>16</v>
      </c>
      <c r="H368" s="6">
        <v>5</v>
      </c>
      <c r="I368" s="7">
        <v>62000</v>
      </c>
      <c r="J368" s="7">
        <f t="shared" si="21"/>
        <v>310000</v>
      </c>
      <c r="K368" s="8" t="s">
        <v>17</v>
      </c>
      <c r="L368" t="str">
        <f>IFERROR(VLOOKUP(F368,MÃ!$A:$B,2,0),0)</f>
        <v>NL300147</v>
      </c>
      <c r="M368" t="str">
        <f t="shared" si="24"/>
        <v>11/01/2026NL300147</v>
      </c>
      <c r="N368" s="15">
        <f>IFERROR(VLOOKUP(M368,'WS11'!$B$2:$Q$475,11,0),0)</f>
        <v>3</v>
      </c>
      <c r="O368" s="17">
        <f>IFERROR(VLOOKUP(M368,'WS11'!$B$2:$Q$475,12,0),0)</f>
        <v>62000</v>
      </c>
      <c r="P368" s="17">
        <f t="shared" si="22"/>
        <v>186000</v>
      </c>
      <c r="Q368" s="15">
        <f t="shared" si="23"/>
        <v>2</v>
      </c>
      <c r="R368" s="17">
        <f t="shared" si="23"/>
        <v>0</v>
      </c>
      <c r="S368" s="13" t="s">
        <v>543</v>
      </c>
    </row>
    <row r="369" spans="1:19" x14ac:dyDescent="0.25">
      <c r="A369" s="4" t="s">
        <v>162</v>
      </c>
      <c r="B369" s="5" t="s">
        <v>125</v>
      </c>
      <c r="C369" s="4" t="s">
        <v>117</v>
      </c>
      <c r="D369" s="5" t="s">
        <v>184</v>
      </c>
      <c r="E369" s="4" t="s">
        <v>18</v>
      </c>
      <c r="F369" s="4" t="s">
        <v>19</v>
      </c>
      <c r="G369" s="4" t="s">
        <v>16</v>
      </c>
      <c r="H369" s="6">
        <v>2</v>
      </c>
      <c r="I369" s="7">
        <v>15000</v>
      </c>
      <c r="J369" s="7">
        <f t="shared" si="21"/>
        <v>30000</v>
      </c>
      <c r="K369" s="8" t="s">
        <v>17</v>
      </c>
      <c r="L369" t="str">
        <f>IFERROR(VLOOKUP(F369,MÃ!$A:$B,2,0),0)</f>
        <v>NL300189</v>
      </c>
      <c r="M369" t="str">
        <f t="shared" si="24"/>
        <v>12/01/2026NL300189</v>
      </c>
      <c r="N369" s="15">
        <f>IFERROR(VLOOKUP(M369,'WS11'!$B$2:$Q$475,11,0),0)</f>
        <v>1</v>
      </c>
      <c r="O369" s="17">
        <f>IFERROR(VLOOKUP(M369,'WS11'!$B$2:$Q$475,12,0),0)</f>
        <v>15000</v>
      </c>
      <c r="P369" s="17">
        <f t="shared" si="22"/>
        <v>15000</v>
      </c>
      <c r="Q369" s="15">
        <f t="shared" si="23"/>
        <v>1</v>
      </c>
      <c r="R369" s="17">
        <f t="shared" si="23"/>
        <v>0</v>
      </c>
      <c r="S369" s="13" t="s">
        <v>543</v>
      </c>
    </row>
    <row r="370" spans="1:19" x14ac:dyDescent="0.25">
      <c r="A370" s="4" t="s">
        <v>162</v>
      </c>
      <c r="B370" s="5" t="s">
        <v>125</v>
      </c>
      <c r="C370" s="4" t="s">
        <v>117</v>
      </c>
      <c r="D370" s="5" t="s">
        <v>184</v>
      </c>
      <c r="E370" s="4" t="s">
        <v>24</v>
      </c>
      <c r="F370" s="4" t="s">
        <v>25</v>
      </c>
      <c r="G370" s="4" t="s">
        <v>16</v>
      </c>
      <c r="H370" s="6">
        <v>6</v>
      </c>
      <c r="I370" s="7">
        <v>40000</v>
      </c>
      <c r="J370" s="7">
        <f t="shared" si="21"/>
        <v>240000</v>
      </c>
      <c r="K370" s="8" t="s">
        <v>17</v>
      </c>
      <c r="L370" t="str">
        <f>IFERROR(VLOOKUP(F370,MÃ!$A:$B,2,0),0)</f>
        <v>NL300008</v>
      </c>
      <c r="M370" t="str">
        <f t="shared" si="24"/>
        <v>12/01/2026NL300008</v>
      </c>
      <c r="N370" s="15">
        <f>IFERROR(VLOOKUP(M370,'WS11'!$B$2:$Q$475,11,0),0)</f>
        <v>4</v>
      </c>
      <c r="O370" s="17">
        <f>IFERROR(VLOOKUP(M370,'WS11'!$B$2:$Q$475,12,0),0)</f>
        <v>40000</v>
      </c>
      <c r="P370" s="17">
        <f t="shared" si="22"/>
        <v>160000</v>
      </c>
      <c r="Q370" s="15">
        <f t="shared" si="23"/>
        <v>2</v>
      </c>
      <c r="R370" s="17">
        <f t="shared" si="23"/>
        <v>0</v>
      </c>
      <c r="S370" s="13" t="s">
        <v>543</v>
      </c>
    </row>
    <row r="371" spans="1:19" x14ac:dyDescent="0.25">
      <c r="A371" s="4" t="s">
        <v>162</v>
      </c>
      <c r="B371" s="5" t="s">
        <v>125</v>
      </c>
      <c r="C371" s="4" t="s">
        <v>117</v>
      </c>
      <c r="D371" s="5" t="s">
        <v>184</v>
      </c>
      <c r="E371" s="4" t="s">
        <v>126</v>
      </c>
      <c r="F371" s="4" t="s">
        <v>127</v>
      </c>
      <c r="G371" s="4" t="s">
        <v>16</v>
      </c>
      <c r="H371" s="6">
        <v>2</v>
      </c>
      <c r="I371" s="7">
        <v>52000</v>
      </c>
      <c r="J371" s="7">
        <f t="shared" si="21"/>
        <v>104000</v>
      </c>
      <c r="K371" s="8" t="s">
        <v>17</v>
      </c>
      <c r="L371" t="str">
        <f>IFERROR(VLOOKUP(F371,MÃ!$A:$B,2,0),0)</f>
        <v>NL300137</v>
      </c>
      <c r="M371" t="str">
        <f t="shared" si="24"/>
        <v>12/01/2026NL300137</v>
      </c>
      <c r="N371" s="15">
        <f>IFERROR(VLOOKUP(M371,'WS11'!$B$2:$Q$475,11,0),0)</f>
        <v>1</v>
      </c>
      <c r="O371" s="17">
        <f>IFERROR(VLOOKUP(M371,'WS11'!$B$2:$Q$475,12,0),0)</f>
        <v>52000</v>
      </c>
      <c r="P371" s="17">
        <f t="shared" si="22"/>
        <v>52000</v>
      </c>
      <c r="Q371" s="15">
        <f t="shared" si="23"/>
        <v>1</v>
      </c>
      <c r="R371" s="17">
        <f t="shared" si="23"/>
        <v>0</v>
      </c>
      <c r="S371" s="13" t="s">
        <v>543</v>
      </c>
    </row>
    <row r="372" spans="1:19" x14ac:dyDescent="0.25">
      <c r="A372" s="4" t="s">
        <v>162</v>
      </c>
      <c r="B372" s="5" t="s">
        <v>125</v>
      </c>
      <c r="C372" s="4" t="s">
        <v>117</v>
      </c>
      <c r="D372" s="5" t="s">
        <v>184</v>
      </c>
      <c r="E372" s="4" t="s">
        <v>28</v>
      </c>
      <c r="F372" s="4" t="s">
        <v>29</v>
      </c>
      <c r="G372" s="4" t="s">
        <v>16</v>
      </c>
      <c r="H372" s="6">
        <v>3</v>
      </c>
      <c r="I372" s="7">
        <v>30000</v>
      </c>
      <c r="J372" s="7">
        <f t="shared" si="21"/>
        <v>90000</v>
      </c>
      <c r="K372" s="8" t="s">
        <v>17</v>
      </c>
      <c r="L372" t="str">
        <f>IFERROR(VLOOKUP(F372,MÃ!$A:$B,2,0),0)</f>
        <v>NL300020</v>
      </c>
      <c r="M372" t="str">
        <f t="shared" si="24"/>
        <v>12/01/2026NL300020</v>
      </c>
      <c r="N372" s="15">
        <f>IFERROR(VLOOKUP(M372,'WS11'!$B$2:$Q$475,11,0),0)</f>
        <v>1</v>
      </c>
      <c r="O372" s="17">
        <f>IFERROR(VLOOKUP(M372,'WS11'!$B$2:$Q$475,12,0),0)</f>
        <v>30000</v>
      </c>
      <c r="P372" s="17">
        <f t="shared" si="22"/>
        <v>30000</v>
      </c>
      <c r="Q372" s="15">
        <f t="shared" si="23"/>
        <v>2</v>
      </c>
      <c r="R372" s="17">
        <f t="shared" si="23"/>
        <v>0</v>
      </c>
      <c r="S372" s="13" t="s">
        <v>543</v>
      </c>
    </row>
    <row r="373" spans="1:19" x14ac:dyDescent="0.25">
      <c r="A373" s="4" t="s">
        <v>162</v>
      </c>
      <c r="B373" s="5" t="s">
        <v>125</v>
      </c>
      <c r="C373" s="4" t="s">
        <v>117</v>
      </c>
      <c r="D373" s="5" t="s">
        <v>184</v>
      </c>
      <c r="E373" s="4" t="s">
        <v>59</v>
      </c>
      <c r="F373" s="4" t="s">
        <v>60</v>
      </c>
      <c r="G373" s="4" t="s">
        <v>16</v>
      </c>
      <c r="H373" s="6">
        <v>0.5</v>
      </c>
      <c r="I373" s="7">
        <v>75000</v>
      </c>
      <c r="J373" s="7">
        <f t="shared" si="21"/>
        <v>37500</v>
      </c>
      <c r="K373" s="8" t="s">
        <v>17</v>
      </c>
      <c r="L373" t="str">
        <f>IFERROR(VLOOKUP(F373,MÃ!$A:$B,2,0),0)</f>
        <v>NL600067</v>
      </c>
      <c r="M373" t="str">
        <f t="shared" si="24"/>
        <v>12/01/2026NL600067</v>
      </c>
      <c r="N373" s="15">
        <f>IFERROR(VLOOKUP(M373,'WS11'!$B$2:$Q$475,11,0),0)</f>
        <v>0.5</v>
      </c>
      <c r="O373" s="17">
        <f>IFERROR(VLOOKUP(M373,'WS11'!$B$2:$Q$475,12,0),0)</f>
        <v>75000</v>
      </c>
      <c r="P373" s="17">
        <f t="shared" si="22"/>
        <v>37500</v>
      </c>
      <c r="Q373" s="15">
        <f t="shared" si="23"/>
        <v>0</v>
      </c>
      <c r="R373" s="17">
        <f t="shared" si="23"/>
        <v>0</v>
      </c>
      <c r="S373" s="13"/>
    </row>
    <row r="374" spans="1:19" x14ac:dyDescent="0.25">
      <c r="A374" s="4" t="s">
        <v>162</v>
      </c>
      <c r="B374" s="5" t="s">
        <v>125</v>
      </c>
      <c r="C374" s="4" t="s">
        <v>117</v>
      </c>
      <c r="D374" s="5" t="s">
        <v>184</v>
      </c>
      <c r="E374" s="4" t="s">
        <v>61</v>
      </c>
      <c r="F374" s="4" t="s">
        <v>62</v>
      </c>
      <c r="G374" s="4" t="s">
        <v>16</v>
      </c>
      <c r="H374" s="6">
        <v>0.5</v>
      </c>
      <c r="I374" s="7">
        <v>22000</v>
      </c>
      <c r="J374" s="7">
        <f t="shared" si="21"/>
        <v>11000</v>
      </c>
      <c r="K374" s="8" t="s">
        <v>17</v>
      </c>
      <c r="L374" t="str">
        <f>IFERROR(VLOOKUP(F374,MÃ!$A:$B,2,0),0)</f>
        <v>NL300029</v>
      </c>
      <c r="M374" t="str">
        <f t="shared" si="24"/>
        <v>12/01/2026NL300029</v>
      </c>
      <c r="N374" s="15">
        <f>IFERROR(VLOOKUP(M374,'WS11'!$B$2:$Q$475,11,0),0)</f>
        <v>0</v>
      </c>
      <c r="O374" s="17">
        <f>IFERROR(VLOOKUP(M374,'WS11'!$B$2:$Q$475,12,0),0)</f>
        <v>0</v>
      </c>
      <c r="P374" s="17">
        <f t="shared" si="22"/>
        <v>0</v>
      </c>
      <c r="Q374" s="15">
        <f t="shared" si="23"/>
        <v>0.5</v>
      </c>
      <c r="R374" s="17">
        <f t="shared" si="23"/>
        <v>22000</v>
      </c>
      <c r="S374" s="13" t="s">
        <v>540</v>
      </c>
    </row>
    <row r="375" spans="1:19" x14ac:dyDescent="0.25">
      <c r="A375" s="4" t="s">
        <v>162</v>
      </c>
      <c r="B375" s="5" t="s">
        <v>125</v>
      </c>
      <c r="C375" s="4" t="s">
        <v>117</v>
      </c>
      <c r="D375" s="5" t="s">
        <v>184</v>
      </c>
      <c r="E375" s="4" t="s">
        <v>30</v>
      </c>
      <c r="F375" s="4" t="s">
        <v>31</v>
      </c>
      <c r="G375" s="4" t="s">
        <v>16</v>
      </c>
      <c r="H375" s="6">
        <v>0.5</v>
      </c>
      <c r="I375" s="7">
        <v>38000</v>
      </c>
      <c r="J375" s="7">
        <f t="shared" si="21"/>
        <v>19000</v>
      </c>
      <c r="K375" s="8" t="s">
        <v>17</v>
      </c>
      <c r="L375" t="str">
        <f>IFERROR(VLOOKUP(F375,MÃ!$A:$B,2,0),0)</f>
        <v>NL300054</v>
      </c>
      <c r="M375" t="str">
        <f t="shared" si="24"/>
        <v>12/01/2026NL300054</v>
      </c>
      <c r="N375" s="15">
        <f>IFERROR(VLOOKUP(M375,'WS11'!$B$2:$Q$475,11,0),0)</f>
        <v>0.4</v>
      </c>
      <c r="O375" s="17">
        <f>IFERROR(VLOOKUP(M375,'WS11'!$B$2:$Q$475,12,0),0)</f>
        <v>38000</v>
      </c>
      <c r="P375" s="17">
        <f t="shared" si="22"/>
        <v>15200</v>
      </c>
      <c r="Q375" s="15">
        <f t="shared" si="23"/>
        <v>9.9999999999999978E-2</v>
      </c>
      <c r="R375" s="17">
        <f t="shared" si="23"/>
        <v>0</v>
      </c>
      <c r="S375" s="13" t="s">
        <v>543</v>
      </c>
    </row>
    <row r="376" spans="1:19" x14ac:dyDescent="0.25">
      <c r="A376" s="4" t="s">
        <v>162</v>
      </c>
      <c r="B376" s="5" t="s">
        <v>125</v>
      </c>
      <c r="C376" s="4" t="s">
        <v>117</v>
      </c>
      <c r="D376" s="5" t="s">
        <v>184</v>
      </c>
      <c r="E376" s="4" t="s">
        <v>32</v>
      </c>
      <c r="F376" s="4" t="s">
        <v>33</v>
      </c>
      <c r="G376" s="4" t="s">
        <v>16</v>
      </c>
      <c r="H376" s="6">
        <v>0.2</v>
      </c>
      <c r="I376" s="7">
        <v>25000</v>
      </c>
      <c r="J376" s="7">
        <f t="shared" si="21"/>
        <v>5000</v>
      </c>
      <c r="K376" s="8" t="s">
        <v>17</v>
      </c>
      <c r="L376" t="str">
        <f>IFERROR(VLOOKUP(F376,MÃ!$A:$B,2,0),0)</f>
        <v>NL300035</v>
      </c>
      <c r="M376" t="str">
        <f t="shared" si="24"/>
        <v>12/01/2026NL300035</v>
      </c>
      <c r="N376" s="15">
        <f>IFERROR(VLOOKUP(M376,'WS11'!$B$2:$Q$475,11,0),0)</f>
        <v>0.2</v>
      </c>
      <c r="O376" s="17">
        <f>IFERROR(VLOOKUP(M376,'WS11'!$B$2:$Q$475,12,0),0)</f>
        <v>25000</v>
      </c>
      <c r="P376" s="17">
        <f t="shared" si="22"/>
        <v>5000</v>
      </c>
      <c r="Q376" s="15">
        <f t="shared" si="23"/>
        <v>0</v>
      </c>
      <c r="R376" s="17">
        <f t="shared" si="23"/>
        <v>0</v>
      </c>
      <c r="S376" s="13"/>
    </row>
    <row r="377" spans="1:19" x14ac:dyDescent="0.25">
      <c r="A377" s="4" t="s">
        <v>162</v>
      </c>
      <c r="B377" s="5" t="s">
        <v>125</v>
      </c>
      <c r="C377" s="4" t="s">
        <v>117</v>
      </c>
      <c r="D377" s="5" t="s">
        <v>184</v>
      </c>
      <c r="E377" s="4" t="s">
        <v>95</v>
      </c>
      <c r="F377" s="4" t="s">
        <v>96</v>
      </c>
      <c r="G377" s="4" t="s">
        <v>16</v>
      </c>
      <c r="H377" s="6">
        <v>0.5</v>
      </c>
      <c r="I377" s="7">
        <v>47000</v>
      </c>
      <c r="J377" s="7">
        <f t="shared" si="21"/>
        <v>23500</v>
      </c>
      <c r="K377" s="8" t="s">
        <v>17</v>
      </c>
      <c r="L377" t="str">
        <f>IFERROR(VLOOKUP(F377,MÃ!$A:$B,2,0),0)</f>
        <v>NL300036</v>
      </c>
      <c r="M377" t="str">
        <f t="shared" si="24"/>
        <v>12/01/2026NL300036</v>
      </c>
      <c r="N377" s="15">
        <f>IFERROR(VLOOKUP(M377,'WS11'!$B$2:$Q$475,11,0),0)</f>
        <v>0.4</v>
      </c>
      <c r="O377" s="17">
        <f>IFERROR(VLOOKUP(M377,'WS11'!$B$2:$Q$475,12,0),0)</f>
        <v>47000</v>
      </c>
      <c r="P377" s="17">
        <f t="shared" si="22"/>
        <v>18800</v>
      </c>
      <c r="Q377" s="15">
        <f t="shared" si="23"/>
        <v>9.9999999999999978E-2</v>
      </c>
      <c r="R377" s="17">
        <f t="shared" si="23"/>
        <v>0</v>
      </c>
      <c r="S377" s="13" t="s">
        <v>543</v>
      </c>
    </row>
    <row r="378" spans="1:19" x14ac:dyDescent="0.25">
      <c r="A378" s="4" t="s">
        <v>162</v>
      </c>
      <c r="B378" s="5" t="s">
        <v>125</v>
      </c>
      <c r="C378" s="4" t="s">
        <v>117</v>
      </c>
      <c r="D378" s="5" t="s">
        <v>184</v>
      </c>
      <c r="E378" s="4" t="s">
        <v>34</v>
      </c>
      <c r="F378" s="4" t="s">
        <v>35</v>
      </c>
      <c r="G378" s="4" t="s">
        <v>16</v>
      </c>
      <c r="H378" s="6">
        <v>1</v>
      </c>
      <c r="I378" s="7">
        <v>32000</v>
      </c>
      <c r="J378" s="7">
        <f t="shared" si="21"/>
        <v>32000</v>
      </c>
      <c r="K378" s="8" t="s">
        <v>17</v>
      </c>
      <c r="L378" t="str">
        <f>IFERROR(VLOOKUP(F378,MÃ!$A:$B,2,0),0)</f>
        <v>NL300038</v>
      </c>
      <c r="M378" t="str">
        <f t="shared" si="24"/>
        <v>12/01/2026NL300038</v>
      </c>
      <c r="N378" s="15">
        <f>IFERROR(VLOOKUP(M378,'WS11'!$B$2:$Q$475,11,0),0)</f>
        <v>0.5</v>
      </c>
      <c r="O378" s="17">
        <f>IFERROR(VLOOKUP(M378,'WS11'!$B$2:$Q$475,12,0),0)</f>
        <v>32000</v>
      </c>
      <c r="P378" s="17">
        <f t="shared" si="22"/>
        <v>16000</v>
      </c>
      <c r="Q378" s="15">
        <f t="shared" si="23"/>
        <v>0.5</v>
      </c>
      <c r="R378" s="17">
        <f t="shared" si="23"/>
        <v>0</v>
      </c>
      <c r="S378" s="13" t="s">
        <v>543</v>
      </c>
    </row>
    <row r="379" spans="1:19" x14ac:dyDescent="0.25">
      <c r="A379" s="4" t="s">
        <v>162</v>
      </c>
      <c r="B379" s="5" t="s">
        <v>125</v>
      </c>
      <c r="C379" s="4" t="s">
        <v>117</v>
      </c>
      <c r="D379" s="5" t="s">
        <v>184</v>
      </c>
      <c r="E379" s="4" t="s">
        <v>97</v>
      </c>
      <c r="F379" s="4" t="s">
        <v>98</v>
      </c>
      <c r="G379" s="4" t="s">
        <v>99</v>
      </c>
      <c r="H379" s="6">
        <v>3</v>
      </c>
      <c r="I379" s="7">
        <v>15000</v>
      </c>
      <c r="J379" s="7">
        <f t="shared" si="21"/>
        <v>45000</v>
      </c>
      <c r="K379" s="8" t="s">
        <v>17</v>
      </c>
      <c r="L379" t="str">
        <f>IFERROR(VLOOKUP(F379,MÃ!$A:$B,2,0),0)</f>
        <v>NL300041</v>
      </c>
      <c r="M379" t="str">
        <f t="shared" si="24"/>
        <v>12/01/2026NL300041</v>
      </c>
      <c r="N379" s="15">
        <f>IFERROR(VLOOKUP(M379,'WS11'!$B$2:$Q$475,11,0),0)</f>
        <v>3</v>
      </c>
      <c r="O379" s="17">
        <f>IFERROR(VLOOKUP(M379,'WS11'!$B$2:$Q$475,12,0),0)</f>
        <v>15000</v>
      </c>
      <c r="P379" s="17">
        <f t="shared" si="22"/>
        <v>45000</v>
      </c>
      <c r="Q379" s="15">
        <f t="shared" si="23"/>
        <v>0</v>
      </c>
      <c r="R379" s="17">
        <f t="shared" si="23"/>
        <v>0</v>
      </c>
      <c r="S379" s="13"/>
    </row>
    <row r="380" spans="1:19" x14ac:dyDescent="0.25">
      <c r="A380" s="4" t="s">
        <v>162</v>
      </c>
      <c r="B380" s="5" t="s">
        <v>125</v>
      </c>
      <c r="C380" s="4" t="s">
        <v>117</v>
      </c>
      <c r="D380" s="5" t="s">
        <v>184</v>
      </c>
      <c r="E380" s="4" t="s">
        <v>36</v>
      </c>
      <c r="F380" s="4" t="s">
        <v>37</v>
      </c>
      <c r="G380" s="4" t="s">
        <v>16</v>
      </c>
      <c r="H380" s="6">
        <v>21</v>
      </c>
      <c r="I380" s="7">
        <v>18000</v>
      </c>
      <c r="J380" s="7">
        <f t="shared" si="21"/>
        <v>378000</v>
      </c>
      <c r="K380" s="8" t="s">
        <v>17</v>
      </c>
      <c r="L380" t="str">
        <f>IFERROR(VLOOKUP(F380,MÃ!$A:$B,2,0),0)</f>
        <v>NL600004</v>
      </c>
      <c r="M380" t="str">
        <f t="shared" si="24"/>
        <v>12/01/2026NL600004</v>
      </c>
      <c r="N380" s="15">
        <f>IFERROR(VLOOKUP(M380,'WS11'!$B$2:$Q$475,11,0),0)</f>
        <v>21</v>
      </c>
      <c r="O380" s="17">
        <f>IFERROR(VLOOKUP(M380,'WS11'!$B$2:$Q$475,12,0),0)</f>
        <v>18000</v>
      </c>
      <c r="P380" s="17">
        <f t="shared" si="22"/>
        <v>378000</v>
      </c>
      <c r="Q380" s="15">
        <f t="shared" si="23"/>
        <v>0</v>
      </c>
      <c r="R380" s="17">
        <f t="shared" si="23"/>
        <v>0</v>
      </c>
      <c r="S380" s="13"/>
    </row>
    <row r="381" spans="1:19" x14ac:dyDescent="0.25">
      <c r="A381" s="4" t="s">
        <v>162</v>
      </c>
      <c r="B381" s="5" t="s">
        <v>125</v>
      </c>
      <c r="C381" s="4" t="s">
        <v>117</v>
      </c>
      <c r="D381" s="5" t="s">
        <v>184</v>
      </c>
      <c r="E381" s="4" t="s">
        <v>38</v>
      </c>
      <c r="F381" s="4" t="s">
        <v>39</v>
      </c>
      <c r="G381" s="4" t="s">
        <v>16</v>
      </c>
      <c r="H381" s="6">
        <v>1</v>
      </c>
      <c r="I381" s="7">
        <v>55000</v>
      </c>
      <c r="J381" s="7">
        <f t="shared" si="21"/>
        <v>55000</v>
      </c>
      <c r="K381" s="8" t="s">
        <v>17</v>
      </c>
      <c r="L381" t="str">
        <f>IFERROR(VLOOKUP(F381,MÃ!$A:$B,2,0),0)</f>
        <v>NL300058</v>
      </c>
      <c r="M381" t="str">
        <f t="shared" si="24"/>
        <v>12/01/2026NL300058</v>
      </c>
      <c r="N381" s="15">
        <f>IFERROR(VLOOKUP(M381,'WS11'!$B$2:$Q$475,11,0),0)</f>
        <v>0.5</v>
      </c>
      <c r="O381" s="17">
        <f>IFERROR(VLOOKUP(M381,'WS11'!$B$2:$Q$475,12,0),0)</f>
        <v>55000</v>
      </c>
      <c r="P381" s="17">
        <f t="shared" si="22"/>
        <v>27500</v>
      </c>
      <c r="Q381" s="15">
        <f t="shared" si="23"/>
        <v>0.5</v>
      </c>
      <c r="R381" s="17">
        <f t="shared" si="23"/>
        <v>0</v>
      </c>
      <c r="S381" s="13" t="s">
        <v>543</v>
      </c>
    </row>
    <row r="382" spans="1:19" x14ac:dyDescent="0.25">
      <c r="A382" s="4" t="s">
        <v>162</v>
      </c>
      <c r="B382" s="5" t="s">
        <v>125</v>
      </c>
      <c r="C382" s="4" t="s">
        <v>117</v>
      </c>
      <c r="D382" s="5" t="s">
        <v>184</v>
      </c>
      <c r="E382" s="4" t="s">
        <v>113</v>
      </c>
      <c r="F382" s="4" t="s">
        <v>114</v>
      </c>
      <c r="G382" s="4" t="s">
        <v>16</v>
      </c>
      <c r="H382" s="6">
        <v>0.5</v>
      </c>
      <c r="I382" s="7">
        <v>13000</v>
      </c>
      <c r="J382" s="7">
        <f t="shared" si="21"/>
        <v>6500</v>
      </c>
      <c r="K382" s="8" t="s">
        <v>17</v>
      </c>
      <c r="L382" t="str">
        <f>IFERROR(VLOOKUP(F382,MÃ!$A:$B,2,0),0)</f>
        <v>NL300059</v>
      </c>
      <c r="M382" t="str">
        <f t="shared" si="24"/>
        <v>12/01/2026NL300059</v>
      </c>
      <c r="N382" s="15">
        <f>IFERROR(VLOOKUP(M382,'WS11'!$B$2:$Q$475,11,0),0)</f>
        <v>0.4</v>
      </c>
      <c r="O382" s="17">
        <f>IFERROR(VLOOKUP(M382,'WS11'!$B$2:$Q$475,12,0),0)</f>
        <v>13000</v>
      </c>
      <c r="P382" s="17">
        <f t="shared" si="22"/>
        <v>5200</v>
      </c>
      <c r="Q382" s="15">
        <f t="shared" si="23"/>
        <v>9.9999999999999978E-2</v>
      </c>
      <c r="R382" s="17">
        <f t="shared" si="23"/>
        <v>0</v>
      </c>
      <c r="S382" s="13" t="s">
        <v>543</v>
      </c>
    </row>
    <row r="383" spans="1:19" x14ac:dyDescent="0.25">
      <c r="A383" s="4" t="s">
        <v>162</v>
      </c>
      <c r="B383" s="5" t="s">
        <v>125</v>
      </c>
      <c r="C383" s="4" t="s">
        <v>117</v>
      </c>
      <c r="D383" s="5" t="s">
        <v>184</v>
      </c>
      <c r="E383" s="4" t="s">
        <v>63</v>
      </c>
      <c r="F383" s="4" t="s">
        <v>64</v>
      </c>
      <c r="G383" s="4" t="s">
        <v>16</v>
      </c>
      <c r="H383" s="6">
        <v>0.2</v>
      </c>
      <c r="I383" s="7">
        <v>65000</v>
      </c>
      <c r="J383" s="7">
        <f t="shared" si="21"/>
        <v>13000</v>
      </c>
      <c r="K383" s="8" t="s">
        <v>17</v>
      </c>
      <c r="L383" t="str">
        <f>IFERROR(VLOOKUP(F383,MÃ!$A:$B,2,0),0)</f>
        <v>NL300062</v>
      </c>
      <c r="M383" t="str">
        <f t="shared" si="24"/>
        <v>12/01/2026NL300062</v>
      </c>
      <c r="N383" s="15">
        <f>IFERROR(VLOOKUP(M383,'WS11'!$B$2:$Q$475,11,0),0)</f>
        <v>0</v>
      </c>
      <c r="O383" s="17">
        <f>IFERROR(VLOOKUP(M383,'WS11'!$B$2:$Q$475,12,0),0)</f>
        <v>0</v>
      </c>
      <c r="P383" s="17">
        <f t="shared" si="22"/>
        <v>0</v>
      </c>
      <c r="Q383" s="15">
        <f t="shared" si="23"/>
        <v>0.2</v>
      </c>
      <c r="R383" s="17">
        <f t="shared" si="23"/>
        <v>65000</v>
      </c>
      <c r="S383" s="13" t="s">
        <v>540</v>
      </c>
    </row>
    <row r="384" spans="1:19" x14ac:dyDescent="0.25">
      <c r="A384" s="4" t="s">
        <v>162</v>
      </c>
      <c r="B384" s="5" t="s">
        <v>125</v>
      </c>
      <c r="C384" s="4" t="s">
        <v>117</v>
      </c>
      <c r="D384" s="5" t="s">
        <v>184</v>
      </c>
      <c r="E384" s="4" t="s">
        <v>14</v>
      </c>
      <c r="F384" s="4" t="s">
        <v>15</v>
      </c>
      <c r="G384" s="4" t="s">
        <v>16</v>
      </c>
      <c r="H384" s="6">
        <v>3</v>
      </c>
      <c r="I384" s="7">
        <v>27000</v>
      </c>
      <c r="J384" s="7">
        <f t="shared" si="21"/>
        <v>81000</v>
      </c>
      <c r="K384" s="8" t="s">
        <v>17</v>
      </c>
      <c r="L384" t="str">
        <f>IFERROR(VLOOKUP(F384,MÃ!$A:$B,2,0),0)</f>
        <v>NL300088</v>
      </c>
      <c r="M384" t="str">
        <f t="shared" si="24"/>
        <v>12/01/2026NL300088</v>
      </c>
      <c r="N384" s="15">
        <f>IFERROR(VLOOKUP(M384,'WS11'!$B$2:$Q$475,11,0),0)</f>
        <v>2</v>
      </c>
      <c r="O384" s="17">
        <f>IFERROR(VLOOKUP(M384,'WS11'!$B$2:$Q$475,12,0),0)</f>
        <v>27000</v>
      </c>
      <c r="P384" s="17">
        <f t="shared" si="22"/>
        <v>54000</v>
      </c>
      <c r="Q384" s="15">
        <f t="shared" si="23"/>
        <v>1</v>
      </c>
      <c r="R384" s="17">
        <f t="shared" si="23"/>
        <v>0</v>
      </c>
      <c r="S384" s="13" t="s">
        <v>543</v>
      </c>
    </row>
    <row r="385" spans="1:19" x14ac:dyDescent="0.25">
      <c r="A385" s="4" t="s">
        <v>162</v>
      </c>
      <c r="B385" s="5" t="s">
        <v>125</v>
      </c>
      <c r="C385" s="4" t="s">
        <v>117</v>
      </c>
      <c r="D385" s="5" t="s">
        <v>184</v>
      </c>
      <c r="E385" s="4" t="s">
        <v>69</v>
      </c>
      <c r="F385" s="4" t="s">
        <v>70</v>
      </c>
      <c r="G385" s="4" t="s">
        <v>16</v>
      </c>
      <c r="H385" s="6">
        <v>2</v>
      </c>
      <c r="I385" s="7">
        <v>145000</v>
      </c>
      <c r="J385" s="7">
        <f t="shared" si="21"/>
        <v>290000</v>
      </c>
      <c r="K385" s="8" t="s">
        <v>17</v>
      </c>
      <c r="L385" t="str">
        <f>IFERROR(VLOOKUP(F385,MÃ!$A:$B,2,0),0)</f>
        <v>NL300090</v>
      </c>
      <c r="M385" t="str">
        <f t="shared" si="24"/>
        <v>12/01/2026NL300090</v>
      </c>
      <c r="N385" s="15">
        <f>IFERROR(VLOOKUP(M385,'WS11'!$B$2:$Q$475,11,0),0)</f>
        <v>1</v>
      </c>
      <c r="O385" s="17">
        <f>IFERROR(VLOOKUP(M385,'WS11'!$B$2:$Q$475,12,0),0)</f>
        <v>145000</v>
      </c>
      <c r="P385" s="17">
        <f t="shared" si="22"/>
        <v>145000</v>
      </c>
      <c r="Q385" s="15">
        <f t="shared" si="23"/>
        <v>1</v>
      </c>
      <c r="R385" s="17">
        <f t="shared" si="23"/>
        <v>0</v>
      </c>
      <c r="S385" s="13" t="s">
        <v>543</v>
      </c>
    </row>
    <row r="386" spans="1:19" x14ac:dyDescent="0.25">
      <c r="A386" s="4" t="s">
        <v>162</v>
      </c>
      <c r="B386" s="5" t="s">
        <v>125</v>
      </c>
      <c r="C386" s="4" t="s">
        <v>117</v>
      </c>
      <c r="D386" s="5" t="s">
        <v>184</v>
      </c>
      <c r="E386" s="4" t="s">
        <v>71</v>
      </c>
      <c r="F386" s="4" t="s">
        <v>72</v>
      </c>
      <c r="G386" s="4" t="s">
        <v>16</v>
      </c>
      <c r="H386" s="6">
        <v>1</v>
      </c>
      <c r="I386" s="7">
        <v>47000</v>
      </c>
      <c r="J386" s="7">
        <f t="shared" si="21"/>
        <v>47000</v>
      </c>
      <c r="K386" s="8" t="s">
        <v>17</v>
      </c>
      <c r="L386" t="str">
        <f>IFERROR(VLOOKUP(F386,MÃ!$A:$B,2,0),0)</f>
        <v>NL300091</v>
      </c>
      <c r="M386" t="str">
        <f t="shared" si="24"/>
        <v>12/01/2026NL300091</v>
      </c>
      <c r="N386" s="15">
        <f>IFERROR(VLOOKUP(M386,'WS11'!$B$2:$Q$475,11,0),0)</f>
        <v>0.9</v>
      </c>
      <c r="O386" s="17">
        <f>IFERROR(VLOOKUP(M386,'WS11'!$B$2:$Q$475,12,0),0)</f>
        <v>47000</v>
      </c>
      <c r="P386" s="17">
        <f t="shared" si="22"/>
        <v>42300</v>
      </c>
      <c r="Q386" s="15">
        <f t="shared" si="23"/>
        <v>9.9999999999999978E-2</v>
      </c>
      <c r="R386" s="17">
        <f t="shared" si="23"/>
        <v>0</v>
      </c>
      <c r="S386" s="13" t="s">
        <v>543</v>
      </c>
    </row>
    <row r="387" spans="1:19" x14ac:dyDescent="0.25">
      <c r="A387" s="4" t="s">
        <v>162</v>
      </c>
      <c r="B387" s="5" t="s">
        <v>125</v>
      </c>
      <c r="C387" s="4" t="s">
        <v>117</v>
      </c>
      <c r="D387" s="5" t="s">
        <v>184</v>
      </c>
      <c r="E387" s="4" t="s">
        <v>73</v>
      </c>
      <c r="F387" s="4" t="s">
        <v>74</v>
      </c>
      <c r="G387" s="4" t="s">
        <v>16</v>
      </c>
      <c r="H387" s="6">
        <v>0.5</v>
      </c>
      <c r="I387" s="7">
        <v>90000</v>
      </c>
      <c r="J387" s="7">
        <f t="shared" si="21"/>
        <v>45000</v>
      </c>
      <c r="K387" s="8" t="s">
        <v>17</v>
      </c>
      <c r="L387" t="str">
        <f>IFERROR(VLOOKUP(F387,MÃ!$A:$B,2,0),0)</f>
        <v>NL300092</v>
      </c>
      <c r="M387" t="str">
        <f t="shared" si="24"/>
        <v>12/01/2026NL300092</v>
      </c>
      <c r="N387" s="15">
        <f>IFERROR(VLOOKUP(M387,'WS11'!$B$2:$Q$475,11,0),0)</f>
        <v>0.4</v>
      </c>
      <c r="O387" s="17">
        <f>IFERROR(VLOOKUP(M387,'WS11'!$B$2:$Q$475,12,0),0)</f>
        <v>90000</v>
      </c>
      <c r="P387" s="17">
        <f t="shared" si="22"/>
        <v>36000</v>
      </c>
      <c r="Q387" s="15">
        <f t="shared" si="23"/>
        <v>9.9999999999999978E-2</v>
      </c>
      <c r="R387" s="17">
        <f t="shared" si="23"/>
        <v>0</v>
      </c>
      <c r="S387" s="13" t="s">
        <v>543</v>
      </c>
    </row>
    <row r="388" spans="1:19" x14ac:dyDescent="0.25">
      <c r="A388" s="4" t="s">
        <v>162</v>
      </c>
      <c r="B388" s="5" t="s">
        <v>125</v>
      </c>
      <c r="C388" s="4" t="s">
        <v>117</v>
      </c>
      <c r="D388" s="5" t="s">
        <v>184</v>
      </c>
      <c r="E388" s="4" t="s">
        <v>44</v>
      </c>
      <c r="F388" s="4" t="s">
        <v>45</v>
      </c>
      <c r="G388" s="4" t="s">
        <v>16</v>
      </c>
      <c r="H388" s="6">
        <v>3</v>
      </c>
      <c r="I388" s="7">
        <v>45000</v>
      </c>
      <c r="J388" s="7">
        <f t="shared" si="21"/>
        <v>135000</v>
      </c>
      <c r="K388" s="8" t="s">
        <v>17</v>
      </c>
      <c r="L388" t="str">
        <f>IFERROR(VLOOKUP(F388,MÃ!$A:$B,2,0),0)</f>
        <v>NL300096</v>
      </c>
      <c r="M388" t="str">
        <f t="shared" si="24"/>
        <v>12/01/2026NL300096</v>
      </c>
      <c r="N388" s="15">
        <f>IFERROR(VLOOKUP(M388,'WS11'!$B$2:$Q$475,11,0),0)</f>
        <v>2.5</v>
      </c>
      <c r="O388" s="17">
        <f>IFERROR(VLOOKUP(M388,'WS11'!$B$2:$Q$475,12,0),0)</f>
        <v>45000</v>
      </c>
      <c r="P388" s="17">
        <f t="shared" si="22"/>
        <v>112500</v>
      </c>
      <c r="Q388" s="15">
        <f t="shared" si="23"/>
        <v>0.5</v>
      </c>
      <c r="R388" s="17">
        <f t="shared" si="23"/>
        <v>0</v>
      </c>
      <c r="S388" s="13" t="s">
        <v>543</v>
      </c>
    </row>
    <row r="389" spans="1:19" x14ac:dyDescent="0.25">
      <c r="A389" s="4" t="s">
        <v>162</v>
      </c>
      <c r="B389" s="5" t="s">
        <v>125</v>
      </c>
      <c r="C389" s="4" t="s">
        <v>117</v>
      </c>
      <c r="D389" s="5" t="s">
        <v>184</v>
      </c>
      <c r="E389" s="4" t="s">
        <v>77</v>
      </c>
      <c r="F389" s="4" t="s">
        <v>78</v>
      </c>
      <c r="G389" s="4" t="s">
        <v>16</v>
      </c>
      <c r="H389" s="6">
        <v>1.2</v>
      </c>
      <c r="I389" s="7">
        <v>45000</v>
      </c>
      <c r="J389" s="7">
        <f t="shared" si="21"/>
        <v>54000</v>
      </c>
      <c r="K389" s="8" t="s">
        <v>17</v>
      </c>
      <c r="L389" t="str">
        <f>IFERROR(VLOOKUP(F389,MÃ!$A:$B,2,0),0)</f>
        <v>NL300085</v>
      </c>
      <c r="M389" t="str">
        <f t="shared" si="24"/>
        <v>12/01/2026NL300085</v>
      </c>
      <c r="N389" s="15">
        <f>IFERROR(VLOOKUP(M389,'WS11'!$B$2:$Q$475,11,0),0)</f>
        <v>0.5</v>
      </c>
      <c r="O389" s="17">
        <f>IFERROR(VLOOKUP(M389,'WS11'!$B$2:$Q$475,12,0),0)</f>
        <v>45000</v>
      </c>
      <c r="P389" s="17">
        <f t="shared" si="22"/>
        <v>22500</v>
      </c>
      <c r="Q389" s="15">
        <f t="shared" si="23"/>
        <v>0.7</v>
      </c>
      <c r="R389" s="17">
        <f t="shared" si="23"/>
        <v>0</v>
      </c>
      <c r="S389" s="13" t="s">
        <v>543</v>
      </c>
    </row>
    <row r="390" spans="1:19" x14ac:dyDescent="0.25">
      <c r="A390" s="4" t="s">
        <v>162</v>
      </c>
      <c r="B390" s="5" t="s">
        <v>125</v>
      </c>
      <c r="C390" s="4" t="s">
        <v>117</v>
      </c>
      <c r="D390" s="5" t="s">
        <v>184</v>
      </c>
      <c r="E390" s="4" t="s">
        <v>102</v>
      </c>
      <c r="F390" s="4" t="s">
        <v>103</v>
      </c>
      <c r="G390" s="4" t="s">
        <v>16</v>
      </c>
      <c r="H390" s="6">
        <v>0.5</v>
      </c>
      <c r="I390" s="7">
        <v>145000</v>
      </c>
      <c r="J390" s="7">
        <f t="shared" si="21"/>
        <v>72500</v>
      </c>
      <c r="K390" s="8" t="s">
        <v>17</v>
      </c>
      <c r="L390" t="str">
        <f>IFERROR(VLOOKUP(F390,MÃ!$A:$B,2,0),0)</f>
        <v>NL300113</v>
      </c>
      <c r="M390" t="str">
        <f t="shared" si="24"/>
        <v>12/01/2026NL300113</v>
      </c>
      <c r="N390" s="15">
        <f>IFERROR(VLOOKUP(M390,'WS11'!$B$2:$Q$475,11,0),0)</f>
        <v>0.4</v>
      </c>
      <c r="O390" s="17">
        <f>IFERROR(VLOOKUP(M390,'WS11'!$B$2:$Q$475,12,0),0)</f>
        <v>145000</v>
      </c>
      <c r="P390" s="17">
        <f t="shared" si="22"/>
        <v>58000</v>
      </c>
      <c r="Q390" s="15">
        <f t="shared" si="23"/>
        <v>9.9999999999999978E-2</v>
      </c>
      <c r="R390" s="17">
        <f t="shared" si="23"/>
        <v>0</v>
      </c>
      <c r="S390" s="13" t="s">
        <v>543</v>
      </c>
    </row>
    <row r="391" spans="1:19" x14ac:dyDescent="0.25">
      <c r="A391" s="4" t="s">
        <v>162</v>
      </c>
      <c r="B391" s="5" t="s">
        <v>125</v>
      </c>
      <c r="C391" s="4" t="s">
        <v>117</v>
      </c>
      <c r="D391" s="5" t="s">
        <v>184</v>
      </c>
      <c r="E391" s="4" t="s">
        <v>128</v>
      </c>
      <c r="F391" s="4" t="s">
        <v>129</v>
      </c>
      <c r="G391" s="4" t="s">
        <v>16</v>
      </c>
      <c r="H391" s="6">
        <v>0.1</v>
      </c>
      <c r="I391" s="7">
        <v>185000</v>
      </c>
      <c r="J391" s="7">
        <f t="shared" si="21"/>
        <v>18500</v>
      </c>
      <c r="K391" s="8" t="s">
        <v>17</v>
      </c>
      <c r="L391" t="str">
        <f>IFERROR(VLOOKUP(F391,MÃ!$A:$B,2,0),0)</f>
        <v>NL300111</v>
      </c>
      <c r="M391" t="str">
        <f t="shared" si="24"/>
        <v>12/01/2026NL300111</v>
      </c>
      <c r="N391" s="15">
        <f>IFERROR(VLOOKUP(M391,'WS11'!$B$2:$Q$475,11,0),0)</f>
        <v>0.1</v>
      </c>
      <c r="O391" s="17">
        <f>IFERROR(VLOOKUP(M391,'WS11'!$B$2:$Q$475,12,0),0)</f>
        <v>185000</v>
      </c>
      <c r="P391" s="17">
        <f t="shared" si="22"/>
        <v>18500</v>
      </c>
      <c r="Q391" s="15">
        <f t="shared" si="23"/>
        <v>0</v>
      </c>
      <c r="R391" s="17">
        <f t="shared" si="23"/>
        <v>0</v>
      </c>
      <c r="S391" s="13"/>
    </row>
    <row r="392" spans="1:19" x14ac:dyDescent="0.25">
      <c r="A392" s="4" t="s">
        <v>162</v>
      </c>
      <c r="B392" s="5" t="s">
        <v>125</v>
      </c>
      <c r="C392" s="4" t="s">
        <v>117</v>
      </c>
      <c r="D392" s="5" t="s">
        <v>184</v>
      </c>
      <c r="E392" s="4" t="s">
        <v>46</v>
      </c>
      <c r="F392" s="4" t="s">
        <v>47</v>
      </c>
      <c r="G392" s="4" t="s">
        <v>16</v>
      </c>
      <c r="H392" s="6">
        <v>0.5</v>
      </c>
      <c r="I392" s="7">
        <v>148000</v>
      </c>
      <c r="J392" s="7">
        <f t="shared" si="21"/>
        <v>74000</v>
      </c>
      <c r="K392" s="8" t="s">
        <v>17</v>
      </c>
      <c r="L392" t="str">
        <f>IFERROR(VLOOKUP(F392,MÃ!$A:$B,2,0),0)</f>
        <v>NL300116</v>
      </c>
      <c r="M392" t="str">
        <f t="shared" si="24"/>
        <v>12/01/2026NL300116</v>
      </c>
      <c r="N392" s="15">
        <f>IFERROR(VLOOKUP(M392,'WS11'!$B$2:$Q$475,11,0),0)</f>
        <v>0.4</v>
      </c>
      <c r="O392" s="17">
        <f>IFERROR(VLOOKUP(M392,'WS11'!$B$2:$Q$475,12,0),0)</f>
        <v>148000</v>
      </c>
      <c r="P392" s="17">
        <f t="shared" si="22"/>
        <v>59200</v>
      </c>
      <c r="Q392" s="15">
        <f t="shared" si="23"/>
        <v>9.9999999999999978E-2</v>
      </c>
      <c r="R392" s="17">
        <f t="shared" si="23"/>
        <v>0</v>
      </c>
      <c r="S392" s="13" t="s">
        <v>543</v>
      </c>
    </row>
    <row r="393" spans="1:19" x14ac:dyDescent="0.25">
      <c r="A393" s="4" t="s">
        <v>162</v>
      </c>
      <c r="B393" s="5" t="s">
        <v>125</v>
      </c>
      <c r="C393" s="4" t="s">
        <v>117</v>
      </c>
      <c r="D393" s="5" t="s">
        <v>184</v>
      </c>
      <c r="E393" s="4" t="s">
        <v>81</v>
      </c>
      <c r="F393" s="4" t="s">
        <v>82</v>
      </c>
      <c r="G393" s="4" t="s">
        <v>16</v>
      </c>
      <c r="H393" s="6">
        <v>0.5</v>
      </c>
      <c r="I393" s="7">
        <v>12000</v>
      </c>
      <c r="J393" s="7">
        <f t="shared" si="21"/>
        <v>6000</v>
      </c>
      <c r="K393" s="8" t="s">
        <v>17</v>
      </c>
      <c r="L393" t="str">
        <f>IFERROR(VLOOKUP(F393,MÃ!$A:$B,2,0),0)</f>
        <v>NL300132</v>
      </c>
      <c r="M393" t="str">
        <f t="shared" si="24"/>
        <v>12/01/2026NL300132</v>
      </c>
      <c r="N393" s="15">
        <f>IFERROR(VLOOKUP(M393,'WS11'!$B$2:$Q$475,11,0),0)</f>
        <v>0.3</v>
      </c>
      <c r="O393" s="17">
        <f>IFERROR(VLOOKUP(M393,'WS11'!$B$2:$Q$475,12,0),0)</f>
        <v>12000</v>
      </c>
      <c r="P393" s="17">
        <f t="shared" si="22"/>
        <v>3600</v>
      </c>
      <c r="Q393" s="15">
        <f t="shared" si="23"/>
        <v>0.2</v>
      </c>
      <c r="R393" s="17">
        <f t="shared" si="23"/>
        <v>0</v>
      </c>
      <c r="S393" s="13" t="s">
        <v>543</v>
      </c>
    </row>
    <row r="394" spans="1:19" x14ac:dyDescent="0.25">
      <c r="A394" s="4" t="s">
        <v>162</v>
      </c>
      <c r="B394" s="5" t="s">
        <v>125</v>
      </c>
      <c r="C394" s="4" t="s">
        <v>117</v>
      </c>
      <c r="D394" s="5" t="s">
        <v>184</v>
      </c>
      <c r="E394" s="4" t="s">
        <v>52</v>
      </c>
      <c r="F394" s="4" t="s">
        <v>53</v>
      </c>
      <c r="G394" s="4" t="s">
        <v>16</v>
      </c>
      <c r="H394" s="6">
        <v>1</v>
      </c>
      <c r="I394" s="7">
        <v>21000</v>
      </c>
      <c r="J394" s="7">
        <f t="shared" si="21"/>
        <v>21000</v>
      </c>
      <c r="K394" s="8" t="s">
        <v>17</v>
      </c>
      <c r="L394" t="str">
        <f>IFERROR(VLOOKUP(F394,MÃ!$A:$B,2,0),0)</f>
        <v>NL300119</v>
      </c>
      <c r="M394" t="str">
        <f t="shared" si="24"/>
        <v>12/01/2026NL300119</v>
      </c>
      <c r="N394" s="15">
        <f>IFERROR(VLOOKUP(M394,'WS11'!$B$2:$Q$475,11,0),0)</f>
        <v>0.5</v>
      </c>
      <c r="O394" s="17">
        <f>IFERROR(VLOOKUP(M394,'WS11'!$B$2:$Q$475,12,0),0)</f>
        <v>21000</v>
      </c>
      <c r="P394" s="17">
        <f t="shared" si="22"/>
        <v>10500</v>
      </c>
      <c r="Q394" s="15">
        <f t="shared" si="23"/>
        <v>0.5</v>
      </c>
      <c r="R394" s="17">
        <f t="shared" si="23"/>
        <v>0</v>
      </c>
      <c r="S394" s="13" t="s">
        <v>543</v>
      </c>
    </row>
    <row r="395" spans="1:19" x14ac:dyDescent="0.25">
      <c r="A395" s="4" t="s">
        <v>162</v>
      </c>
      <c r="B395" s="5" t="s">
        <v>125</v>
      </c>
      <c r="C395" s="4" t="s">
        <v>117</v>
      </c>
      <c r="D395" s="5" t="s">
        <v>184</v>
      </c>
      <c r="E395" s="4" t="s">
        <v>83</v>
      </c>
      <c r="F395" s="4" t="s">
        <v>84</v>
      </c>
      <c r="G395" s="4" t="s">
        <v>16</v>
      </c>
      <c r="H395" s="6">
        <v>0.3</v>
      </c>
      <c r="I395" s="7">
        <v>42000</v>
      </c>
      <c r="J395" s="7">
        <f t="shared" si="21"/>
        <v>12600</v>
      </c>
      <c r="K395" s="8" t="s">
        <v>17</v>
      </c>
      <c r="L395" t="str">
        <f>IFERROR(VLOOKUP(F395,MÃ!$A:$B,2,0),0)</f>
        <v>NL300139</v>
      </c>
      <c r="M395" t="str">
        <f t="shared" si="24"/>
        <v>12/01/2026NL300139</v>
      </c>
      <c r="N395" s="15">
        <f>IFERROR(VLOOKUP(M395,'WS11'!$B$2:$Q$475,11,0),0)</f>
        <v>0.3</v>
      </c>
      <c r="O395" s="17">
        <f>IFERROR(VLOOKUP(M395,'WS11'!$B$2:$Q$475,12,0),0)</f>
        <v>42000</v>
      </c>
      <c r="P395" s="17">
        <f t="shared" si="22"/>
        <v>12600</v>
      </c>
      <c r="Q395" s="15">
        <f t="shared" si="23"/>
        <v>0</v>
      </c>
      <c r="R395" s="17">
        <f t="shared" si="23"/>
        <v>0</v>
      </c>
      <c r="S395" s="13"/>
    </row>
    <row r="396" spans="1:19" x14ac:dyDescent="0.25">
      <c r="A396" s="4" t="s">
        <v>162</v>
      </c>
      <c r="B396" s="5" t="s">
        <v>125</v>
      </c>
      <c r="C396" s="4" t="s">
        <v>117</v>
      </c>
      <c r="D396" s="5" t="s">
        <v>184</v>
      </c>
      <c r="E396" s="4" t="s">
        <v>104</v>
      </c>
      <c r="F396" s="4" t="s">
        <v>105</v>
      </c>
      <c r="G396" s="4" t="s">
        <v>16</v>
      </c>
      <c r="H396" s="6">
        <v>0.2</v>
      </c>
      <c r="I396" s="7">
        <v>92000</v>
      </c>
      <c r="J396" s="7">
        <f t="shared" si="21"/>
        <v>18400</v>
      </c>
      <c r="K396" s="8" t="s">
        <v>17</v>
      </c>
      <c r="L396" t="str">
        <f>IFERROR(VLOOKUP(F396,MÃ!$A:$B,2,0),0)</f>
        <v>NL300141</v>
      </c>
      <c r="M396" t="str">
        <f t="shared" si="24"/>
        <v>12/01/2026NL300141</v>
      </c>
      <c r="N396" s="15">
        <f>IFERROR(VLOOKUP(M396,'WS11'!$B$2:$Q$475,11,0),0)</f>
        <v>0.2</v>
      </c>
      <c r="O396" s="17">
        <f>IFERROR(VLOOKUP(M396,'WS11'!$B$2:$Q$475,12,0),0)</f>
        <v>92000</v>
      </c>
      <c r="P396" s="17">
        <f t="shared" si="22"/>
        <v>18400</v>
      </c>
      <c r="Q396" s="15">
        <f t="shared" si="23"/>
        <v>0</v>
      </c>
      <c r="R396" s="17">
        <f t="shared" si="23"/>
        <v>0</v>
      </c>
      <c r="S396" s="13"/>
    </row>
    <row r="397" spans="1:19" x14ac:dyDescent="0.25">
      <c r="A397" s="4" t="s">
        <v>162</v>
      </c>
      <c r="B397" s="5" t="s">
        <v>125</v>
      </c>
      <c r="C397" s="4" t="s">
        <v>117</v>
      </c>
      <c r="D397" s="5" t="s">
        <v>184</v>
      </c>
      <c r="E397" s="4" t="s">
        <v>85</v>
      </c>
      <c r="F397" s="4" t="s">
        <v>86</v>
      </c>
      <c r="G397" s="4" t="s">
        <v>16</v>
      </c>
      <c r="H397" s="6">
        <v>0.5</v>
      </c>
      <c r="I397" s="7">
        <v>50000</v>
      </c>
      <c r="J397" s="7">
        <f t="shared" si="21"/>
        <v>25000</v>
      </c>
      <c r="K397" s="8" t="s">
        <v>17</v>
      </c>
      <c r="L397" t="str">
        <f>IFERROR(VLOOKUP(F397,MÃ!$A:$B,2,0),0)</f>
        <v>NL300142</v>
      </c>
      <c r="M397" t="str">
        <f t="shared" si="24"/>
        <v>12/01/2026NL300142</v>
      </c>
      <c r="N397" s="15">
        <f>IFERROR(VLOOKUP(M397,'WS11'!$B$2:$Q$475,11,0),0)</f>
        <v>0.5</v>
      </c>
      <c r="O397" s="17">
        <f>IFERROR(VLOOKUP(M397,'WS11'!$B$2:$Q$475,12,0),0)</f>
        <v>50000</v>
      </c>
      <c r="P397" s="17">
        <f t="shared" si="22"/>
        <v>25000</v>
      </c>
      <c r="Q397" s="15">
        <f t="shared" si="23"/>
        <v>0</v>
      </c>
      <c r="R397" s="17">
        <f t="shared" si="23"/>
        <v>0</v>
      </c>
      <c r="S397" s="13"/>
    </row>
    <row r="398" spans="1:19" x14ac:dyDescent="0.25">
      <c r="A398" s="4" t="s">
        <v>162</v>
      </c>
      <c r="B398" s="5" t="s">
        <v>125</v>
      </c>
      <c r="C398" s="4" t="s">
        <v>117</v>
      </c>
      <c r="D398" s="5" t="s">
        <v>184</v>
      </c>
      <c r="E398" s="4" t="s">
        <v>106</v>
      </c>
      <c r="F398" s="4" t="s">
        <v>107</v>
      </c>
      <c r="G398" s="4" t="s">
        <v>108</v>
      </c>
      <c r="H398" s="6">
        <v>20</v>
      </c>
      <c r="I398" s="7">
        <v>5000</v>
      </c>
      <c r="J398" s="7">
        <f t="shared" si="21"/>
        <v>100000</v>
      </c>
      <c r="K398" s="8" t="s">
        <v>17</v>
      </c>
      <c r="L398" t="str">
        <f>IFERROR(VLOOKUP(F398,MÃ!$A:$B,2,0),0)</f>
        <v>NL100101</v>
      </c>
      <c r="M398" t="str">
        <f t="shared" si="24"/>
        <v>12/01/2026NL100101</v>
      </c>
      <c r="N398" s="15">
        <f>IFERROR(VLOOKUP(M398,'WS11'!$B$2:$Q$475,11,0),0)</f>
        <v>15</v>
      </c>
      <c r="O398" s="17">
        <f>IFERROR(VLOOKUP(M398,'WS11'!$B$2:$Q$475,12,0),0)</f>
        <v>5000</v>
      </c>
      <c r="P398" s="17">
        <f t="shared" si="22"/>
        <v>75000</v>
      </c>
      <c r="Q398" s="15">
        <f t="shared" si="23"/>
        <v>5</v>
      </c>
      <c r="R398" s="17">
        <f t="shared" si="23"/>
        <v>0</v>
      </c>
      <c r="S398" s="13" t="s">
        <v>543</v>
      </c>
    </row>
    <row r="399" spans="1:19" x14ac:dyDescent="0.25">
      <c r="A399" s="4" t="s">
        <v>162</v>
      </c>
      <c r="B399" s="5" t="s">
        <v>125</v>
      </c>
      <c r="C399" s="4" t="s">
        <v>117</v>
      </c>
      <c r="D399" s="5" t="s">
        <v>184</v>
      </c>
      <c r="E399" s="4" t="s">
        <v>87</v>
      </c>
      <c r="F399" s="4" t="s">
        <v>88</v>
      </c>
      <c r="G399" s="4" t="s">
        <v>16</v>
      </c>
      <c r="H399" s="6">
        <v>0.2</v>
      </c>
      <c r="I399" s="7">
        <v>220000</v>
      </c>
      <c r="J399" s="7">
        <f t="shared" si="21"/>
        <v>44000</v>
      </c>
      <c r="K399" s="8" t="s">
        <v>17</v>
      </c>
      <c r="L399" t="str">
        <f>IFERROR(VLOOKUP(F399,MÃ!$A:$B,2,0),0)</f>
        <v>NL300131</v>
      </c>
      <c r="M399" t="str">
        <f t="shared" si="24"/>
        <v>12/01/2026NL300131</v>
      </c>
      <c r="N399" s="15">
        <f>IFERROR(VLOOKUP(M399,'WS11'!$B$2:$Q$475,11,0),0)</f>
        <v>0.2</v>
      </c>
      <c r="O399" s="17">
        <f>IFERROR(VLOOKUP(M399,'WS11'!$B$2:$Q$475,12,0),0)</f>
        <v>220000</v>
      </c>
      <c r="P399" s="17">
        <f t="shared" si="22"/>
        <v>44000</v>
      </c>
      <c r="Q399" s="15">
        <f t="shared" si="23"/>
        <v>0</v>
      </c>
      <c r="R399" s="17">
        <f t="shared" si="23"/>
        <v>0</v>
      </c>
      <c r="S399" s="13"/>
    </row>
    <row r="400" spans="1:19" x14ac:dyDescent="0.25">
      <c r="A400" s="4" t="s">
        <v>162</v>
      </c>
      <c r="B400" s="5" t="s">
        <v>125</v>
      </c>
      <c r="C400" s="4" t="s">
        <v>117</v>
      </c>
      <c r="D400" s="5" t="s">
        <v>184</v>
      </c>
      <c r="E400" s="4" t="s">
        <v>54</v>
      </c>
      <c r="F400" s="4" t="s">
        <v>55</v>
      </c>
      <c r="G400" s="4" t="s">
        <v>16</v>
      </c>
      <c r="H400" s="6">
        <v>6</v>
      </c>
      <c r="I400" s="7">
        <v>62000</v>
      </c>
      <c r="J400" s="7">
        <f t="shared" ref="J400:J464" si="25">H400*I400</f>
        <v>372000</v>
      </c>
      <c r="K400" s="8" t="s">
        <v>17</v>
      </c>
      <c r="L400" t="str">
        <f>IFERROR(VLOOKUP(F400,MÃ!$A:$B,2,0),0)</f>
        <v>NL300147</v>
      </c>
      <c r="M400" t="str">
        <f t="shared" si="24"/>
        <v>12/01/2026NL300147</v>
      </c>
      <c r="N400" s="15">
        <f>IFERROR(VLOOKUP(M400,'WS11'!$B$2:$Q$475,11,0),0)</f>
        <v>4</v>
      </c>
      <c r="O400" s="17">
        <f>IFERROR(VLOOKUP(M400,'WS11'!$B$2:$Q$475,12,0),0)</f>
        <v>62000</v>
      </c>
      <c r="P400" s="17">
        <f t="shared" ref="P400:P464" si="26">N400*O400</f>
        <v>248000</v>
      </c>
      <c r="Q400" s="15">
        <f t="shared" ref="Q400:R464" si="27">H400-N400</f>
        <v>2</v>
      </c>
      <c r="R400" s="17">
        <f t="shared" si="27"/>
        <v>0</v>
      </c>
      <c r="S400" s="13" t="s">
        <v>543</v>
      </c>
    </row>
    <row r="401" spans="1:19" x14ac:dyDescent="0.25">
      <c r="A401" s="4" t="s">
        <v>165</v>
      </c>
      <c r="B401" s="5" t="s">
        <v>125</v>
      </c>
      <c r="C401" s="4" t="s">
        <v>117</v>
      </c>
      <c r="D401" s="5" t="s">
        <v>185</v>
      </c>
      <c r="E401" s="4" t="s">
        <v>18</v>
      </c>
      <c r="F401" s="4" t="s">
        <v>19</v>
      </c>
      <c r="G401" s="4" t="s">
        <v>16</v>
      </c>
      <c r="H401" s="6">
        <v>3</v>
      </c>
      <c r="I401" s="7">
        <v>15000</v>
      </c>
      <c r="J401" s="7">
        <f t="shared" si="25"/>
        <v>45000</v>
      </c>
      <c r="K401" s="8" t="s">
        <v>17</v>
      </c>
      <c r="L401" t="str">
        <f>IFERROR(VLOOKUP(F401,MÃ!$A:$B,2,0),0)</f>
        <v>NL300189</v>
      </c>
      <c r="M401" t="str">
        <f t="shared" si="24"/>
        <v>13/01/2026NL300189</v>
      </c>
      <c r="N401" s="15">
        <f>IFERROR(VLOOKUP(M401,'WS11'!$B$2:$Q$475,11,0),0)</f>
        <v>2</v>
      </c>
      <c r="O401" s="17">
        <f>IFERROR(VLOOKUP(M401,'WS11'!$B$2:$Q$475,12,0),0)</f>
        <v>15000</v>
      </c>
      <c r="P401" s="17">
        <f t="shared" si="26"/>
        <v>30000</v>
      </c>
      <c r="Q401" s="15">
        <f t="shared" si="27"/>
        <v>1</v>
      </c>
      <c r="R401" s="17">
        <f t="shared" si="27"/>
        <v>0</v>
      </c>
      <c r="S401" s="13" t="s">
        <v>543</v>
      </c>
    </row>
    <row r="402" spans="1:19" x14ac:dyDescent="0.25">
      <c r="A402" s="4" t="s">
        <v>165</v>
      </c>
      <c r="B402" s="5" t="s">
        <v>125</v>
      </c>
      <c r="C402" s="4" t="s">
        <v>117</v>
      </c>
      <c r="D402" s="5" t="s">
        <v>185</v>
      </c>
      <c r="E402" s="4" t="s">
        <v>56</v>
      </c>
      <c r="F402" s="4" t="s">
        <v>57</v>
      </c>
      <c r="G402" s="4" t="s">
        <v>58</v>
      </c>
      <c r="H402" s="6">
        <v>10</v>
      </c>
      <c r="I402" s="7">
        <v>8500</v>
      </c>
      <c r="J402" s="7">
        <f t="shared" si="25"/>
        <v>85000</v>
      </c>
      <c r="K402" s="8" t="s">
        <v>17</v>
      </c>
      <c r="L402" t="str">
        <f>IFERROR(VLOOKUP(F402,MÃ!$A:$B,2,0),0)</f>
        <v>NL300107</v>
      </c>
      <c r="M402" t="str">
        <f t="shared" si="24"/>
        <v>13/01/2026NL300107</v>
      </c>
      <c r="N402" s="15">
        <f>IFERROR(VLOOKUP(M402,'WS11'!$B$2:$Q$475,11,0),0)</f>
        <v>10</v>
      </c>
      <c r="O402" s="17">
        <f>IFERROR(VLOOKUP(M402,'WS11'!$B$2:$Q$475,12,0),0)</f>
        <v>8500</v>
      </c>
      <c r="P402" s="17">
        <f t="shared" si="26"/>
        <v>85000</v>
      </c>
      <c r="Q402" s="15">
        <f t="shared" si="27"/>
        <v>0</v>
      </c>
      <c r="R402" s="17">
        <f t="shared" si="27"/>
        <v>0</v>
      </c>
      <c r="S402" s="13"/>
    </row>
    <row r="403" spans="1:19" x14ac:dyDescent="0.25">
      <c r="A403" s="4" t="s">
        <v>165</v>
      </c>
      <c r="B403" s="5" t="s">
        <v>125</v>
      </c>
      <c r="C403" s="4" t="s">
        <v>117</v>
      </c>
      <c r="D403" s="5" t="s">
        <v>185</v>
      </c>
      <c r="E403" s="4" t="s">
        <v>22</v>
      </c>
      <c r="F403" s="4" t="s">
        <v>23</v>
      </c>
      <c r="G403" s="4" t="s">
        <v>16</v>
      </c>
      <c r="H403" s="6">
        <v>3.7</v>
      </c>
      <c r="I403" s="7">
        <v>30000</v>
      </c>
      <c r="J403" s="7">
        <f t="shared" si="25"/>
        <v>111000</v>
      </c>
      <c r="K403" s="8" t="s">
        <v>17</v>
      </c>
      <c r="L403" t="str">
        <f>IFERROR(VLOOKUP(F403,MÃ!$A:$B,2,0),0)</f>
        <v>NL300007</v>
      </c>
      <c r="M403" t="str">
        <f t="shared" si="24"/>
        <v>13/01/2026NL300007</v>
      </c>
      <c r="N403" s="15">
        <f>IFERROR(VLOOKUP(M403,'WS11'!$B$2:$Q$475,11,0),0)</f>
        <v>3</v>
      </c>
      <c r="O403" s="17">
        <f>IFERROR(VLOOKUP(M403,'WS11'!$B$2:$Q$475,12,0),0)</f>
        <v>30000</v>
      </c>
      <c r="P403" s="17">
        <f t="shared" si="26"/>
        <v>90000</v>
      </c>
      <c r="Q403" s="15">
        <f t="shared" si="27"/>
        <v>0.70000000000000018</v>
      </c>
      <c r="R403" s="17">
        <f t="shared" si="27"/>
        <v>0</v>
      </c>
      <c r="S403" s="13" t="s">
        <v>543</v>
      </c>
    </row>
    <row r="404" spans="1:19" x14ac:dyDescent="0.25">
      <c r="A404" s="4" t="s">
        <v>165</v>
      </c>
      <c r="B404" s="5" t="s">
        <v>125</v>
      </c>
      <c r="C404" s="4" t="s">
        <v>117</v>
      </c>
      <c r="D404" s="5" t="s">
        <v>185</v>
      </c>
      <c r="E404" s="4" t="s">
        <v>24</v>
      </c>
      <c r="F404" s="4" t="s">
        <v>25</v>
      </c>
      <c r="G404" s="4" t="s">
        <v>16</v>
      </c>
      <c r="H404" s="6">
        <v>6</v>
      </c>
      <c r="I404" s="7">
        <v>40000</v>
      </c>
      <c r="J404" s="7">
        <f t="shared" si="25"/>
        <v>240000</v>
      </c>
      <c r="K404" s="8" t="s">
        <v>17</v>
      </c>
      <c r="L404" t="str">
        <f>IFERROR(VLOOKUP(F404,MÃ!$A:$B,2,0),0)</f>
        <v>NL300008</v>
      </c>
      <c r="M404" t="str">
        <f t="shared" si="24"/>
        <v>13/01/2026NL300008</v>
      </c>
      <c r="N404" s="15">
        <f>IFERROR(VLOOKUP(M404,'WS11'!$B$2:$Q$475,11,0),0)</f>
        <v>4</v>
      </c>
      <c r="O404" s="17">
        <f>IFERROR(VLOOKUP(M404,'WS11'!$B$2:$Q$475,12,0),0)</f>
        <v>40000</v>
      </c>
      <c r="P404" s="17">
        <f t="shared" si="26"/>
        <v>160000</v>
      </c>
      <c r="Q404" s="15">
        <f t="shared" si="27"/>
        <v>2</v>
      </c>
      <c r="R404" s="17">
        <f t="shared" si="27"/>
        <v>0</v>
      </c>
      <c r="S404" s="13" t="s">
        <v>543</v>
      </c>
    </row>
    <row r="405" spans="1:19" x14ac:dyDescent="0.25">
      <c r="A405" s="4" t="s">
        <v>165</v>
      </c>
      <c r="B405" s="5" t="s">
        <v>125</v>
      </c>
      <c r="C405" s="4" t="s">
        <v>117</v>
      </c>
      <c r="D405" s="5" t="s">
        <v>185</v>
      </c>
      <c r="E405" s="4" t="s">
        <v>126</v>
      </c>
      <c r="F405" s="4" t="s">
        <v>127</v>
      </c>
      <c r="G405" s="4" t="s">
        <v>16</v>
      </c>
      <c r="H405" s="6">
        <v>1.2</v>
      </c>
      <c r="I405" s="7">
        <v>52000</v>
      </c>
      <c r="J405" s="7">
        <f t="shared" si="25"/>
        <v>62400</v>
      </c>
      <c r="K405" s="8" t="s">
        <v>17</v>
      </c>
      <c r="L405" t="str">
        <f>IFERROR(VLOOKUP(F405,MÃ!$A:$B,2,0),0)</f>
        <v>NL300137</v>
      </c>
      <c r="M405" t="str">
        <f t="shared" si="24"/>
        <v>13/01/2026NL300137</v>
      </c>
      <c r="N405" s="15">
        <f>IFERROR(VLOOKUP(M405,'WS11'!$B$2:$Q$475,11,0),0)</f>
        <v>0.9</v>
      </c>
      <c r="O405" s="17">
        <f>IFERROR(VLOOKUP(M405,'WS11'!$B$2:$Q$475,12,0),0)</f>
        <v>52000</v>
      </c>
      <c r="P405" s="17">
        <f t="shared" si="26"/>
        <v>46800</v>
      </c>
      <c r="Q405" s="15">
        <f t="shared" si="27"/>
        <v>0.29999999999999993</v>
      </c>
      <c r="R405" s="17">
        <f t="shared" si="27"/>
        <v>0</v>
      </c>
      <c r="S405" s="13" t="s">
        <v>543</v>
      </c>
    </row>
    <row r="406" spans="1:19" x14ac:dyDescent="0.25">
      <c r="A406" s="4" t="s">
        <v>165</v>
      </c>
      <c r="B406" s="5" t="s">
        <v>125</v>
      </c>
      <c r="C406" s="4" t="s">
        <v>117</v>
      </c>
      <c r="D406" s="5" t="s">
        <v>185</v>
      </c>
      <c r="E406" s="4" t="s">
        <v>28</v>
      </c>
      <c r="F406" s="4" t="s">
        <v>29</v>
      </c>
      <c r="G406" s="4" t="s">
        <v>16</v>
      </c>
      <c r="H406" s="6">
        <v>3</v>
      </c>
      <c r="I406" s="7">
        <v>30000</v>
      </c>
      <c r="J406" s="7">
        <f t="shared" si="25"/>
        <v>90000</v>
      </c>
      <c r="K406" s="8" t="s">
        <v>17</v>
      </c>
      <c r="L406" t="str">
        <f>IFERROR(VLOOKUP(F406,MÃ!$A:$B,2,0),0)</f>
        <v>NL300020</v>
      </c>
      <c r="M406" t="str">
        <f t="shared" si="24"/>
        <v>13/01/2026NL300020</v>
      </c>
      <c r="N406" s="15">
        <f>IFERROR(VLOOKUP(M406,'WS11'!$B$2:$Q$475,11,0),0)</f>
        <v>1</v>
      </c>
      <c r="O406" s="17">
        <f>IFERROR(VLOOKUP(M406,'WS11'!$B$2:$Q$475,12,0),0)</f>
        <v>30000</v>
      </c>
      <c r="P406" s="17">
        <f t="shared" si="26"/>
        <v>30000</v>
      </c>
      <c r="Q406" s="15">
        <f t="shared" si="27"/>
        <v>2</v>
      </c>
      <c r="R406" s="17">
        <f t="shared" si="27"/>
        <v>0</v>
      </c>
      <c r="S406" s="13" t="s">
        <v>543</v>
      </c>
    </row>
    <row r="407" spans="1:19" x14ac:dyDescent="0.25">
      <c r="A407" s="4" t="s">
        <v>165</v>
      </c>
      <c r="B407" s="5" t="s">
        <v>125</v>
      </c>
      <c r="C407" s="4" t="s">
        <v>117</v>
      </c>
      <c r="D407" s="5" t="s">
        <v>185</v>
      </c>
      <c r="E407" s="4" t="s">
        <v>89</v>
      </c>
      <c r="F407" s="4" t="s">
        <v>90</v>
      </c>
      <c r="G407" s="4" t="s">
        <v>16</v>
      </c>
      <c r="H407" s="6">
        <v>4</v>
      </c>
      <c r="I407" s="7">
        <v>44000</v>
      </c>
      <c r="J407" s="7">
        <f t="shared" si="25"/>
        <v>176000</v>
      </c>
      <c r="K407" s="8" t="s">
        <v>17</v>
      </c>
      <c r="L407" t="str">
        <f>IFERROR(VLOOKUP(F407,MÃ!$A:$B,2,0),0)</f>
        <v>NL300025</v>
      </c>
      <c r="M407" t="str">
        <f t="shared" si="24"/>
        <v>13/01/2026NL300025</v>
      </c>
      <c r="N407" s="15">
        <f>IFERROR(VLOOKUP(M407,'WS11'!$B$2:$Q$475,11,0),0)</f>
        <v>0.5</v>
      </c>
      <c r="O407" s="17">
        <f>IFERROR(VLOOKUP(M407,'WS11'!$B$2:$Q$475,12,0),0)</f>
        <v>44000</v>
      </c>
      <c r="P407" s="17">
        <f t="shared" si="26"/>
        <v>22000</v>
      </c>
      <c r="Q407" s="15">
        <f t="shared" si="27"/>
        <v>3.5</v>
      </c>
      <c r="R407" s="17">
        <f t="shared" si="27"/>
        <v>0</v>
      </c>
      <c r="S407" s="13" t="s">
        <v>543</v>
      </c>
    </row>
    <row r="408" spans="1:19" x14ac:dyDescent="0.25">
      <c r="A408" s="4" t="s">
        <v>165</v>
      </c>
      <c r="B408" s="5" t="s">
        <v>125</v>
      </c>
      <c r="C408" s="4" t="s">
        <v>117</v>
      </c>
      <c r="D408" s="5" t="s">
        <v>185</v>
      </c>
      <c r="E408" s="4" t="s">
        <v>91</v>
      </c>
      <c r="F408" s="4" t="s">
        <v>92</v>
      </c>
      <c r="G408" s="4" t="s">
        <v>16</v>
      </c>
      <c r="H408" s="6">
        <v>0.5</v>
      </c>
      <c r="I408" s="7">
        <v>34000</v>
      </c>
      <c r="J408" s="7">
        <f t="shared" si="25"/>
        <v>17000</v>
      </c>
      <c r="K408" s="8" t="s">
        <v>17</v>
      </c>
      <c r="L408" t="str">
        <f>IFERROR(VLOOKUP(F408,MÃ!$A:$B,2,0),0)</f>
        <v>NL300030</v>
      </c>
      <c r="M408" t="str">
        <f t="shared" si="24"/>
        <v>13/01/2026NL300030</v>
      </c>
      <c r="N408" s="15">
        <f>IFERROR(VLOOKUP(M408,'WS11'!$B$2:$Q$475,11,0),0)</f>
        <v>0.5</v>
      </c>
      <c r="O408" s="17">
        <f>IFERROR(VLOOKUP(M408,'WS11'!$B$2:$Q$475,12,0),0)</f>
        <v>34000</v>
      </c>
      <c r="P408" s="17">
        <f t="shared" si="26"/>
        <v>17000</v>
      </c>
      <c r="Q408" s="15">
        <f t="shared" si="27"/>
        <v>0</v>
      </c>
      <c r="R408" s="17">
        <f t="shared" si="27"/>
        <v>0</v>
      </c>
      <c r="S408" s="13"/>
    </row>
    <row r="409" spans="1:19" x14ac:dyDescent="0.25">
      <c r="A409" s="4" t="s">
        <v>165</v>
      </c>
      <c r="B409" s="5" t="s">
        <v>125</v>
      </c>
      <c r="C409" s="4" t="s">
        <v>117</v>
      </c>
      <c r="D409" s="5" t="s">
        <v>185</v>
      </c>
      <c r="E409" s="4" t="s">
        <v>61</v>
      </c>
      <c r="F409" s="4" t="s">
        <v>62</v>
      </c>
      <c r="G409" s="4" t="s">
        <v>16</v>
      </c>
      <c r="H409" s="6">
        <v>0.83</v>
      </c>
      <c r="I409" s="7">
        <v>22000</v>
      </c>
      <c r="J409" s="7">
        <f t="shared" si="25"/>
        <v>18260</v>
      </c>
      <c r="K409" s="8" t="s">
        <v>17</v>
      </c>
      <c r="L409" t="str">
        <f>IFERROR(VLOOKUP(F409,MÃ!$A:$B,2,0),0)</f>
        <v>NL300029</v>
      </c>
      <c r="M409" t="str">
        <f t="shared" si="24"/>
        <v>13/01/2026NL300029</v>
      </c>
      <c r="N409" s="15">
        <f>IFERROR(VLOOKUP(M409,'WS11'!$B$2:$Q$475,11,0),0)</f>
        <v>0.83</v>
      </c>
      <c r="O409" s="17">
        <f>IFERROR(VLOOKUP(M409,'WS11'!$B$2:$Q$475,12,0),0)</f>
        <v>22000</v>
      </c>
      <c r="P409" s="17">
        <f t="shared" si="26"/>
        <v>18260</v>
      </c>
      <c r="Q409" s="15">
        <f t="shared" si="27"/>
        <v>0</v>
      </c>
      <c r="R409" s="17">
        <f t="shared" si="27"/>
        <v>0</v>
      </c>
      <c r="S409" s="13"/>
    </row>
    <row r="410" spans="1:19" x14ac:dyDescent="0.25">
      <c r="A410" s="4" t="s">
        <v>165</v>
      </c>
      <c r="B410" s="5" t="s">
        <v>125</v>
      </c>
      <c r="C410" s="4" t="s">
        <v>117</v>
      </c>
      <c r="D410" s="5" t="s">
        <v>185</v>
      </c>
      <c r="E410" s="4" t="s">
        <v>30</v>
      </c>
      <c r="F410" s="4" t="s">
        <v>31</v>
      </c>
      <c r="G410" s="4" t="s">
        <v>16</v>
      </c>
      <c r="H410" s="6">
        <v>0.5</v>
      </c>
      <c r="I410" s="7">
        <v>38000</v>
      </c>
      <c r="J410" s="7">
        <f t="shared" si="25"/>
        <v>19000</v>
      </c>
      <c r="K410" s="8" t="s">
        <v>17</v>
      </c>
      <c r="L410" t="str">
        <f>IFERROR(VLOOKUP(F410,MÃ!$A:$B,2,0),0)</f>
        <v>NL300054</v>
      </c>
      <c r="M410" t="str">
        <f t="shared" si="24"/>
        <v>13/01/2026NL300054</v>
      </c>
      <c r="N410" s="15">
        <f>IFERROR(VLOOKUP(M410,'WS11'!$B$2:$Q$475,11,0),0)</f>
        <v>0.4</v>
      </c>
      <c r="O410" s="17">
        <f>IFERROR(VLOOKUP(M410,'WS11'!$B$2:$Q$475,12,0),0)</f>
        <v>38000</v>
      </c>
      <c r="P410" s="17">
        <f t="shared" si="26"/>
        <v>15200</v>
      </c>
      <c r="Q410" s="15">
        <f t="shared" si="27"/>
        <v>9.9999999999999978E-2</v>
      </c>
      <c r="R410" s="17">
        <f t="shared" si="27"/>
        <v>0</v>
      </c>
      <c r="S410" s="13" t="s">
        <v>543</v>
      </c>
    </row>
    <row r="411" spans="1:19" x14ac:dyDescent="0.25">
      <c r="A411" s="4" t="s">
        <v>165</v>
      </c>
      <c r="B411" s="5" t="s">
        <v>125</v>
      </c>
      <c r="C411" s="4" t="s">
        <v>117</v>
      </c>
      <c r="D411" s="5" t="s">
        <v>185</v>
      </c>
      <c r="E411" s="4" t="s">
        <v>34</v>
      </c>
      <c r="F411" s="4" t="s">
        <v>35</v>
      </c>
      <c r="G411" s="4" t="s">
        <v>16</v>
      </c>
      <c r="H411" s="6">
        <v>1</v>
      </c>
      <c r="I411" s="7">
        <v>32000</v>
      </c>
      <c r="J411" s="7">
        <f t="shared" si="25"/>
        <v>32000</v>
      </c>
      <c r="K411" s="8" t="s">
        <v>17</v>
      </c>
      <c r="L411" t="str">
        <f>IFERROR(VLOOKUP(F411,MÃ!$A:$B,2,0),0)</f>
        <v>NL300038</v>
      </c>
      <c r="M411" t="str">
        <f t="shared" si="24"/>
        <v>13/01/2026NL300038</v>
      </c>
      <c r="N411" s="15">
        <f>IFERROR(VLOOKUP(M411,'WS11'!$B$2:$Q$475,11,0),0)</f>
        <v>0.6</v>
      </c>
      <c r="O411" s="17">
        <f>IFERROR(VLOOKUP(M411,'WS11'!$B$2:$Q$475,12,0),0)</f>
        <v>32000</v>
      </c>
      <c r="P411" s="17">
        <f t="shared" si="26"/>
        <v>19200</v>
      </c>
      <c r="Q411" s="15">
        <f t="shared" si="27"/>
        <v>0.4</v>
      </c>
      <c r="R411" s="17">
        <f t="shared" si="27"/>
        <v>0</v>
      </c>
      <c r="S411" s="13" t="s">
        <v>543</v>
      </c>
    </row>
    <row r="412" spans="1:19" x14ac:dyDescent="0.25">
      <c r="A412" s="4" t="s">
        <v>165</v>
      </c>
      <c r="B412" s="5" t="s">
        <v>125</v>
      </c>
      <c r="C412" s="4" t="s">
        <v>117</v>
      </c>
      <c r="D412" s="5" t="s">
        <v>185</v>
      </c>
      <c r="E412" s="4" t="s">
        <v>36</v>
      </c>
      <c r="F412" s="4" t="s">
        <v>37</v>
      </c>
      <c r="G412" s="4" t="s">
        <v>16</v>
      </c>
      <c r="H412" s="6">
        <v>17.5</v>
      </c>
      <c r="I412" s="7">
        <v>18000</v>
      </c>
      <c r="J412" s="7">
        <f t="shared" si="25"/>
        <v>315000</v>
      </c>
      <c r="K412" s="8" t="s">
        <v>17</v>
      </c>
      <c r="L412" t="str">
        <f>IFERROR(VLOOKUP(F412,MÃ!$A:$B,2,0),0)</f>
        <v>NL600004</v>
      </c>
      <c r="M412" t="str">
        <f t="shared" si="24"/>
        <v>13/01/2026NL600004</v>
      </c>
      <c r="N412" s="15">
        <f>IFERROR(VLOOKUP(M412,'WS11'!$B$2:$Q$475,11,0),0)</f>
        <v>17.5</v>
      </c>
      <c r="O412" s="17">
        <f>IFERROR(VLOOKUP(M412,'WS11'!$B$2:$Q$475,12,0),0)</f>
        <v>18000</v>
      </c>
      <c r="P412" s="17">
        <f t="shared" si="26"/>
        <v>315000</v>
      </c>
      <c r="Q412" s="15">
        <f t="shared" si="27"/>
        <v>0</v>
      </c>
      <c r="R412" s="17">
        <f t="shared" si="27"/>
        <v>0</v>
      </c>
      <c r="S412" s="13"/>
    </row>
    <row r="413" spans="1:19" x14ac:dyDescent="0.25">
      <c r="A413" s="4" t="s">
        <v>165</v>
      </c>
      <c r="B413" s="5" t="s">
        <v>125</v>
      </c>
      <c r="C413" s="4" t="s">
        <v>117</v>
      </c>
      <c r="D413" s="5" t="s">
        <v>185</v>
      </c>
      <c r="E413" s="4" t="s">
        <v>38</v>
      </c>
      <c r="F413" s="4" t="s">
        <v>39</v>
      </c>
      <c r="G413" s="4" t="s">
        <v>16</v>
      </c>
      <c r="H413" s="6">
        <v>1.5</v>
      </c>
      <c r="I413" s="7">
        <v>55000</v>
      </c>
      <c r="J413" s="7">
        <f t="shared" si="25"/>
        <v>82500</v>
      </c>
      <c r="K413" s="8" t="s">
        <v>17</v>
      </c>
      <c r="L413" t="str">
        <f>IFERROR(VLOOKUP(F413,MÃ!$A:$B,2,0),0)</f>
        <v>NL300058</v>
      </c>
      <c r="M413" t="str">
        <f t="shared" si="24"/>
        <v>13/01/2026NL300058</v>
      </c>
      <c r="N413" s="15">
        <f>IFERROR(VLOOKUP(M413,'WS11'!$B$2:$Q$475,11,0),0)</f>
        <v>1</v>
      </c>
      <c r="O413" s="17">
        <f>IFERROR(VLOOKUP(M413,'WS11'!$B$2:$Q$475,12,0),0)</f>
        <v>55000</v>
      </c>
      <c r="P413" s="17">
        <f t="shared" si="26"/>
        <v>55000</v>
      </c>
      <c r="Q413" s="15">
        <f t="shared" si="27"/>
        <v>0.5</v>
      </c>
      <c r="R413" s="17">
        <f t="shared" si="27"/>
        <v>0</v>
      </c>
      <c r="S413" s="13" t="s">
        <v>543</v>
      </c>
    </row>
    <row r="414" spans="1:19" x14ac:dyDescent="0.25">
      <c r="A414" s="4" t="s">
        <v>165</v>
      </c>
      <c r="B414" s="5" t="s">
        <v>125</v>
      </c>
      <c r="C414" s="4" t="s">
        <v>117</v>
      </c>
      <c r="D414" s="5" t="s">
        <v>185</v>
      </c>
      <c r="E414" s="4" t="s">
        <v>40</v>
      </c>
      <c r="F414" s="4" t="s">
        <v>41</v>
      </c>
      <c r="G414" s="4" t="s">
        <v>16</v>
      </c>
      <c r="H414" s="6">
        <v>0.3</v>
      </c>
      <c r="I414" s="7">
        <v>80000</v>
      </c>
      <c r="J414" s="7">
        <f t="shared" si="25"/>
        <v>24000</v>
      </c>
      <c r="K414" s="8" t="s">
        <v>17</v>
      </c>
      <c r="L414" t="str">
        <f>IFERROR(VLOOKUP(F414,MÃ!$A:$B,2,0),0)</f>
        <v>NL300055</v>
      </c>
      <c r="M414" t="str">
        <f t="shared" si="24"/>
        <v>13/01/2026NL300055</v>
      </c>
      <c r="N414" s="15">
        <f>IFERROR(VLOOKUP(M414,'WS11'!$B$2:$Q$475,11,0),0)</f>
        <v>0.3</v>
      </c>
      <c r="O414" s="17">
        <f>IFERROR(VLOOKUP(M414,'WS11'!$B$2:$Q$475,12,0),0)</f>
        <v>80000</v>
      </c>
      <c r="P414" s="17">
        <f t="shared" si="26"/>
        <v>24000</v>
      </c>
      <c r="Q414" s="15">
        <f t="shared" si="27"/>
        <v>0</v>
      </c>
      <c r="R414" s="17">
        <f t="shared" si="27"/>
        <v>0</v>
      </c>
      <c r="S414" s="13"/>
    </row>
    <row r="415" spans="1:19" x14ac:dyDescent="0.25">
      <c r="A415" s="4" t="s">
        <v>165</v>
      </c>
      <c r="B415" s="5" t="s">
        <v>125</v>
      </c>
      <c r="C415" s="4" t="s">
        <v>117</v>
      </c>
      <c r="D415" s="5" t="s">
        <v>185</v>
      </c>
      <c r="E415" s="4" t="s">
        <v>63</v>
      </c>
      <c r="F415" s="4" t="s">
        <v>64</v>
      </c>
      <c r="G415" s="4" t="s">
        <v>16</v>
      </c>
      <c r="H415" s="6">
        <v>0.2</v>
      </c>
      <c r="I415" s="7">
        <v>65000</v>
      </c>
      <c r="J415" s="7">
        <f t="shared" si="25"/>
        <v>13000</v>
      </c>
      <c r="K415" s="8" t="s">
        <v>17</v>
      </c>
      <c r="L415" t="str">
        <f>IFERROR(VLOOKUP(F415,MÃ!$A:$B,2,0),0)</f>
        <v>NL300062</v>
      </c>
      <c r="M415" t="str">
        <f t="shared" si="24"/>
        <v>13/01/2026NL300062</v>
      </c>
      <c r="N415" s="15">
        <f>IFERROR(VLOOKUP(M415,'WS11'!$B$2:$Q$475,11,0),0)</f>
        <v>0.2</v>
      </c>
      <c r="O415" s="17">
        <f>IFERROR(VLOOKUP(M415,'WS11'!$B$2:$Q$475,12,0),0)</f>
        <v>65000</v>
      </c>
      <c r="P415" s="17">
        <f t="shared" si="26"/>
        <v>13000</v>
      </c>
      <c r="Q415" s="15">
        <f t="shared" si="27"/>
        <v>0</v>
      </c>
      <c r="R415" s="17">
        <f t="shared" si="27"/>
        <v>0</v>
      </c>
      <c r="S415" s="13"/>
    </row>
    <row r="416" spans="1:19" x14ac:dyDescent="0.25">
      <c r="A416" s="4" t="s">
        <v>165</v>
      </c>
      <c r="B416" s="5" t="s">
        <v>125</v>
      </c>
      <c r="C416" s="4" t="s">
        <v>117</v>
      </c>
      <c r="D416" s="5" t="s">
        <v>185</v>
      </c>
      <c r="E416" s="4" t="s">
        <v>42</v>
      </c>
      <c r="F416" s="4" t="s">
        <v>43</v>
      </c>
      <c r="G416" s="4" t="s">
        <v>16</v>
      </c>
      <c r="H416" s="6">
        <v>0.1</v>
      </c>
      <c r="I416" s="7">
        <v>42000</v>
      </c>
      <c r="J416" s="7">
        <f t="shared" si="25"/>
        <v>4200</v>
      </c>
      <c r="K416" s="8" t="s">
        <v>17</v>
      </c>
      <c r="L416" t="str">
        <f>IFERROR(VLOOKUP(F416,MÃ!$A:$B,2,0),0)</f>
        <v>NL300073</v>
      </c>
      <c r="M416" t="str">
        <f t="shared" si="24"/>
        <v>13/01/2026NL300073</v>
      </c>
      <c r="N416" s="15">
        <f>IFERROR(VLOOKUP(M416,'WS11'!$B$2:$Q$475,11,0),0)</f>
        <v>0.1</v>
      </c>
      <c r="O416" s="17">
        <f>IFERROR(VLOOKUP(M416,'WS11'!$B$2:$Q$475,12,0),0)</f>
        <v>42000</v>
      </c>
      <c r="P416" s="17">
        <f t="shared" si="26"/>
        <v>4200</v>
      </c>
      <c r="Q416" s="15">
        <f t="shared" si="27"/>
        <v>0</v>
      </c>
      <c r="R416" s="17">
        <f t="shared" si="27"/>
        <v>0</v>
      </c>
      <c r="S416" s="13"/>
    </row>
    <row r="417" spans="1:19" x14ac:dyDescent="0.25">
      <c r="A417" s="4" t="s">
        <v>165</v>
      </c>
      <c r="B417" s="5" t="s">
        <v>125</v>
      </c>
      <c r="C417" s="4" t="s">
        <v>117</v>
      </c>
      <c r="D417" s="5" t="s">
        <v>185</v>
      </c>
      <c r="E417" s="4" t="s">
        <v>67</v>
      </c>
      <c r="F417" s="4" t="s">
        <v>68</v>
      </c>
      <c r="G417" s="4" t="s">
        <v>16</v>
      </c>
      <c r="H417" s="6">
        <v>0.5</v>
      </c>
      <c r="I417" s="7">
        <v>18000</v>
      </c>
      <c r="J417" s="7">
        <f t="shared" si="25"/>
        <v>9000</v>
      </c>
      <c r="K417" s="8" t="s">
        <v>17</v>
      </c>
      <c r="L417" t="str">
        <f>IFERROR(VLOOKUP(F417,MÃ!$A:$B,2,0),0)</f>
        <v>NL300184</v>
      </c>
      <c r="M417" t="str">
        <f t="shared" si="24"/>
        <v>13/01/2026NL300184</v>
      </c>
      <c r="N417" s="15">
        <f>IFERROR(VLOOKUP(M417,'WS11'!$B$2:$Q$475,11,0),0)</f>
        <v>0.5</v>
      </c>
      <c r="O417" s="17">
        <f>IFERROR(VLOOKUP(M417,'WS11'!$B$2:$Q$475,12,0),0)</f>
        <v>18000</v>
      </c>
      <c r="P417" s="17">
        <f t="shared" si="26"/>
        <v>9000</v>
      </c>
      <c r="Q417" s="15">
        <f t="shared" si="27"/>
        <v>0</v>
      </c>
      <c r="R417" s="17">
        <f t="shared" si="27"/>
        <v>0</v>
      </c>
      <c r="S417" s="13"/>
    </row>
    <row r="418" spans="1:19" x14ac:dyDescent="0.25">
      <c r="A418" s="4" t="s">
        <v>165</v>
      </c>
      <c r="B418" s="5" t="s">
        <v>125</v>
      </c>
      <c r="C418" s="4" t="s">
        <v>117</v>
      </c>
      <c r="D418" s="5" t="s">
        <v>185</v>
      </c>
      <c r="E418" s="4" t="s">
        <v>14</v>
      </c>
      <c r="F418" s="4" t="s">
        <v>15</v>
      </c>
      <c r="G418" s="4" t="s">
        <v>16</v>
      </c>
      <c r="H418" s="6">
        <v>3</v>
      </c>
      <c r="I418" s="7">
        <v>27000</v>
      </c>
      <c r="J418" s="7">
        <f t="shared" si="25"/>
        <v>81000</v>
      </c>
      <c r="K418" s="8" t="s">
        <v>17</v>
      </c>
      <c r="L418" t="str">
        <f>IFERROR(VLOOKUP(F418,MÃ!$A:$B,2,0),0)</f>
        <v>NL300088</v>
      </c>
      <c r="M418" t="str">
        <f t="shared" si="24"/>
        <v>13/01/2026NL300088</v>
      </c>
      <c r="N418" s="15">
        <f>IFERROR(VLOOKUP(M418,'WS11'!$B$2:$Q$475,11,0),0)</f>
        <v>1.5</v>
      </c>
      <c r="O418" s="17">
        <f>IFERROR(VLOOKUP(M418,'WS11'!$B$2:$Q$475,12,0),0)</f>
        <v>27000</v>
      </c>
      <c r="P418" s="17">
        <f t="shared" si="26"/>
        <v>40500</v>
      </c>
      <c r="Q418" s="15">
        <f t="shared" si="27"/>
        <v>1.5</v>
      </c>
      <c r="R418" s="17">
        <f t="shared" si="27"/>
        <v>0</v>
      </c>
      <c r="S418" s="13" t="s">
        <v>543</v>
      </c>
    </row>
    <row r="419" spans="1:19" x14ac:dyDescent="0.25">
      <c r="A419" s="4" t="s">
        <v>165</v>
      </c>
      <c r="B419" s="5" t="s">
        <v>125</v>
      </c>
      <c r="C419" s="4" t="s">
        <v>117</v>
      </c>
      <c r="D419" s="5" t="s">
        <v>185</v>
      </c>
      <c r="E419" s="4" t="s">
        <v>69</v>
      </c>
      <c r="F419" s="4" t="s">
        <v>70</v>
      </c>
      <c r="G419" s="4" t="s">
        <v>16</v>
      </c>
      <c r="H419" s="6">
        <v>3</v>
      </c>
      <c r="I419" s="7">
        <v>145000</v>
      </c>
      <c r="J419" s="7">
        <f t="shared" si="25"/>
        <v>435000</v>
      </c>
      <c r="K419" s="8" t="s">
        <v>17</v>
      </c>
      <c r="L419" t="str">
        <f>IFERROR(VLOOKUP(F419,MÃ!$A:$B,2,0),0)</f>
        <v>NL300090</v>
      </c>
      <c r="M419" t="str">
        <f t="shared" si="24"/>
        <v>13/01/2026NL300090</v>
      </c>
      <c r="N419" s="15">
        <f>IFERROR(VLOOKUP(M419,'WS11'!$B$2:$Q$475,11,0),0)</f>
        <v>2.8</v>
      </c>
      <c r="O419" s="17">
        <f>IFERROR(VLOOKUP(M419,'WS11'!$B$2:$Q$475,12,0),0)</f>
        <v>145000</v>
      </c>
      <c r="P419" s="17">
        <f t="shared" si="26"/>
        <v>406000</v>
      </c>
      <c r="Q419" s="15">
        <f t="shared" si="27"/>
        <v>0.20000000000000018</v>
      </c>
      <c r="R419" s="17">
        <f t="shared" si="27"/>
        <v>0</v>
      </c>
      <c r="S419" s="13" t="s">
        <v>543</v>
      </c>
    </row>
    <row r="420" spans="1:19" x14ac:dyDescent="0.25">
      <c r="A420" s="4" t="s">
        <v>165</v>
      </c>
      <c r="B420" s="5" t="s">
        <v>125</v>
      </c>
      <c r="C420" s="4" t="s">
        <v>117</v>
      </c>
      <c r="D420" s="5" t="s">
        <v>185</v>
      </c>
      <c r="E420" s="4" t="s">
        <v>71</v>
      </c>
      <c r="F420" s="4" t="s">
        <v>72</v>
      </c>
      <c r="G420" s="4" t="s">
        <v>16</v>
      </c>
      <c r="H420" s="6">
        <v>1</v>
      </c>
      <c r="I420" s="7">
        <v>47000</v>
      </c>
      <c r="J420" s="7">
        <f t="shared" si="25"/>
        <v>47000</v>
      </c>
      <c r="K420" s="8" t="s">
        <v>17</v>
      </c>
      <c r="L420" t="str">
        <f>IFERROR(VLOOKUP(F420,MÃ!$A:$B,2,0),0)</f>
        <v>NL300091</v>
      </c>
      <c r="M420" t="str">
        <f t="shared" si="24"/>
        <v>13/01/2026NL300091</v>
      </c>
      <c r="N420" s="15">
        <f>IFERROR(VLOOKUP(M420,'WS11'!$B$2:$Q$475,11,0),0)</f>
        <v>0.8</v>
      </c>
      <c r="O420" s="17">
        <f>IFERROR(VLOOKUP(M420,'WS11'!$B$2:$Q$475,12,0),0)</f>
        <v>47000</v>
      </c>
      <c r="P420" s="17">
        <f t="shared" si="26"/>
        <v>37600</v>
      </c>
      <c r="Q420" s="15">
        <f t="shared" si="27"/>
        <v>0.19999999999999996</v>
      </c>
      <c r="R420" s="17">
        <f t="shared" si="27"/>
        <v>0</v>
      </c>
      <c r="S420" s="13" t="s">
        <v>543</v>
      </c>
    </row>
    <row r="421" spans="1:19" x14ac:dyDescent="0.25">
      <c r="A421" s="4" t="s">
        <v>165</v>
      </c>
      <c r="B421" s="5" t="s">
        <v>125</v>
      </c>
      <c r="C421" s="4" t="s">
        <v>117</v>
      </c>
      <c r="D421" s="5" t="s">
        <v>185</v>
      </c>
      <c r="E421" s="4" t="s">
        <v>73</v>
      </c>
      <c r="F421" s="4" t="s">
        <v>74</v>
      </c>
      <c r="G421" s="4" t="s">
        <v>16</v>
      </c>
      <c r="H421" s="6">
        <v>0.43</v>
      </c>
      <c r="I421" s="7">
        <v>90000</v>
      </c>
      <c r="J421" s="7">
        <f t="shared" si="25"/>
        <v>38700</v>
      </c>
      <c r="K421" s="8" t="s">
        <v>17</v>
      </c>
      <c r="L421" t="str">
        <f>IFERROR(VLOOKUP(F421,MÃ!$A:$B,2,0),0)</f>
        <v>NL300092</v>
      </c>
      <c r="M421" t="str">
        <f t="shared" si="24"/>
        <v>13/01/2026NL300092</v>
      </c>
      <c r="N421" s="15">
        <f>IFERROR(VLOOKUP(M421,'WS11'!$B$2:$Q$475,11,0),0)</f>
        <v>0.4</v>
      </c>
      <c r="O421" s="17">
        <f>IFERROR(VLOOKUP(M421,'WS11'!$B$2:$Q$475,12,0),0)</f>
        <v>90000</v>
      </c>
      <c r="P421" s="17">
        <f t="shared" si="26"/>
        <v>36000</v>
      </c>
      <c r="Q421" s="15">
        <f t="shared" si="27"/>
        <v>2.9999999999999971E-2</v>
      </c>
      <c r="R421" s="17">
        <f t="shared" si="27"/>
        <v>0</v>
      </c>
      <c r="S421" s="13" t="s">
        <v>543</v>
      </c>
    </row>
    <row r="422" spans="1:19" x14ac:dyDescent="0.25">
      <c r="A422" s="4" t="s">
        <v>165</v>
      </c>
      <c r="B422" s="5" t="s">
        <v>125</v>
      </c>
      <c r="C422" s="4" t="s">
        <v>117</v>
      </c>
      <c r="D422" s="5" t="s">
        <v>185</v>
      </c>
      <c r="E422" s="4" t="s">
        <v>100</v>
      </c>
      <c r="F422" s="4" t="s">
        <v>101</v>
      </c>
      <c r="G422" s="4" t="s">
        <v>16</v>
      </c>
      <c r="H422" s="6">
        <v>0.52</v>
      </c>
      <c r="I422" s="7">
        <v>80000</v>
      </c>
      <c r="J422" s="7">
        <f t="shared" si="25"/>
        <v>41600</v>
      </c>
      <c r="K422" s="8" t="s">
        <v>17</v>
      </c>
      <c r="L422" t="str">
        <f>IFERROR(VLOOKUP(F422,MÃ!$A:$B,2,0),0)</f>
        <v>NL300094</v>
      </c>
      <c r="M422" t="str">
        <f t="shared" si="24"/>
        <v>13/01/2026NL300094</v>
      </c>
      <c r="N422" s="15">
        <f>IFERROR(VLOOKUP(M422,'WS11'!$B$2:$Q$475,11,0),0)</f>
        <v>0.4</v>
      </c>
      <c r="O422" s="17">
        <f>IFERROR(VLOOKUP(M422,'WS11'!$B$2:$Q$475,12,0),0)</f>
        <v>80000</v>
      </c>
      <c r="P422" s="17">
        <f t="shared" si="26"/>
        <v>32000</v>
      </c>
      <c r="Q422" s="15">
        <f t="shared" si="27"/>
        <v>0.12</v>
      </c>
      <c r="R422" s="17">
        <f t="shared" si="27"/>
        <v>0</v>
      </c>
      <c r="S422" s="13" t="s">
        <v>543</v>
      </c>
    </row>
    <row r="423" spans="1:19" x14ac:dyDescent="0.25">
      <c r="A423" s="4" t="s">
        <v>165</v>
      </c>
      <c r="B423" s="5" t="s">
        <v>125</v>
      </c>
      <c r="C423" s="4" t="s">
        <v>117</v>
      </c>
      <c r="D423" s="5" t="s">
        <v>185</v>
      </c>
      <c r="E423" s="4" t="s">
        <v>44</v>
      </c>
      <c r="F423" s="4" t="s">
        <v>45</v>
      </c>
      <c r="G423" s="4" t="s">
        <v>16</v>
      </c>
      <c r="H423" s="6">
        <v>2</v>
      </c>
      <c r="I423" s="7">
        <v>45000</v>
      </c>
      <c r="J423" s="7">
        <f t="shared" si="25"/>
        <v>90000</v>
      </c>
      <c r="K423" s="8" t="s">
        <v>17</v>
      </c>
      <c r="L423" t="str">
        <f>IFERROR(VLOOKUP(F423,MÃ!$A:$B,2,0),0)</f>
        <v>NL300096</v>
      </c>
      <c r="M423" t="str">
        <f t="shared" si="24"/>
        <v>13/01/2026NL300096</v>
      </c>
      <c r="N423" s="15">
        <f>IFERROR(VLOOKUP(M423,'WS11'!$B$2:$Q$475,11,0),0)</f>
        <v>1.8</v>
      </c>
      <c r="O423" s="17">
        <f>IFERROR(VLOOKUP(M423,'WS11'!$B$2:$Q$475,12,0),0)</f>
        <v>45000</v>
      </c>
      <c r="P423" s="17">
        <f t="shared" si="26"/>
        <v>81000</v>
      </c>
      <c r="Q423" s="15">
        <f t="shared" si="27"/>
        <v>0.19999999999999996</v>
      </c>
      <c r="R423" s="17">
        <f t="shared" si="27"/>
        <v>0</v>
      </c>
      <c r="S423" s="13" t="s">
        <v>543</v>
      </c>
    </row>
    <row r="424" spans="1:19" x14ac:dyDescent="0.25">
      <c r="A424" s="4" t="s">
        <v>165</v>
      </c>
      <c r="B424" s="5" t="s">
        <v>125</v>
      </c>
      <c r="C424" s="4" t="s">
        <v>117</v>
      </c>
      <c r="D424" s="5" t="s">
        <v>185</v>
      </c>
      <c r="E424" s="4" t="s">
        <v>75</v>
      </c>
      <c r="F424" s="4" t="s">
        <v>76</v>
      </c>
      <c r="G424" s="4" t="s">
        <v>16</v>
      </c>
      <c r="H424" s="6">
        <v>0.43</v>
      </c>
      <c r="I424" s="7">
        <v>90000</v>
      </c>
      <c r="J424" s="7">
        <f t="shared" si="25"/>
        <v>38700</v>
      </c>
      <c r="K424" s="8" t="s">
        <v>17</v>
      </c>
      <c r="L424" t="str">
        <f>IFERROR(VLOOKUP(F424,MÃ!$A:$B,2,0),0)</f>
        <v>NL300097</v>
      </c>
      <c r="M424" t="str">
        <f t="shared" ref="M424:M488" si="28">""&amp;DAY(A424)&amp;"/01/2026"&amp;L424</f>
        <v>13/01/2026NL300097</v>
      </c>
      <c r="N424" s="15">
        <f>IFERROR(VLOOKUP(M424,'WS11'!$B$2:$Q$475,11,0),0)</f>
        <v>0.4</v>
      </c>
      <c r="O424" s="17">
        <f>IFERROR(VLOOKUP(M424,'WS11'!$B$2:$Q$475,12,0),0)</f>
        <v>90000</v>
      </c>
      <c r="P424" s="17">
        <f t="shared" si="26"/>
        <v>36000</v>
      </c>
      <c r="Q424" s="15">
        <f t="shared" si="27"/>
        <v>2.9999999999999971E-2</v>
      </c>
      <c r="R424" s="17">
        <f t="shared" si="27"/>
        <v>0</v>
      </c>
      <c r="S424" s="13" t="s">
        <v>543</v>
      </c>
    </row>
    <row r="425" spans="1:19" x14ac:dyDescent="0.25">
      <c r="A425" s="4" t="s">
        <v>165</v>
      </c>
      <c r="B425" s="5" t="s">
        <v>125</v>
      </c>
      <c r="C425" s="4" t="s">
        <v>117</v>
      </c>
      <c r="D425" s="5" t="s">
        <v>185</v>
      </c>
      <c r="E425" s="4" t="s">
        <v>111</v>
      </c>
      <c r="F425" s="4" t="s">
        <v>112</v>
      </c>
      <c r="G425" s="4" t="s">
        <v>16</v>
      </c>
      <c r="H425" s="6">
        <v>0.2</v>
      </c>
      <c r="I425" s="7">
        <v>250000</v>
      </c>
      <c r="J425" s="7">
        <f t="shared" si="25"/>
        <v>50000</v>
      </c>
      <c r="K425" s="8" t="s">
        <v>17</v>
      </c>
      <c r="L425" t="str">
        <f>IFERROR(VLOOKUP(F425,MÃ!$A:$B,2,0),0)</f>
        <v>NL300158</v>
      </c>
      <c r="M425" t="str">
        <f t="shared" si="28"/>
        <v>13/01/2026NL300158</v>
      </c>
      <c r="N425" s="15">
        <f>IFERROR(VLOOKUP(M425,'WS11'!$B$2:$Q$475,11,0),0)</f>
        <v>0.2</v>
      </c>
      <c r="O425" s="17">
        <f>IFERROR(VLOOKUP(M425,'WS11'!$B$2:$Q$475,12,0),0)</f>
        <v>250000</v>
      </c>
      <c r="P425" s="17">
        <f t="shared" si="26"/>
        <v>50000</v>
      </c>
      <c r="Q425" s="15">
        <f t="shared" si="27"/>
        <v>0</v>
      </c>
      <c r="R425" s="17">
        <f t="shared" si="27"/>
        <v>0</v>
      </c>
      <c r="S425" s="13"/>
    </row>
    <row r="426" spans="1:19" x14ac:dyDescent="0.25">
      <c r="A426" s="4" t="s">
        <v>165</v>
      </c>
      <c r="B426" s="5" t="s">
        <v>125</v>
      </c>
      <c r="C426" s="4" t="s">
        <v>117</v>
      </c>
      <c r="D426" s="5" t="s">
        <v>185</v>
      </c>
      <c r="E426" s="4" t="s">
        <v>109</v>
      </c>
      <c r="F426" s="4" t="s">
        <v>110</v>
      </c>
      <c r="G426" s="4" t="s">
        <v>16</v>
      </c>
      <c r="H426" s="6">
        <v>0.5</v>
      </c>
      <c r="I426" s="7">
        <v>195000</v>
      </c>
      <c r="J426" s="7">
        <f t="shared" si="25"/>
        <v>97500</v>
      </c>
      <c r="K426" s="8" t="s">
        <v>17</v>
      </c>
      <c r="L426" t="str">
        <f>IFERROR(VLOOKUP(F426,MÃ!$A:$B,2,0),0)</f>
        <v>NL300101</v>
      </c>
      <c r="M426" t="str">
        <f t="shared" si="28"/>
        <v>13/01/2026NL300101</v>
      </c>
      <c r="N426" s="15">
        <f>IFERROR(VLOOKUP(M426,'WS11'!$B$2:$Q$475,11,0),0)</f>
        <v>0.4</v>
      </c>
      <c r="O426" s="17">
        <f>IFERROR(VLOOKUP(M426,'WS11'!$B$2:$Q$475,12,0),0)</f>
        <v>195000</v>
      </c>
      <c r="P426" s="17">
        <f t="shared" si="26"/>
        <v>78000</v>
      </c>
      <c r="Q426" s="15">
        <f t="shared" si="27"/>
        <v>9.9999999999999978E-2</v>
      </c>
      <c r="R426" s="17">
        <f t="shared" si="27"/>
        <v>0</v>
      </c>
      <c r="S426" s="13" t="s">
        <v>543</v>
      </c>
    </row>
    <row r="427" spans="1:19" x14ac:dyDescent="0.25">
      <c r="A427" s="4" t="s">
        <v>165</v>
      </c>
      <c r="B427" s="5" t="s">
        <v>125</v>
      </c>
      <c r="C427" s="4" t="s">
        <v>117</v>
      </c>
      <c r="D427" s="5" t="s">
        <v>185</v>
      </c>
      <c r="E427" s="4" t="s">
        <v>77</v>
      </c>
      <c r="F427" s="4" t="s">
        <v>78</v>
      </c>
      <c r="G427" s="4" t="s">
        <v>16</v>
      </c>
      <c r="H427" s="6">
        <v>1.4</v>
      </c>
      <c r="I427" s="7">
        <v>45000</v>
      </c>
      <c r="J427" s="7">
        <f t="shared" si="25"/>
        <v>62999.999999999993</v>
      </c>
      <c r="K427" s="8" t="s">
        <v>17</v>
      </c>
      <c r="L427" t="str">
        <f>IFERROR(VLOOKUP(F427,MÃ!$A:$B,2,0),0)</f>
        <v>NL300085</v>
      </c>
      <c r="M427" t="str">
        <f t="shared" si="28"/>
        <v>13/01/2026NL300085</v>
      </c>
      <c r="N427" s="15">
        <f>IFERROR(VLOOKUP(M427,'WS11'!$B$2:$Q$475,11,0),0)</f>
        <v>1</v>
      </c>
      <c r="O427" s="17">
        <f>IFERROR(VLOOKUP(M427,'WS11'!$B$2:$Q$475,12,0),0)</f>
        <v>45000</v>
      </c>
      <c r="P427" s="17">
        <f t="shared" si="26"/>
        <v>45000</v>
      </c>
      <c r="Q427" s="15">
        <f t="shared" si="27"/>
        <v>0.39999999999999991</v>
      </c>
      <c r="R427" s="17">
        <f t="shared" si="27"/>
        <v>0</v>
      </c>
      <c r="S427" s="13" t="s">
        <v>543</v>
      </c>
    </row>
    <row r="428" spans="1:19" x14ac:dyDescent="0.25">
      <c r="A428" s="4" t="s">
        <v>165</v>
      </c>
      <c r="B428" s="5" t="s">
        <v>125</v>
      </c>
      <c r="C428" s="4" t="s">
        <v>117</v>
      </c>
      <c r="D428" s="5" t="s">
        <v>185</v>
      </c>
      <c r="E428" s="4" t="s">
        <v>102</v>
      </c>
      <c r="F428" s="4" t="s">
        <v>103</v>
      </c>
      <c r="G428" s="4" t="s">
        <v>16</v>
      </c>
      <c r="H428" s="6">
        <v>0.54</v>
      </c>
      <c r="I428" s="7">
        <v>145000</v>
      </c>
      <c r="J428" s="7">
        <f t="shared" si="25"/>
        <v>78300</v>
      </c>
      <c r="K428" s="8" t="s">
        <v>17</v>
      </c>
      <c r="L428" t="str">
        <f>IFERROR(VLOOKUP(F428,MÃ!$A:$B,2,0),0)</f>
        <v>NL300113</v>
      </c>
      <c r="M428" t="str">
        <f t="shared" si="28"/>
        <v>13/01/2026NL300113</v>
      </c>
      <c r="N428" s="15">
        <f>IFERROR(VLOOKUP(M428,'WS11'!$B$2:$Q$475,11,0),0)</f>
        <v>0.4</v>
      </c>
      <c r="O428" s="17">
        <f>IFERROR(VLOOKUP(M428,'WS11'!$B$2:$Q$475,12,0),0)</f>
        <v>145000</v>
      </c>
      <c r="P428" s="17">
        <f t="shared" si="26"/>
        <v>58000</v>
      </c>
      <c r="Q428" s="15">
        <f t="shared" si="27"/>
        <v>0.14000000000000001</v>
      </c>
      <c r="R428" s="17">
        <f t="shared" si="27"/>
        <v>0</v>
      </c>
      <c r="S428" s="13" t="s">
        <v>543</v>
      </c>
    </row>
    <row r="429" spans="1:19" x14ac:dyDescent="0.25">
      <c r="A429" s="4" t="s">
        <v>165</v>
      </c>
      <c r="B429" s="5" t="s">
        <v>125</v>
      </c>
      <c r="C429" s="4" t="s">
        <v>117</v>
      </c>
      <c r="D429" s="5" t="s">
        <v>185</v>
      </c>
      <c r="E429" s="4" t="s">
        <v>48</v>
      </c>
      <c r="F429" s="4" t="s">
        <v>49</v>
      </c>
      <c r="G429" s="4" t="s">
        <v>16</v>
      </c>
      <c r="H429" s="6">
        <v>0.5</v>
      </c>
      <c r="I429" s="7">
        <v>42000</v>
      </c>
      <c r="J429" s="7">
        <f t="shared" si="25"/>
        <v>21000</v>
      </c>
      <c r="K429" s="8" t="s">
        <v>17</v>
      </c>
      <c r="L429" t="str">
        <f>IFERROR(VLOOKUP(F429,MÃ!$A:$B,2,0),0)</f>
        <v>NL300125</v>
      </c>
      <c r="M429" t="str">
        <f t="shared" si="28"/>
        <v>13/01/2026NL300125</v>
      </c>
      <c r="N429" s="15">
        <f>IFERROR(VLOOKUP(M429,'WS11'!$B$2:$Q$475,11,0),0)</f>
        <v>0.5</v>
      </c>
      <c r="O429" s="17">
        <f>IFERROR(VLOOKUP(M429,'WS11'!$B$2:$Q$475,12,0),0)</f>
        <v>42000</v>
      </c>
      <c r="P429" s="17">
        <f t="shared" si="26"/>
        <v>21000</v>
      </c>
      <c r="Q429" s="15">
        <f t="shared" si="27"/>
        <v>0</v>
      </c>
      <c r="R429" s="17">
        <f t="shared" si="27"/>
        <v>0</v>
      </c>
      <c r="S429" s="13"/>
    </row>
    <row r="430" spans="1:19" x14ac:dyDescent="0.25">
      <c r="A430" s="4" t="s">
        <v>165</v>
      </c>
      <c r="B430" s="5" t="s">
        <v>125</v>
      </c>
      <c r="C430" s="4" t="s">
        <v>117</v>
      </c>
      <c r="D430" s="5" t="s">
        <v>185</v>
      </c>
      <c r="E430" s="4" t="s">
        <v>133</v>
      </c>
      <c r="F430" s="4" t="s">
        <v>134</v>
      </c>
      <c r="G430" s="4" t="s">
        <v>16</v>
      </c>
      <c r="H430" s="6">
        <v>1</v>
      </c>
      <c r="I430" s="7">
        <v>36000</v>
      </c>
      <c r="J430" s="7">
        <f t="shared" si="25"/>
        <v>36000</v>
      </c>
      <c r="K430" s="8" t="s">
        <v>17</v>
      </c>
      <c r="L430" t="str">
        <f>IFERROR(VLOOKUP(F430,MÃ!$A:$B,2,0),0)</f>
        <v>NL300140</v>
      </c>
      <c r="M430" t="str">
        <f t="shared" si="28"/>
        <v>13/01/2026NL300140</v>
      </c>
      <c r="N430" s="15">
        <f>IFERROR(VLOOKUP(M430,'WS11'!$B$2:$Q$475,11,0),0)</f>
        <v>0.7</v>
      </c>
      <c r="O430" s="17">
        <f>IFERROR(VLOOKUP(M430,'WS11'!$B$2:$Q$475,12,0),0)</f>
        <v>36000</v>
      </c>
      <c r="P430" s="17">
        <f t="shared" si="26"/>
        <v>25200</v>
      </c>
      <c r="Q430" s="15">
        <f t="shared" si="27"/>
        <v>0.30000000000000004</v>
      </c>
      <c r="R430" s="17">
        <f t="shared" si="27"/>
        <v>0</v>
      </c>
      <c r="S430" s="13" t="s">
        <v>543</v>
      </c>
    </row>
    <row r="431" spans="1:19" x14ac:dyDescent="0.25">
      <c r="A431" s="4" t="s">
        <v>165</v>
      </c>
      <c r="B431" s="5" t="s">
        <v>125</v>
      </c>
      <c r="C431" s="4" t="s">
        <v>117</v>
      </c>
      <c r="D431" s="5" t="s">
        <v>185</v>
      </c>
      <c r="E431" s="4" t="s">
        <v>52</v>
      </c>
      <c r="F431" s="4" t="s">
        <v>53</v>
      </c>
      <c r="G431" s="4" t="s">
        <v>16</v>
      </c>
      <c r="H431" s="6">
        <v>1.2</v>
      </c>
      <c r="I431" s="7">
        <v>21000</v>
      </c>
      <c r="J431" s="7">
        <f t="shared" si="25"/>
        <v>25200</v>
      </c>
      <c r="K431" s="8" t="s">
        <v>17</v>
      </c>
      <c r="L431" t="str">
        <f>IFERROR(VLOOKUP(F431,MÃ!$A:$B,2,0),0)</f>
        <v>NL300119</v>
      </c>
      <c r="M431" t="str">
        <f t="shared" si="28"/>
        <v>13/01/2026NL300119</v>
      </c>
      <c r="N431" s="15">
        <f>IFERROR(VLOOKUP(M431,'WS11'!$B$2:$Q$475,11,0),0)</f>
        <v>0.8</v>
      </c>
      <c r="O431" s="17">
        <f>IFERROR(VLOOKUP(M431,'WS11'!$B$2:$Q$475,12,0),0)</f>
        <v>21000</v>
      </c>
      <c r="P431" s="17">
        <f t="shared" si="26"/>
        <v>16800</v>
      </c>
      <c r="Q431" s="15">
        <f t="shared" si="27"/>
        <v>0.39999999999999991</v>
      </c>
      <c r="R431" s="17">
        <f t="shared" si="27"/>
        <v>0</v>
      </c>
      <c r="S431" s="13" t="s">
        <v>543</v>
      </c>
    </row>
    <row r="432" spans="1:19" x14ac:dyDescent="0.25">
      <c r="A432" s="4" t="s">
        <v>165</v>
      </c>
      <c r="B432" s="5" t="s">
        <v>125</v>
      </c>
      <c r="C432" s="4" t="s">
        <v>117</v>
      </c>
      <c r="D432" s="5" t="s">
        <v>185</v>
      </c>
      <c r="E432" s="4" t="s">
        <v>85</v>
      </c>
      <c r="F432" s="4" t="s">
        <v>86</v>
      </c>
      <c r="G432" s="4" t="s">
        <v>16</v>
      </c>
      <c r="H432" s="6">
        <v>0.6</v>
      </c>
      <c r="I432" s="7">
        <v>50000</v>
      </c>
      <c r="J432" s="7">
        <f t="shared" si="25"/>
        <v>30000</v>
      </c>
      <c r="K432" s="8" t="s">
        <v>17</v>
      </c>
      <c r="L432" t="str">
        <f>IFERROR(VLOOKUP(F432,MÃ!$A:$B,2,0),0)</f>
        <v>NL300142</v>
      </c>
      <c r="M432" t="str">
        <f t="shared" si="28"/>
        <v>13/01/2026NL300142</v>
      </c>
      <c r="N432" s="15">
        <f>IFERROR(VLOOKUP(M432,'WS11'!$B$2:$Q$475,11,0),0)</f>
        <v>0.5</v>
      </c>
      <c r="O432" s="17">
        <f>IFERROR(VLOOKUP(M432,'WS11'!$B$2:$Q$475,12,0),0)</f>
        <v>50000</v>
      </c>
      <c r="P432" s="17">
        <f t="shared" si="26"/>
        <v>25000</v>
      </c>
      <c r="Q432" s="15">
        <f t="shared" si="27"/>
        <v>9.9999999999999978E-2</v>
      </c>
      <c r="R432" s="17">
        <f t="shared" si="27"/>
        <v>0</v>
      </c>
      <c r="S432" s="13" t="s">
        <v>543</v>
      </c>
    </row>
    <row r="433" spans="1:19" x14ac:dyDescent="0.25">
      <c r="A433" s="4" t="s">
        <v>165</v>
      </c>
      <c r="B433" s="5" t="s">
        <v>125</v>
      </c>
      <c r="C433" s="4" t="s">
        <v>117</v>
      </c>
      <c r="D433" s="5" t="s">
        <v>185</v>
      </c>
      <c r="E433" s="4" t="s">
        <v>106</v>
      </c>
      <c r="F433" s="4" t="s">
        <v>107</v>
      </c>
      <c r="G433" s="4" t="s">
        <v>108</v>
      </c>
      <c r="H433" s="6">
        <v>30</v>
      </c>
      <c r="I433" s="7">
        <v>5000</v>
      </c>
      <c r="J433" s="7">
        <f t="shared" si="25"/>
        <v>150000</v>
      </c>
      <c r="K433" s="8" t="s">
        <v>17</v>
      </c>
      <c r="L433" t="str">
        <f>IFERROR(VLOOKUP(F433,MÃ!$A:$B,2,0),0)</f>
        <v>NL100101</v>
      </c>
      <c r="M433" t="str">
        <f t="shared" si="28"/>
        <v>13/01/2026NL100101</v>
      </c>
      <c r="N433" s="15">
        <f>IFERROR(VLOOKUP(M433,'WS11'!$B$2:$Q$475,11,0),0)</f>
        <v>30</v>
      </c>
      <c r="O433" s="17">
        <f>IFERROR(VLOOKUP(M433,'WS11'!$B$2:$Q$475,12,0),0)</f>
        <v>5000</v>
      </c>
      <c r="P433" s="17">
        <f t="shared" si="26"/>
        <v>150000</v>
      </c>
      <c r="Q433" s="15">
        <f t="shared" si="27"/>
        <v>0</v>
      </c>
      <c r="R433" s="17">
        <f t="shared" si="27"/>
        <v>0</v>
      </c>
      <c r="S433" s="13"/>
    </row>
    <row r="434" spans="1:19" x14ac:dyDescent="0.25">
      <c r="A434" s="4" t="s">
        <v>165</v>
      </c>
      <c r="B434" s="5" t="s">
        <v>125</v>
      </c>
      <c r="C434" s="4" t="s">
        <v>117</v>
      </c>
      <c r="D434" s="5" t="s">
        <v>185</v>
      </c>
      <c r="E434" s="4" t="s">
        <v>54</v>
      </c>
      <c r="F434" s="4" t="s">
        <v>55</v>
      </c>
      <c r="G434" s="4" t="s">
        <v>16</v>
      </c>
      <c r="H434" s="6">
        <v>6</v>
      </c>
      <c r="I434" s="7">
        <v>62000</v>
      </c>
      <c r="J434" s="7">
        <f t="shared" si="25"/>
        <v>372000</v>
      </c>
      <c r="K434" s="8" t="s">
        <v>17</v>
      </c>
      <c r="L434" t="str">
        <f>IFERROR(VLOOKUP(F434,MÃ!$A:$B,2,0),0)</f>
        <v>NL300147</v>
      </c>
      <c r="M434" t="str">
        <f t="shared" si="28"/>
        <v>13/01/2026NL300147</v>
      </c>
      <c r="N434" s="15">
        <f>IFERROR(VLOOKUP(M434,'WS11'!$B$2:$Q$475,11,0),0)</f>
        <v>4</v>
      </c>
      <c r="O434" s="17">
        <f>IFERROR(VLOOKUP(M434,'WS11'!$B$2:$Q$475,12,0),0)</f>
        <v>62000</v>
      </c>
      <c r="P434" s="17">
        <f t="shared" si="26"/>
        <v>248000</v>
      </c>
      <c r="Q434" s="15">
        <f t="shared" si="27"/>
        <v>2</v>
      </c>
      <c r="R434" s="17">
        <f t="shared" si="27"/>
        <v>0</v>
      </c>
      <c r="S434" s="13" t="s">
        <v>543</v>
      </c>
    </row>
    <row r="435" spans="1:19" s="33" customFormat="1" x14ac:dyDescent="0.25">
      <c r="A435" s="29" t="s">
        <v>165</v>
      </c>
      <c r="B435" s="30"/>
      <c r="C435" s="29" t="s">
        <v>117</v>
      </c>
      <c r="D435" s="30" t="s">
        <v>185</v>
      </c>
      <c r="E435" s="29"/>
      <c r="F435" s="29" t="s">
        <v>545</v>
      </c>
      <c r="G435" s="29"/>
      <c r="H435" s="31"/>
      <c r="I435" s="32"/>
      <c r="J435" s="32"/>
      <c r="K435" s="8"/>
      <c r="L435" s="33" t="str">
        <f>IFERROR(VLOOKUP(F435,MÃ!$A:$B,2,0),0)</f>
        <v>NL600067</v>
      </c>
      <c r="M435" s="33" t="str">
        <f t="shared" ref="M435" si="29">""&amp;DAY(A435)&amp;"/01/2026"&amp;L435</f>
        <v>13/01/2026NL600067</v>
      </c>
      <c r="N435" s="34">
        <f>IFERROR(VLOOKUP(M435,'WS11'!$B$2:$Q$475,11,0),0)</f>
        <v>0.4</v>
      </c>
      <c r="O435" s="35">
        <f>IFERROR(VLOOKUP(M435,'WS11'!$B$2:$Q$475,12,0),0)</f>
        <v>75000</v>
      </c>
      <c r="P435" s="35">
        <f t="shared" ref="P435" si="30">N435*O435</f>
        <v>30000</v>
      </c>
      <c r="Q435" s="34">
        <f t="shared" ref="Q435" si="31">H435-N435</f>
        <v>-0.4</v>
      </c>
      <c r="R435" s="35">
        <f t="shared" ref="R435" si="32">I435-O435</f>
        <v>-75000</v>
      </c>
      <c r="S435" s="36" t="s">
        <v>544</v>
      </c>
    </row>
    <row r="436" spans="1:19" x14ac:dyDescent="0.25">
      <c r="A436" s="4" t="s">
        <v>167</v>
      </c>
      <c r="B436" s="5" t="s">
        <v>125</v>
      </c>
      <c r="C436" s="4" t="s">
        <v>117</v>
      </c>
      <c r="D436" s="5" t="s">
        <v>186</v>
      </c>
      <c r="E436" s="4" t="s">
        <v>18</v>
      </c>
      <c r="F436" s="4" t="s">
        <v>19</v>
      </c>
      <c r="G436" s="4" t="s">
        <v>16</v>
      </c>
      <c r="H436" s="6">
        <v>3.5</v>
      </c>
      <c r="I436" s="7">
        <v>15000</v>
      </c>
      <c r="J436" s="7">
        <f t="shared" si="25"/>
        <v>52500</v>
      </c>
      <c r="K436" s="8" t="s">
        <v>17</v>
      </c>
      <c r="L436" t="str">
        <f>IFERROR(VLOOKUP(F436,MÃ!$A:$B,2,0),0)</f>
        <v>NL300189</v>
      </c>
      <c r="M436" t="str">
        <f t="shared" si="28"/>
        <v>14/01/2026NL300189</v>
      </c>
      <c r="N436" s="15">
        <f>IFERROR(VLOOKUP(M436,'WS11'!$B$2:$Q$475,11,0),0)</f>
        <v>1.5</v>
      </c>
      <c r="O436" s="17">
        <f>IFERROR(VLOOKUP(M436,'WS11'!$B$2:$Q$475,12,0),0)</f>
        <v>15000</v>
      </c>
      <c r="P436" s="17">
        <f t="shared" si="26"/>
        <v>22500</v>
      </c>
      <c r="Q436" s="15">
        <f t="shared" si="27"/>
        <v>2</v>
      </c>
      <c r="R436" s="17">
        <f t="shared" si="27"/>
        <v>0</v>
      </c>
      <c r="S436" s="13" t="s">
        <v>543</v>
      </c>
    </row>
    <row r="437" spans="1:19" x14ac:dyDescent="0.25">
      <c r="A437" s="4" t="s">
        <v>167</v>
      </c>
      <c r="B437" s="5" t="s">
        <v>125</v>
      </c>
      <c r="C437" s="4" t="s">
        <v>117</v>
      </c>
      <c r="D437" s="5" t="s">
        <v>186</v>
      </c>
      <c r="E437" s="4" t="s">
        <v>56</v>
      </c>
      <c r="F437" s="4" t="s">
        <v>57</v>
      </c>
      <c r="G437" s="4" t="s">
        <v>58</v>
      </c>
      <c r="H437" s="6">
        <v>10</v>
      </c>
      <c r="I437" s="7">
        <v>8500</v>
      </c>
      <c r="J437" s="7">
        <f t="shared" si="25"/>
        <v>85000</v>
      </c>
      <c r="K437" s="8" t="s">
        <v>17</v>
      </c>
      <c r="L437" t="str">
        <f>IFERROR(VLOOKUP(F437,MÃ!$A:$B,2,0),0)</f>
        <v>NL300107</v>
      </c>
      <c r="M437" t="str">
        <f t="shared" si="28"/>
        <v>14/01/2026NL300107</v>
      </c>
      <c r="N437" s="15">
        <f>IFERROR(VLOOKUP(M437,'WS11'!$B$2:$Q$475,11,0),0)</f>
        <v>8</v>
      </c>
      <c r="O437" s="17">
        <f>IFERROR(VLOOKUP(M437,'WS11'!$B$2:$Q$475,12,0),0)</f>
        <v>8500</v>
      </c>
      <c r="P437" s="17">
        <f t="shared" si="26"/>
        <v>68000</v>
      </c>
      <c r="Q437" s="15">
        <f t="shared" si="27"/>
        <v>2</v>
      </c>
      <c r="R437" s="17">
        <f t="shared" si="27"/>
        <v>0</v>
      </c>
      <c r="S437" s="13" t="s">
        <v>543</v>
      </c>
    </row>
    <row r="438" spans="1:19" x14ac:dyDescent="0.25">
      <c r="A438" s="4" t="s">
        <v>167</v>
      </c>
      <c r="B438" s="5" t="s">
        <v>125</v>
      </c>
      <c r="C438" s="4" t="s">
        <v>117</v>
      </c>
      <c r="D438" s="5" t="s">
        <v>186</v>
      </c>
      <c r="E438" s="4" t="s">
        <v>22</v>
      </c>
      <c r="F438" s="4" t="s">
        <v>23</v>
      </c>
      <c r="G438" s="4" t="s">
        <v>16</v>
      </c>
      <c r="H438" s="6">
        <v>4</v>
      </c>
      <c r="I438" s="7">
        <v>30000</v>
      </c>
      <c r="J438" s="7">
        <f t="shared" si="25"/>
        <v>120000</v>
      </c>
      <c r="K438" s="8" t="s">
        <v>17</v>
      </c>
      <c r="L438" t="str">
        <f>IFERROR(VLOOKUP(F438,MÃ!$A:$B,2,0),0)</f>
        <v>NL300007</v>
      </c>
      <c r="M438" t="str">
        <f t="shared" si="28"/>
        <v>14/01/2026NL300007</v>
      </c>
      <c r="N438" s="15">
        <f>IFERROR(VLOOKUP(M438,'WS11'!$B$2:$Q$475,11,0),0)</f>
        <v>3</v>
      </c>
      <c r="O438" s="17">
        <f>IFERROR(VLOOKUP(M438,'WS11'!$B$2:$Q$475,12,0),0)</f>
        <v>30000</v>
      </c>
      <c r="P438" s="17">
        <f t="shared" si="26"/>
        <v>90000</v>
      </c>
      <c r="Q438" s="15">
        <f t="shared" si="27"/>
        <v>1</v>
      </c>
      <c r="R438" s="17">
        <f t="shared" si="27"/>
        <v>0</v>
      </c>
      <c r="S438" s="13" t="s">
        <v>543</v>
      </c>
    </row>
    <row r="439" spans="1:19" x14ac:dyDescent="0.25">
      <c r="A439" s="4" t="s">
        <v>167</v>
      </c>
      <c r="B439" s="5" t="s">
        <v>125</v>
      </c>
      <c r="C439" s="4" t="s">
        <v>117</v>
      </c>
      <c r="D439" s="5" t="s">
        <v>186</v>
      </c>
      <c r="E439" s="4" t="s">
        <v>24</v>
      </c>
      <c r="F439" s="4" t="s">
        <v>25</v>
      </c>
      <c r="G439" s="4" t="s">
        <v>16</v>
      </c>
      <c r="H439" s="6">
        <v>8</v>
      </c>
      <c r="I439" s="7">
        <v>40000</v>
      </c>
      <c r="J439" s="7">
        <f t="shared" si="25"/>
        <v>320000</v>
      </c>
      <c r="K439" s="8" t="s">
        <v>17</v>
      </c>
      <c r="L439" t="str">
        <f>IFERROR(VLOOKUP(F439,MÃ!$A:$B,2,0),0)</f>
        <v>NL300008</v>
      </c>
      <c r="M439" t="str">
        <f t="shared" si="28"/>
        <v>14/01/2026NL300008</v>
      </c>
      <c r="N439" s="15">
        <f>IFERROR(VLOOKUP(M439,'WS11'!$B$2:$Q$475,11,0),0)</f>
        <v>4</v>
      </c>
      <c r="O439" s="17">
        <f>IFERROR(VLOOKUP(M439,'WS11'!$B$2:$Q$475,12,0),0)</f>
        <v>40000</v>
      </c>
      <c r="P439" s="17">
        <f t="shared" si="26"/>
        <v>160000</v>
      </c>
      <c r="Q439" s="15">
        <f t="shared" si="27"/>
        <v>4</v>
      </c>
      <c r="R439" s="17">
        <f t="shared" si="27"/>
        <v>0</v>
      </c>
      <c r="S439" s="13" t="s">
        <v>543</v>
      </c>
    </row>
    <row r="440" spans="1:19" x14ac:dyDescent="0.25">
      <c r="A440" s="4" t="s">
        <v>167</v>
      </c>
      <c r="B440" s="5" t="s">
        <v>125</v>
      </c>
      <c r="C440" s="4" t="s">
        <v>117</v>
      </c>
      <c r="D440" s="5" t="s">
        <v>186</v>
      </c>
      <c r="E440" s="4" t="s">
        <v>28</v>
      </c>
      <c r="F440" s="4" t="s">
        <v>29</v>
      </c>
      <c r="G440" s="4" t="s">
        <v>16</v>
      </c>
      <c r="H440" s="6">
        <v>2</v>
      </c>
      <c r="I440" s="7">
        <v>30000</v>
      </c>
      <c r="J440" s="7">
        <f t="shared" si="25"/>
        <v>60000</v>
      </c>
      <c r="K440" s="8" t="s">
        <v>17</v>
      </c>
      <c r="L440" t="str">
        <f>IFERROR(VLOOKUP(F440,MÃ!$A:$B,2,0),0)</f>
        <v>NL300020</v>
      </c>
      <c r="M440" t="str">
        <f t="shared" si="28"/>
        <v>14/01/2026NL300020</v>
      </c>
      <c r="N440" s="15">
        <f>IFERROR(VLOOKUP(M440,'WS11'!$B$2:$Q$475,11,0),0)</f>
        <v>1</v>
      </c>
      <c r="O440" s="17">
        <f>IFERROR(VLOOKUP(M440,'WS11'!$B$2:$Q$475,12,0),0)</f>
        <v>30000</v>
      </c>
      <c r="P440" s="17">
        <f t="shared" si="26"/>
        <v>30000</v>
      </c>
      <c r="Q440" s="15">
        <f t="shared" si="27"/>
        <v>1</v>
      </c>
      <c r="R440" s="17">
        <f t="shared" si="27"/>
        <v>0</v>
      </c>
      <c r="S440" s="13" t="s">
        <v>543</v>
      </c>
    </row>
    <row r="441" spans="1:19" x14ac:dyDescent="0.25">
      <c r="A441" s="4" t="s">
        <v>167</v>
      </c>
      <c r="B441" s="5" t="s">
        <v>125</v>
      </c>
      <c r="C441" s="4" t="s">
        <v>117</v>
      </c>
      <c r="D441" s="5" t="s">
        <v>186</v>
      </c>
      <c r="E441" s="4" t="s">
        <v>61</v>
      </c>
      <c r="F441" s="4" t="s">
        <v>62</v>
      </c>
      <c r="G441" s="4" t="s">
        <v>16</v>
      </c>
      <c r="H441" s="6">
        <v>0.5</v>
      </c>
      <c r="I441" s="7">
        <v>22000</v>
      </c>
      <c r="J441" s="7">
        <f t="shared" si="25"/>
        <v>11000</v>
      </c>
      <c r="K441" s="8" t="s">
        <v>17</v>
      </c>
      <c r="L441" t="str">
        <f>IFERROR(VLOOKUP(F441,MÃ!$A:$B,2,0),0)</f>
        <v>NL300029</v>
      </c>
      <c r="M441" t="str">
        <f t="shared" si="28"/>
        <v>14/01/2026NL300029</v>
      </c>
      <c r="N441" s="15">
        <f>IFERROR(VLOOKUP(M441,'WS11'!$B$2:$Q$475,11,0),0)</f>
        <v>0.5</v>
      </c>
      <c r="O441" s="17">
        <f>IFERROR(VLOOKUP(M441,'WS11'!$B$2:$Q$475,12,0),0)</f>
        <v>22000</v>
      </c>
      <c r="P441" s="17">
        <f t="shared" si="26"/>
        <v>11000</v>
      </c>
      <c r="Q441" s="15">
        <f t="shared" si="27"/>
        <v>0</v>
      </c>
      <c r="R441" s="17">
        <f t="shared" si="27"/>
        <v>0</v>
      </c>
      <c r="S441" s="13"/>
    </row>
    <row r="442" spans="1:19" x14ac:dyDescent="0.25">
      <c r="A442" s="4" t="s">
        <v>167</v>
      </c>
      <c r="B442" s="5" t="s">
        <v>125</v>
      </c>
      <c r="C442" s="4" t="s">
        <v>117</v>
      </c>
      <c r="D442" s="5" t="s">
        <v>186</v>
      </c>
      <c r="E442" s="4" t="s">
        <v>95</v>
      </c>
      <c r="F442" s="4" t="s">
        <v>96</v>
      </c>
      <c r="G442" s="4" t="s">
        <v>16</v>
      </c>
      <c r="H442" s="6">
        <v>0.9</v>
      </c>
      <c r="I442" s="7">
        <v>47000</v>
      </c>
      <c r="J442" s="7">
        <f t="shared" si="25"/>
        <v>42300</v>
      </c>
      <c r="K442" s="8" t="s">
        <v>17</v>
      </c>
      <c r="L442" t="str">
        <f>IFERROR(VLOOKUP(F442,MÃ!$A:$B,2,0),0)</f>
        <v>NL300036</v>
      </c>
      <c r="M442" t="str">
        <f t="shared" si="28"/>
        <v>14/01/2026NL300036</v>
      </c>
      <c r="N442" s="15">
        <f>IFERROR(VLOOKUP(M442,'WS11'!$B$2:$Q$475,11,0),0)</f>
        <v>0.8</v>
      </c>
      <c r="O442" s="17">
        <f>IFERROR(VLOOKUP(M442,'WS11'!$B$2:$Q$475,12,0),0)</f>
        <v>47000</v>
      </c>
      <c r="P442" s="17">
        <f t="shared" si="26"/>
        <v>37600</v>
      </c>
      <c r="Q442" s="15">
        <f t="shared" si="27"/>
        <v>9.9999999999999978E-2</v>
      </c>
      <c r="R442" s="17">
        <f t="shared" si="27"/>
        <v>0</v>
      </c>
      <c r="S442" s="13" t="s">
        <v>543</v>
      </c>
    </row>
    <row r="443" spans="1:19" x14ac:dyDescent="0.25">
      <c r="A443" s="4" t="s">
        <v>167</v>
      </c>
      <c r="B443" s="5" t="s">
        <v>125</v>
      </c>
      <c r="C443" s="4" t="s">
        <v>117</v>
      </c>
      <c r="D443" s="5" t="s">
        <v>186</v>
      </c>
      <c r="E443" s="4" t="s">
        <v>34</v>
      </c>
      <c r="F443" s="4" t="s">
        <v>35</v>
      </c>
      <c r="G443" s="4" t="s">
        <v>16</v>
      </c>
      <c r="H443" s="6">
        <v>2</v>
      </c>
      <c r="I443" s="7">
        <v>32000</v>
      </c>
      <c r="J443" s="7">
        <f t="shared" si="25"/>
        <v>64000</v>
      </c>
      <c r="K443" s="8" t="s">
        <v>17</v>
      </c>
      <c r="L443" t="str">
        <f>IFERROR(VLOOKUP(F443,MÃ!$A:$B,2,0),0)</f>
        <v>NL300038</v>
      </c>
      <c r="M443" t="str">
        <f t="shared" si="28"/>
        <v>14/01/2026NL300038</v>
      </c>
      <c r="N443" s="15">
        <f>IFERROR(VLOOKUP(M443,'WS11'!$B$2:$Q$475,11,0),0)</f>
        <v>1.5</v>
      </c>
      <c r="O443" s="17">
        <f>IFERROR(VLOOKUP(M443,'WS11'!$B$2:$Q$475,12,0),0)</f>
        <v>32000</v>
      </c>
      <c r="P443" s="17">
        <f t="shared" si="26"/>
        <v>48000</v>
      </c>
      <c r="Q443" s="15">
        <f t="shared" si="27"/>
        <v>0.5</v>
      </c>
      <c r="R443" s="17">
        <f t="shared" si="27"/>
        <v>0</v>
      </c>
      <c r="S443" s="13" t="s">
        <v>543</v>
      </c>
    </row>
    <row r="444" spans="1:19" x14ac:dyDescent="0.25">
      <c r="A444" s="4" t="s">
        <v>167</v>
      </c>
      <c r="B444" s="5" t="s">
        <v>125</v>
      </c>
      <c r="C444" s="4" t="s">
        <v>117</v>
      </c>
      <c r="D444" s="5" t="s">
        <v>186</v>
      </c>
      <c r="E444" s="4" t="s">
        <v>97</v>
      </c>
      <c r="F444" s="4" t="s">
        <v>98</v>
      </c>
      <c r="G444" s="4" t="s">
        <v>99</v>
      </c>
      <c r="H444" s="6">
        <v>3</v>
      </c>
      <c r="I444" s="7">
        <v>15000</v>
      </c>
      <c r="J444" s="7">
        <f t="shared" si="25"/>
        <v>45000</v>
      </c>
      <c r="K444" s="8" t="s">
        <v>17</v>
      </c>
      <c r="L444" t="str">
        <f>IFERROR(VLOOKUP(F444,MÃ!$A:$B,2,0),0)</f>
        <v>NL300041</v>
      </c>
      <c r="M444" t="str">
        <f t="shared" si="28"/>
        <v>14/01/2026NL300041</v>
      </c>
      <c r="N444" s="15">
        <f>IFERROR(VLOOKUP(M444,'WS11'!$B$2:$Q$475,11,0),0)</f>
        <v>3</v>
      </c>
      <c r="O444" s="17">
        <f>IFERROR(VLOOKUP(M444,'WS11'!$B$2:$Q$475,12,0),0)</f>
        <v>15000</v>
      </c>
      <c r="P444" s="17">
        <f t="shared" si="26"/>
        <v>45000</v>
      </c>
      <c r="Q444" s="15">
        <f t="shared" si="27"/>
        <v>0</v>
      </c>
      <c r="R444" s="17">
        <f t="shared" si="27"/>
        <v>0</v>
      </c>
      <c r="S444" s="13"/>
    </row>
    <row r="445" spans="1:19" x14ac:dyDescent="0.25">
      <c r="A445" s="4" t="s">
        <v>167</v>
      </c>
      <c r="B445" s="5" t="s">
        <v>125</v>
      </c>
      <c r="C445" s="4" t="s">
        <v>117</v>
      </c>
      <c r="D445" s="5" t="s">
        <v>186</v>
      </c>
      <c r="E445" s="4" t="s">
        <v>36</v>
      </c>
      <c r="F445" s="4" t="s">
        <v>37</v>
      </c>
      <c r="G445" s="4" t="s">
        <v>16</v>
      </c>
      <c r="H445" s="6">
        <v>20</v>
      </c>
      <c r="I445" s="7">
        <v>18000</v>
      </c>
      <c r="J445" s="7">
        <f t="shared" si="25"/>
        <v>360000</v>
      </c>
      <c r="K445" s="8" t="s">
        <v>17</v>
      </c>
      <c r="L445" t="str">
        <f>IFERROR(VLOOKUP(F445,MÃ!$A:$B,2,0),0)</f>
        <v>NL600004</v>
      </c>
      <c r="M445" t="str">
        <f t="shared" si="28"/>
        <v>14/01/2026NL600004</v>
      </c>
      <c r="N445" s="15">
        <f>IFERROR(VLOOKUP(M445,'WS11'!$B$2:$Q$475,11,0),0)</f>
        <v>20</v>
      </c>
      <c r="O445" s="17">
        <f>IFERROR(VLOOKUP(M445,'WS11'!$B$2:$Q$475,12,0),0)</f>
        <v>18000</v>
      </c>
      <c r="P445" s="17">
        <f t="shared" si="26"/>
        <v>360000</v>
      </c>
      <c r="Q445" s="15">
        <f t="shared" si="27"/>
        <v>0</v>
      </c>
      <c r="R445" s="17">
        <f t="shared" si="27"/>
        <v>0</v>
      </c>
      <c r="S445" s="13"/>
    </row>
    <row r="446" spans="1:19" x14ac:dyDescent="0.25">
      <c r="A446" s="4" t="s">
        <v>167</v>
      </c>
      <c r="B446" s="5" t="s">
        <v>125</v>
      </c>
      <c r="C446" s="4" t="s">
        <v>117</v>
      </c>
      <c r="D446" s="5" t="s">
        <v>186</v>
      </c>
      <c r="E446" s="4" t="s">
        <v>38</v>
      </c>
      <c r="F446" s="4" t="s">
        <v>39</v>
      </c>
      <c r="G446" s="4" t="s">
        <v>16</v>
      </c>
      <c r="H446" s="6">
        <v>1.5</v>
      </c>
      <c r="I446" s="7">
        <v>55000</v>
      </c>
      <c r="J446" s="7">
        <f t="shared" si="25"/>
        <v>82500</v>
      </c>
      <c r="K446" s="8" t="s">
        <v>17</v>
      </c>
      <c r="L446" t="str">
        <f>IFERROR(VLOOKUP(F446,MÃ!$A:$B,2,0),0)</f>
        <v>NL300058</v>
      </c>
      <c r="M446" t="str">
        <f t="shared" si="28"/>
        <v>14/01/2026NL300058</v>
      </c>
      <c r="N446" s="15">
        <f>IFERROR(VLOOKUP(M446,'WS11'!$B$2:$Q$475,11,0),0)</f>
        <v>1</v>
      </c>
      <c r="O446" s="17">
        <f>IFERROR(VLOOKUP(M446,'WS11'!$B$2:$Q$475,12,0),0)</f>
        <v>55000</v>
      </c>
      <c r="P446" s="17">
        <f t="shared" si="26"/>
        <v>55000</v>
      </c>
      <c r="Q446" s="15">
        <f t="shared" si="27"/>
        <v>0.5</v>
      </c>
      <c r="R446" s="17">
        <f t="shared" si="27"/>
        <v>0</v>
      </c>
      <c r="S446" s="13" t="s">
        <v>543</v>
      </c>
    </row>
    <row r="447" spans="1:19" x14ac:dyDescent="0.25">
      <c r="A447" s="4" t="s">
        <v>167</v>
      </c>
      <c r="B447" s="5" t="s">
        <v>125</v>
      </c>
      <c r="C447" s="4" t="s">
        <v>117</v>
      </c>
      <c r="D447" s="5" t="s">
        <v>186</v>
      </c>
      <c r="E447" s="4" t="s">
        <v>63</v>
      </c>
      <c r="F447" s="4" t="s">
        <v>64</v>
      </c>
      <c r="G447" s="4" t="s">
        <v>16</v>
      </c>
      <c r="H447" s="6">
        <v>0.2</v>
      </c>
      <c r="I447" s="7">
        <v>65000</v>
      </c>
      <c r="J447" s="7">
        <f t="shared" si="25"/>
        <v>13000</v>
      </c>
      <c r="K447" s="8" t="s">
        <v>17</v>
      </c>
      <c r="L447" t="str">
        <f>IFERROR(VLOOKUP(F447,MÃ!$A:$B,2,0),0)</f>
        <v>NL300062</v>
      </c>
      <c r="M447" t="str">
        <f t="shared" si="28"/>
        <v>14/01/2026NL300062</v>
      </c>
      <c r="N447" s="15">
        <f>IFERROR(VLOOKUP(M447,'WS11'!$B$2:$Q$475,11,0),0)</f>
        <v>0.2</v>
      </c>
      <c r="O447" s="17">
        <f>IFERROR(VLOOKUP(M447,'WS11'!$B$2:$Q$475,12,0),0)</f>
        <v>65000</v>
      </c>
      <c r="P447" s="17">
        <f t="shared" si="26"/>
        <v>13000</v>
      </c>
      <c r="Q447" s="15">
        <f t="shared" si="27"/>
        <v>0</v>
      </c>
      <c r="R447" s="17">
        <f t="shared" si="27"/>
        <v>0</v>
      </c>
      <c r="S447" s="13"/>
    </row>
    <row r="448" spans="1:19" x14ac:dyDescent="0.25">
      <c r="A448" s="4" t="s">
        <v>167</v>
      </c>
      <c r="B448" s="5" t="s">
        <v>125</v>
      </c>
      <c r="C448" s="4" t="s">
        <v>117</v>
      </c>
      <c r="D448" s="5" t="s">
        <v>186</v>
      </c>
      <c r="E448" s="4" t="s">
        <v>14</v>
      </c>
      <c r="F448" s="4" t="s">
        <v>15</v>
      </c>
      <c r="G448" s="4" t="s">
        <v>16</v>
      </c>
      <c r="H448" s="6">
        <v>5</v>
      </c>
      <c r="I448" s="7">
        <v>27000</v>
      </c>
      <c r="J448" s="7">
        <f t="shared" si="25"/>
        <v>135000</v>
      </c>
      <c r="K448" s="8" t="s">
        <v>17</v>
      </c>
      <c r="L448" t="str">
        <f>IFERROR(VLOOKUP(F448,MÃ!$A:$B,2,0),0)</f>
        <v>NL300088</v>
      </c>
      <c r="M448" t="str">
        <f t="shared" si="28"/>
        <v>14/01/2026NL300088</v>
      </c>
      <c r="N448" s="15">
        <f>IFERROR(VLOOKUP(M448,'WS11'!$B$2:$Q$475,11,0),0)</f>
        <v>3</v>
      </c>
      <c r="O448" s="17">
        <f>IFERROR(VLOOKUP(M448,'WS11'!$B$2:$Q$475,12,0),0)</f>
        <v>27000</v>
      </c>
      <c r="P448" s="17">
        <f t="shared" si="26"/>
        <v>81000</v>
      </c>
      <c r="Q448" s="15">
        <f t="shared" si="27"/>
        <v>2</v>
      </c>
      <c r="R448" s="17">
        <f t="shared" si="27"/>
        <v>0</v>
      </c>
      <c r="S448" s="13" t="s">
        <v>543</v>
      </c>
    </row>
    <row r="449" spans="1:19" x14ac:dyDescent="0.25">
      <c r="A449" s="4" t="s">
        <v>167</v>
      </c>
      <c r="B449" s="5" t="s">
        <v>125</v>
      </c>
      <c r="C449" s="4" t="s">
        <v>117</v>
      </c>
      <c r="D449" s="5" t="s">
        <v>186</v>
      </c>
      <c r="E449" s="4" t="s">
        <v>69</v>
      </c>
      <c r="F449" s="4" t="s">
        <v>70</v>
      </c>
      <c r="G449" s="4" t="s">
        <v>16</v>
      </c>
      <c r="H449" s="6">
        <v>2</v>
      </c>
      <c r="I449" s="7">
        <v>145000</v>
      </c>
      <c r="J449" s="7">
        <f t="shared" si="25"/>
        <v>290000</v>
      </c>
      <c r="K449" s="8" t="s">
        <v>17</v>
      </c>
      <c r="L449" t="str">
        <f>IFERROR(VLOOKUP(F449,MÃ!$A:$B,2,0),0)</f>
        <v>NL300090</v>
      </c>
      <c r="M449" t="str">
        <f t="shared" si="28"/>
        <v>14/01/2026NL300090</v>
      </c>
      <c r="N449" s="15">
        <f>IFERROR(VLOOKUP(M449,'WS11'!$B$2:$Q$475,11,0),0)</f>
        <v>1</v>
      </c>
      <c r="O449" s="17">
        <f>IFERROR(VLOOKUP(M449,'WS11'!$B$2:$Q$475,12,0),0)</f>
        <v>145000</v>
      </c>
      <c r="P449" s="17">
        <f t="shared" si="26"/>
        <v>145000</v>
      </c>
      <c r="Q449" s="15">
        <f t="shared" si="27"/>
        <v>1</v>
      </c>
      <c r="R449" s="17">
        <f t="shared" si="27"/>
        <v>0</v>
      </c>
      <c r="S449" s="13" t="s">
        <v>543</v>
      </c>
    </row>
    <row r="450" spans="1:19" x14ac:dyDescent="0.25">
      <c r="A450" s="4" t="s">
        <v>167</v>
      </c>
      <c r="B450" s="5" t="s">
        <v>125</v>
      </c>
      <c r="C450" s="4" t="s">
        <v>117</v>
      </c>
      <c r="D450" s="5" t="s">
        <v>186</v>
      </c>
      <c r="E450" s="4" t="s">
        <v>71</v>
      </c>
      <c r="F450" s="4" t="s">
        <v>72</v>
      </c>
      <c r="G450" s="4" t="s">
        <v>16</v>
      </c>
      <c r="H450" s="6">
        <v>1</v>
      </c>
      <c r="I450" s="7">
        <v>47000</v>
      </c>
      <c r="J450" s="7">
        <f t="shared" si="25"/>
        <v>47000</v>
      </c>
      <c r="K450" s="8" t="s">
        <v>17</v>
      </c>
      <c r="L450" t="str">
        <f>IFERROR(VLOOKUP(F450,MÃ!$A:$B,2,0),0)</f>
        <v>NL300091</v>
      </c>
      <c r="M450" t="str">
        <f t="shared" si="28"/>
        <v>14/01/2026NL300091</v>
      </c>
      <c r="N450" s="15">
        <f>IFERROR(VLOOKUP(M450,'WS11'!$B$2:$Q$475,11,0),0)</f>
        <v>0.9</v>
      </c>
      <c r="O450" s="17">
        <f>IFERROR(VLOOKUP(M450,'WS11'!$B$2:$Q$475,12,0),0)</f>
        <v>47000</v>
      </c>
      <c r="P450" s="17">
        <f t="shared" si="26"/>
        <v>42300</v>
      </c>
      <c r="Q450" s="15">
        <f t="shared" si="27"/>
        <v>9.9999999999999978E-2</v>
      </c>
      <c r="R450" s="17">
        <f t="shared" si="27"/>
        <v>0</v>
      </c>
      <c r="S450" s="13" t="s">
        <v>543</v>
      </c>
    </row>
    <row r="451" spans="1:19" x14ac:dyDescent="0.25">
      <c r="A451" s="4" t="s">
        <v>167</v>
      </c>
      <c r="B451" s="5" t="s">
        <v>125</v>
      </c>
      <c r="C451" s="4" t="s">
        <v>117</v>
      </c>
      <c r="D451" s="5" t="s">
        <v>186</v>
      </c>
      <c r="E451" s="4" t="s">
        <v>73</v>
      </c>
      <c r="F451" s="4" t="s">
        <v>74</v>
      </c>
      <c r="G451" s="4" t="s">
        <v>16</v>
      </c>
      <c r="H451" s="6">
        <v>1.2</v>
      </c>
      <c r="I451" s="7">
        <v>90000</v>
      </c>
      <c r="J451" s="7">
        <f t="shared" si="25"/>
        <v>108000</v>
      </c>
      <c r="K451" s="8" t="s">
        <v>17</v>
      </c>
      <c r="L451" t="str">
        <f>IFERROR(VLOOKUP(F451,MÃ!$A:$B,2,0),0)</f>
        <v>NL300092</v>
      </c>
      <c r="M451" t="str">
        <f t="shared" si="28"/>
        <v>14/01/2026NL300092</v>
      </c>
      <c r="N451" s="15">
        <f>IFERROR(VLOOKUP(M451,'WS11'!$B$2:$Q$475,11,0),0)</f>
        <v>1</v>
      </c>
      <c r="O451" s="17">
        <f>IFERROR(VLOOKUP(M451,'WS11'!$B$2:$Q$475,12,0),0)</f>
        <v>90000</v>
      </c>
      <c r="P451" s="17">
        <f t="shared" si="26"/>
        <v>90000</v>
      </c>
      <c r="Q451" s="15">
        <f t="shared" si="27"/>
        <v>0.19999999999999996</v>
      </c>
      <c r="R451" s="17">
        <f t="shared" si="27"/>
        <v>0</v>
      </c>
      <c r="S451" s="13" t="s">
        <v>543</v>
      </c>
    </row>
    <row r="452" spans="1:19" x14ac:dyDescent="0.25">
      <c r="A452" s="4" t="s">
        <v>167</v>
      </c>
      <c r="B452" s="5" t="s">
        <v>125</v>
      </c>
      <c r="C452" s="4" t="s">
        <v>117</v>
      </c>
      <c r="D452" s="5" t="s">
        <v>186</v>
      </c>
      <c r="E452" s="4" t="s">
        <v>100</v>
      </c>
      <c r="F452" s="4" t="s">
        <v>101</v>
      </c>
      <c r="G452" s="4" t="s">
        <v>16</v>
      </c>
      <c r="H452" s="6">
        <v>1</v>
      </c>
      <c r="I452" s="7">
        <v>80000</v>
      </c>
      <c r="J452" s="7">
        <f t="shared" si="25"/>
        <v>80000</v>
      </c>
      <c r="K452" s="8" t="s">
        <v>17</v>
      </c>
      <c r="L452" t="str">
        <f>IFERROR(VLOOKUP(F452,MÃ!$A:$B,2,0),0)</f>
        <v>NL300094</v>
      </c>
      <c r="M452" t="str">
        <f t="shared" si="28"/>
        <v>14/01/2026NL300094</v>
      </c>
      <c r="N452" s="15">
        <f>IFERROR(VLOOKUP(M452,'WS11'!$B$2:$Q$475,11,0),0)</f>
        <v>0.9</v>
      </c>
      <c r="O452" s="17">
        <f>IFERROR(VLOOKUP(M452,'WS11'!$B$2:$Q$475,12,0),0)</f>
        <v>80000</v>
      </c>
      <c r="P452" s="17">
        <f t="shared" si="26"/>
        <v>72000</v>
      </c>
      <c r="Q452" s="15">
        <f t="shared" si="27"/>
        <v>9.9999999999999978E-2</v>
      </c>
      <c r="R452" s="17">
        <f t="shared" si="27"/>
        <v>0</v>
      </c>
      <c r="S452" s="13" t="s">
        <v>543</v>
      </c>
    </row>
    <row r="453" spans="1:19" x14ac:dyDescent="0.25">
      <c r="A453" s="4" t="s">
        <v>167</v>
      </c>
      <c r="B453" s="5" t="s">
        <v>125</v>
      </c>
      <c r="C453" s="4" t="s">
        <v>117</v>
      </c>
      <c r="D453" s="5" t="s">
        <v>186</v>
      </c>
      <c r="E453" s="4" t="s">
        <v>44</v>
      </c>
      <c r="F453" s="4" t="s">
        <v>45</v>
      </c>
      <c r="G453" s="4" t="s">
        <v>16</v>
      </c>
      <c r="H453" s="6">
        <v>3</v>
      </c>
      <c r="I453" s="7">
        <v>45000</v>
      </c>
      <c r="J453" s="7">
        <f t="shared" si="25"/>
        <v>135000</v>
      </c>
      <c r="K453" s="8" t="s">
        <v>17</v>
      </c>
      <c r="L453" t="str">
        <f>IFERROR(VLOOKUP(F453,MÃ!$A:$B,2,0),0)</f>
        <v>NL300096</v>
      </c>
      <c r="M453" t="str">
        <f t="shared" si="28"/>
        <v>14/01/2026NL300096</v>
      </c>
      <c r="N453" s="15">
        <f>IFERROR(VLOOKUP(M453,'WS11'!$B$2:$Q$475,11,0),0)</f>
        <v>2.5</v>
      </c>
      <c r="O453" s="17">
        <f>IFERROR(VLOOKUP(M453,'WS11'!$B$2:$Q$475,12,0),0)</f>
        <v>45000</v>
      </c>
      <c r="P453" s="17">
        <f t="shared" si="26"/>
        <v>112500</v>
      </c>
      <c r="Q453" s="15">
        <f t="shared" si="27"/>
        <v>0.5</v>
      </c>
      <c r="R453" s="17">
        <f t="shared" si="27"/>
        <v>0</v>
      </c>
      <c r="S453" s="13" t="s">
        <v>543</v>
      </c>
    </row>
    <row r="454" spans="1:19" x14ac:dyDescent="0.25">
      <c r="A454" s="4" t="s">
        <v>167</v>
      </c>
      <c r="B454" s="5" t="s">
        <v>125</v>
      </c>
      <c r="C454" s="4" t="s">
        <v>117</v>
      </c>
      <c r="D454" s="5" t="s">
        <v>186</v>
      </c>
      <c r="E454" s="4" t="s">
        <v>75</v>
      </c>
      <c r="F454" s="4" t="s">
        <v>76</v>
      </c>
      <c r="G454" s="4" t="s">
        <v>16</v>
      </c>
      <c r="H454" s="6">
        <v>0.6</v>
      </c>
      <c r="I454" s="7">
        <v>90000</v>
      </c>
      <c r="J454" s="7">
        <f t="shared" si="25"/>
        <v>54000</v>
      </c>
      <c r="K454" s="8" t="s">
        <v>17</v>
      </c>
      <c r="L454" t="str">
        <f>IFERROR(VLOOKUP(F454,MÃ!$A:$B,2,0),0)</f>
        <v>NL300097</v>
      </c>
      <c r="M454" t="str">
        <f t="shared" si="28"/>
        <v>14/01/2026NL300097</v>
      </c>
      <c r="N454" s="15">
        <f>IFERROR(VLOOKUP(M454,'WS11'!$B$2:$Q$475,11,0),0)</f>
        <v>0.5</v>
      </c>
      <c r="O454" s="17">
        <f>IFERROR(VLOOKUP(M454,'WS11'!$B$2:$Q$475,12,0),0)</f>
        <v>90000</v>
      </c>
      <c r="P454" s="17">
        <f t="shared" si="26"/>
        <v>45000</v>
      </c>
      <c r="Q454" s="15">
        <f t="shared" si="27"/>
        <v>9.9999999999999978E-2</v>
      </c>
      <c r="R454" s="17">
        <f t="shared" si="27"/>
        <v>0</v>
      </c>
      <c r="S454" s="13" t="s">
        <v>543</v>
      </c>
    </row>
    <row r="455" spans="1:19" x14ac:dyDescent="0.25">
      <c r="A455" s="4" t="s">
        <v>167</v>
      </c>
      <c r="B455" s="5" t="s">
        <v>125</v>
      </c>
      <c r="C455" s="4" t="s">
        <v>117</v>
      </c>
      <c r="D455" s="5" t="s">
        <v>186</v>
      </c>
      <c r="E455" s="4" t="s">
        <v>77</v>
      </c>
      <c r="F455" s="4" t="s">
        <v>78</v>
      </c>
      <c r="G455" s="4" t="s">
        <v>16</v>
      </c>
      <c r="H455" s="6">
        <v>1.5</v>
      </c>
      <c r="I455" s="7">
        <v>45000</v>
      </c>
      <c r="J455" s="7">
        <f t="shared" si="25"/>
        <v>67500</v>
      </c>
      <c r="K455" s="8" t="s">
        <v>17</v>
      </c>
      <c r="L455" t="str">
        <f>IFERROR(VLOOKUP(F455,MÃ!$A:$B,2,0),0)</f>
        <v>NL300085</v>
      </c>
      <c r="M455" t="str">
        <f t="shared" si="28"/>
        <v>14/01/2026NL300085</v>
      </c>
      <c r="N455" s="15">
        <f>IFERROR(VLOOKUP(M455,'WS11'!$B$2:$Q$475,11,0),0)</f>
        <v>1</v>
      </c>
      <c r="O455" s="17">
        <f>IFERROR(VLOOKUP(M455,'WS11'!$B$2:$Q$475,12,0),0)</f>
        <v>45000</v>
      </c>
      <c r="P455" s="17">
        <f t="shared" si="26"/>
        <v>45000</v>
      </c>
      <c r="Q455" s="15">
        <f t="shared" si="27"/>
        <v>0.5</v>
      </c>
      <c r="R455" s="17">
        <f t="shared" si="27"/>
        <v>0</v>
      </c>
      <c r="S455" s="13" t="s">
        <v>543</v>
      </c>
    </row>
    <row r="456" spans="1:19" x14ac:dyDescent="0.25">
      <c r="A456" s="4" t="s">
        <v>167</v>
      </c>
      <c r="B456" s="5" t="s">
        <v>125</v>
      </c>
      <c r="C456" s="4" t="s">
        <v>117</v>
      </c>
      <c r="D456" s="5" t="s">
        <v>186</v>
      </c>
      <c r="E456" s="4" t="s">
        <v>79</v>
      </c>
      <c r="F456" s="4" t="s">
        <v>80</v>
      </c>
      <c r="G456" s="4" t="s">
        <v>16</v>
      </c>
      <c r="H456" s="6">
        <v>0.2</v>
      </c>
      <c r="I456" s="7">
        <v>70000</v>
      </c>
      <c r="J456" s="7">
        <f t="shared" si="25"/>
        <v>14000</v>
      </c>
      <c r="K456" s="8" t="s">
        <v>17</v>
      </c>
      <c r="L456" t="str">
        <f>IFERROR(VLOOKUP(F456,MÃ!$A:$B,2,0),0)</f>
        <v>NL300126</v>
      </c>
      <c r="M456" t="str">
        <f t="shared" si="28"/>
        <v>14/01/2026NL300126</v>
      </c>
      <c r="N456" s="15">
        <f>IFERROR(VLOOKUP(M456,'WS11'!$B$2:$Q$475,11,0),0)</f>
        <v>0.2</v>
      </c>
      <c r="O456" s="17">
        <f>IFERROR(VLOOKUP(M456,'WS11'!$B$2:$Q$475,12,0),0)</f>
        <v>70000</v>
      </c>
      <c r="P456" s="17">
        <f t="shared" si="26"/>
        <v>14000</v>
      </c>
      <c r="Q456" s="15">
        <f t="shared" si="27"/>
        <v>0</v>
      </c>
      <c r="R456" s="17">
        <f t="shared" si="27"/>
        <v>0</v>
      </c>
      <c r="S456" s="13"/>
    </row>
    <row r="457" spans="1:19" x14ac:dyDescent="0.25">
      <c r="A457" s="4" t="s">
        <v>167</v>
      </c>
      <c r="B457" s="5" t="s">
        <v>125</v>
      </c>
      <c r="C457" s="4" t="s">
        <v>117</v>
      </c>
      <c r="D457" s="5" t="s">
        <v>186</v>
      </c>
      <c r="E457" s="4" t="s">
        <v>102</v>
      </c>
      <c r="F457" s="4" t="s">
        <v>103</v>
      </c>
      <c r="G457" s="4" t="s">
        <v>16</v>
      </c>
      <c r="H457" s="6">
        <v>0.8</v>
      </c>
      <c r="I457" s="7">
        <v>145000</v>
      </c>
      <c r="J457" s="7">
        <f t="shared" si="25"/>
        <v>116000</v>
      </c>
      <c r="K457" s="8" t="s">
        <v>17</v>
      </c>
      <c r="L457" t="str">
        <f>IFERROR(VLOOKUP(F457,MÃ!$A:$B,2,0),0)</f>
        <v>NL300113</v>
      </c>
      <c r="M457" t="str">
        <f t="shared" si="28"/>
        <v>14/01/2026NL300113</v>
      </c>
      <c r="N457" s="15">
        <f>IFERROR(VLOOKUP(M457,'WS11'!$B$2:$Q$475,11,0),0)</f>
        <v>0.7</v>
      </c>
      <c r="O457" s="17">
        <f>IFERROR(VLOOKUP(M457,'WS11'!$B$2:$Q$475,12,0),0)</f>
        <v>145000</v>
      </c>
      <c r="P457" s="17">
        <f t="shared" si="26"/>
        <v>101500</v>
      </c>
      <c r="Q457" s="15">
        <f t="shared" si="27"/>
        <v>0.10000000000000009</v>
      </c>
      <c r="R457" s="17">
        <f t="shared" si="27"/>
        <v>0</v>
      </c>
      <c r="S457" s="13" t="s">
        <v>543</v>
      </c>
    </row>
    <row r="458" spans="1:19" x14ac:dyDescent="0.25">
      <c r="A458" s="4" t="s">
        <v>167</v>
      </c>
      <c r="B458" s="5" t="s">
        <v>125</v>
      </c>
      <c r="C458" s="4" t="s">
        <v>117</v>
      </c>
      <c r="D458" s="5" t="s">
        <v>186</v>
      </c>
      <c r="E458" s="4" t="s">
        <v>128</v>
      </c>
      <c r="F458" s="4" t="s">
        <v>129</v>
      </c>
      <c r="G458" s="4" t="s">
        <v>16</v>
      </c>
      <c r="H458" s="6">
        <v>0.1</v>
      </c>
      <c r="I458" s="7">
        <v>185000</v>
      </c>
      <c r="J458" s="7">
        <f t="shared" si="25"/>
        <v>18500</v>
      </c>
      <c r="K458" s="8" t="s">
        <v>17</v>
      </c>
      <c r="L458" t="str">
        <f>IFERROR(VLOOKUP(F458,MÃ!$A:$B,2,0),0)</f>
        <v>NL300111</v>
      </c>
      <c r="M458" t="str">
        <f t="shared" si="28"/>
        <v>14/01/2026NL300111</v>
      </c>
      <c r="N458" s="15">
        <f>IFERROR(VLOOKUP(M458,'WS11'!$B$2:$Q$475,11,0),0)</f>
        <v>0.1</v>
      </c>
      <c r="O458" s="17">
        <f>IFERROR(VLOOKUP(M458,'WS11'!$B$2:$Q$475,12,0),0)</f>
        <v>185000</v>
      </c>
      <c r="P458" s="17">
        <f t="shared" si="26"/>
        <v>18500</v>
      </c>
      <c r="Q458" s="15">
        <f t="shared" si="27"/>
        <v>0</v>
      </c>
      <c r="R458" s="17">
        <f t="shared" si="27"/>
        <v>0</v>
      </c>
      <c r="S458" s="13"/>
    </row>
    <row r="459" spans="1:19" x14ac:dyDescent="0.25">
      <c r="A459" s="4" t="s">
        <v>167</v>
      </c>
      <c r="B459" s="5" t="s">
        <v>125</v>
      </c>
      <c r="C459" s="4" t="s">
        <v>117</v>
      </c>
      <c r="D459" s="5" t="s">
        <v>186</v>
      </c>
      <c r="E459" s="4" t="s">
        <v>46</v>
      </c>
      <c r="F459" s="4" t="s">
        <v>47</v>
      </c>
      <c r="G459" s="4" t="s">
        <v>16</v>
      </c>
      <c r="H459" s="6">
        <v>0.3</v>
      </c>
      <c r="I459" s="7">
        <v>148000</v>
      </c>
      <c r="J459" s="7">
        <f t="shared" si="25"/>
        <v>44400</v>
      </c>
      <c r="K459" s="8" t="s">
        <v>17</v>
      </c>
      <c r="L459" t="str">
        <f>IFERROR(VLOOKUP(F459,MÃ!$A:$B,2,0),0)</f>
        <v>NL300116</v>
      </c>
      <c r="M459" t="str">
        <f t="shared" si="28"/>
        <v>14/01/2026NL300116</v>
      </c>
      <c r="N459" s="15">
        <f>IFERROR(VLOOKUP(M459,'WS11'!$B$2:$Q$475,11,0),0)</f>
        <v>0.2</v>
      </c>
      <c r="O459" s="17">
        <f>IFERROR(VLOOKUP(M459,'WS11'!$B$2:$Q$475,12,0),0)</f>
        <v>148000</v>
      </c>
      <c r="P459" s="17">
        <f t="shared" si="26"/>
        <v>29600</v>
      </c>
      <c r="Q459" s="15">
        <f t="shared" si="27"/>
        <v>9.9999999999999978E-2</v>
      </c>
      <c r="R459" s="17">
        <f t="shared" si="27"/>
        <v>0</v>
      </c>
      <c r="S459" s="13" t="s">
        <v>543</v>
      </c>
    </row>
    <row r="460" spans="1:19" x14ac:dyDescent="0.25">
      <c r="A460" s="4" t="s">
        <v>167</v>
      </c>
      <c r="B460" s="5" t="s">
        <v>125</v>
      </c>
      <c r="C460" s="4" t="s">
        <v>117</v>
      </c>
      <c r="D460" s="5" t="s">
        <v>186</v>
      </c>
      <c r="E460" s="4" t="s">
        <v>48</v>
      </c>
      <c r="F460" s="4" t="s">
        <v>49</v>
      </c>
      <c r="G460" s="4" t="s">
        <v>16</v>
      </c>
      <c r="H460" s="6">
        <v>1</v>
      </c>
      <c r="I460" s="7">
        <v>42000</v>
      </c>
      <c r="J460" s="7">
        <f t="shared" si="25"/>
        <v>42000</v>
      </c>
      <c r="K460" s="8" t="s">
        <v>17</v>
      </c>
      <c r="L460" t="str">
        <f>IFERROR(VLOOKUP(F460,MÃ!$A:$B,2,0),0)</f>
        <v>NL300125</v>
      </c>
      <c r="M460" t="str">
        <f t="shared" si="28"/>
        <v>14/01/2026NL300125</v>
      </c>
      <c r="N460" s="15">
        <f>IFERROR(VLOOKUP(M460,'WS11'!$B$2:$Q$475,11,0),0)</f>
        <v>1</v>
      </c>
      <c r="O460" s="17">
        <f>IFERROR(VLOOKUP(M460,'WS11'!$B$2:$Q$475,12,0),0)</f>
        <v>42000</v>
      </c>
      <c r="P460" s="17">
        <f t="shared" si="26"/>
        <v>42000</v>
      </c>
      <c r="Q460" s="15">
        <f t="shared" si="27"/>
        <v>0</v>
      </c>
      <c r="R460" s="17">
        <f t="shared" si="27"/>
        <v>0</v>
      </c>
      <c r="S460" s="13"/>
    </row>
    <row r="461" spans="1:19" x14ac:dyDescent="0.25">
      <c r="A461" s="4" t="s">
        <v>167</v>
      </c>
      <c r="B461" s="5" t="s">
        <v>125</v>
      </c>
      <c r="C461" s="4" t="s">
        <v>117</v>
      </c>
      <c r="D461" s="5" t="s">
        <v>186</v>
      </c>
      <c r="E461" s="4" t="s">
        <v>50</v>
      </c>
      <c r="F461" s="4" t="s">
        <v>51</v>
      </c>
      <c r="G461" s="4" t="s">
        <v>16</v>
      </c>
      <c r="H461" s="6">
        <v>0.2</v>
      </c>
      <c r="I461" s="7">
        <v>22000</v>
      </c>
      <c r="J461" s="7">
        <f t="shared" si="25"/>
        <v>4400</v>
      </c>
      <c r="K461" s="8" t="s">
        <v>17</v>
      </c>
      <c r="L461" t="str">
        <f>IFERROR(VLOOKUP(F461,MÃ!$A:$B,2,0),0)</f>
        <v>NL300121</v>
      </c>
      <c r="M461" t="str">
        <f t="shared" si="28"/>
        <v>14/01/2026NL300121</v>
      </c>
      <c r="N461" s="15">
        <f>IFERROR(VLOOKUP(M461,'WS11'!$B$2:$Q$475,11,0),0)</f>
        <v>0.2</v>
      </c>
      <c r="O461" s="17">
        <f>IFERROR(VLOOKUP(M461,'WS11'!$B$2:$Q$475,12,0),0)</f>
        <v>22000</v>
      </c>
      <c r="P461" s="17">
        <f t="shared" si="26"/>
        <v>4400</v>
      </c>
      <c r="Q461" s="15">
        <f t="shared" si="27"/>
        <v>0</v>
      </c>
      <c r="R461" s="17">
        <f t="shared" si="27"/>
        <v>0</v>
      </c>
      <c r="S461" s="13"/>
    </row>
    <row r="462" spans="1:19" x14ac:dyDescent="0.25">
      <c r="A462" s="4" t="s">
        <v>167</v>
      </c>
      <c r="B462" s="5" t="s">
        <v>125</v>
      </c>
      <c r="C462" s="4" t="s">
        <v>117</v>
      </c>
      <c r="D462" s="5" t="s">
        <v>186</v>
      </c>
      <c r="E462" s="4" t="s">
        <v>52</v>
      </c>
      <c r="F462" s="4" t="s">
        <v>53</v>
      </c>
      <c r="G462" s="4" t="s">
        <v>16</v>
      </c>
      <c r="H462" s="6">
        <v>1</v>
      </c>
      <c r="I462" s="7">
        <v>21000</v>
      </c>
      <c r="J462" s="7">
        <f t="shared" si="25"/>
        <v>21000</v>
      </c>
      <c r="K462" s="8" t="s">
        <v>17</v>
      </c>
      <c r="L462" t="str">
        <f>IFERROR(VLOOKUP(F462,MÃ!$A:$B,2,0),0)</f>
        <v>NL300119</v>
      </c>
      <c r="M462" t="str">
        <f t="shared" si="28"/>
        <v>14/01/2026NL300119</v>
      </c>
      <c r="N462" s="15">
        <f>IFERROR(VLOOKUP(M462,'WS11'!$B$2:$Q$475,11,0),0)</f>
        <v>0.5</v>
      </c>
      <c r="O462" s="17">
        <f>IFERROR(VLOOKUP(M462,'WS11'!$B$2:$Q$475,12,0),0)</f>
        <v>21000</v>
      </c>
      <c r="P462" s="17">
        <f t="shared" si="26"/>
        <v>10500</v>
      </c>
      <c r="Q462" s="15">
        <f t="shared" si="27"/>
        <v>0.5</v>
      </c>
      <c r="R462" s="17">
        <f t="shared" si="27"/>
        <v>0</v>
      </c>
      <c r="S462" s="13" t="s">
        <v>543</v>
      </c>
    </row>
    <row r="463" spans="1:19" x14ac:dyDescent="0.25">
      <c r="A463" s="4" t="s">
        <v>167</v>
      </c>
      <c r="B463" s="5" t="s">
        <v>125</v>
      </c>
      <c r="C463" s="4" t="s">
        <v>117</v>
      </c>
      <c r="D463" s="5" t="s">
        <v>186</v>
      </c>
      <c r="E463" s="4" t="s">
        <v>85</v>
      </c>
      <c r="F463" s="4" t="s">
        <v>86</v>
      </c>
      <c r="G463" s="4" t="s">
        <v>16</v>
      </c>
      <c r="H463" s="6">
        <v>1</v>
      </c>
      <c r="I463" s="7">
        <v>50000</v>
      </c>
      <c r="J463" s="7">
        <f t="shared" si="25"/>
        <v>50000</v>
      </c>
      <c r="K463" s="8" t="s">
        <v>17</v>
      </c>
      <c r="L463" t="str">
        <f>IFERROR(VLOOKUP(F463,MÃ!$A:$B,2,0),0)</f>
        <v>NL300142</v>
      </c>
      <c r="M463" t="str">
        <f t="shared" si="28"/>
        <v>14/01/2026NL300142</v>
      </c>
      <c r="N463" s="15">
        <f>IFERROR(VLOOKUP(M463,'WS11'!$B$2:$Q$475,11,0),0)</f>
        <v>1</v>
      </c>
      <c r="O463" s="17">
        <f>IFERROR(VLOOKUP(M463,'WS11'!$B$2:$Q$475,12,0),0)</f>
        <v>50000</v>
      </c>
      <c r="P463" s="17">
        <f t="shared" si="26"/>
        <v>50000</v>
      </c>
      <c r="Q463" s="15">
        <f t="shared" si="27"/>
        <v>0</v>
      </c>
      <c r="R463" s="17">
        <f t="shared" si="27"/>
        <v>0</v>
      </c>
      <c r="S463" s="13"/>
    </row>
    <row r="464" spans="1:19" x14ac:dyDescent="0.25">
      <c r="A464" s="4" t="s">
        <v>167</v>
      </c>
      <c r="B464" s="5" t="s">
        <v>125</v>
      </c>
      <c r="C464" s="4" t="s">
        <v>117</v>
      </c>
      <c r="D464" s="5" t="s">
        <v>186</v>
      </c>
      <c r="E464" s="4" t="s">
        <v>106</v>
      </c>
      <c r="F464" s="4" t="s">
        <v>107</v>
      </c>
      <c r="G464" s="4" t="s">
        <v>108</v>
      </c>
      <c r="H464" s="6">
        <v>40</v>
      </c>
      <c r="I464" s="7">
        <v>5000</v>
      </c>
      <c r="J464" s="7">
        <f t="shared" si="25"/>
        <v>200000</v>
      </c>
      <c r="K464" s="8" t="s">
        <v>17</v>
      </c>
      <c r="L464" t="str">
        <f>IFERROR(VLOOKUP(F464,MÃ!$A:$B,2,0),0)</f>
        <v>NL100101</v>
      </c>
      <c r="M464" t="str">
        <f t="shared" si="28"/>
        <v>14/01/2026NL100101</v>
      </c>
      <c r="N464" s="15">
        <f>IFERROR(VLOOKUP(M464,'WS11'!$B$2:$Q$475,11,0),0)</f>
        <v>35</v>
      </c>
      <c r="O464" s="17">
        <f>IFERROR(VLOOKUP(M464,'WS11'!$B$2:$Q$475,12,0),0)</f>
        <v>5000</v>
      </c>
      <c r="P464" s="17">
        <f t="shared" si="26"/>
        <v>175000</v>
      </c>
      <c r="Q464" s="15">
        <f t="shared" si="27"/>
        <v>5</v>
      </c>
      <c r="R464" s="17">
        <f t="shared" si="27"/>
        <v>0</v>
      </c>
      <c r="S464" s="13" t="s">
        <v>543</v>
      </c>
    </row>
    <row r="465" spans="1:19" x14ac:dyDescent="0.25">
      <c r="A465" s="4" t="s">
        <v>167</v>
      </c>
      <c r="B465" s="5" t="s">
        <v>125</v>
      </c>
      <c r="C465" s="4" t="s">
        <v>117</v>
      </c>
      <c r="D465" s="5" t="s">
        <v>186</v>
      </c>
      <c r="E465" s="4" t="s">
        <v>87</v>
      </c>
      <c r="F465" s="4" t="s">
        <v>88</v>
      </c>
      <c r="G465" s="4" t="s">
        <v>16</v>
      </c>
      <c r="H465" s="6">
        <v>0.2</v>
      </c>
      <c r="I465" s="7">
        <v>220000</v>
      </c>
      <c r="J465" s="7">
        <f t="shared" ref="J465:J498" si="33">H465*I465</f>
        <v>44000</v>
      </c>
      <c r="K465" s="8" t="s">
        <v>17</v>
      </c>
      <c r="L465" t="str">
        <f>IFERROR(VLOOKUP(F465,MÃ!$A:$B,2,0),0)</f>
        <v>NL300131</v>
      </c>
      <c r="M465" t="str">
        <f t="shared" si="28"/>
        <v>14/01/2026NL300131</v>
      </c>
      <c r="N465" s="15">
        <f>IFERROR(VLOOKUP(M465,'WS11'!$B$2:$Q$475,11,0),0)</f>
        <v>0.2</v>
      </c>
      <c r="O465" s="17">
        <f>IFERROR(VLOOKUP(M465,'WS11'!$B$2:$Q$475,12,0),0)</f>
        <v>220000</v>
      </c>
      <c r="P465" s="17">
        <f t="shared" ref="P465:P466" si="34">N465*O465</f>
        <v>44000</v>
      </c>
      <c r="Q465" s="15">
        <f t="shared" ref="Q465:R466" si="35">H465-N465</f>
        <v>0</v>
      </c>
      <c r="R465" s="17">
        <f t="shared" si="35"/>
        <v>0</v>
      </c>
      <c r="S465" s="13"/>
    </row>
    <row r="466" spans="1:19" x14ac:dyDescent="0.25">
      <c r="A466" s="4" t="s">
        <v>167</v>
      </c>
      <c r="B466" s="5" t="s">
        <v>125</v>
      </c>
      <c r="C466" s="4" t="s">
        <v>117</v>
      </c>
      <c r="D466" s="5" t="s">
        <v>186</v>
      </c>
      <c r="E466" s="4" t="s">
        <v>54</v>
      </c>
      <c r="F466" s="4" t="s">
        <v>55</v>
      </c>
      <c r="G466" s="4" t="s">
        <v>16</v>
      </c>
      <c r="H466" s="6">
        <v>3.2</v>
      </c>
      <c r="I466" s="7">
        <v>62000</v>
      </c>
      <c r="J466" s="7">
        <f t="shared" si="33"/>
        <v>198400</v>
      </c>
      <c r="K466" s="8" t="s">
        <v>17</v>
      </c>
      <c r="L466" t="str">
        <f>IFERROR(VLOOKUP(F466,MÃ!$A:$B,2,0),0)</f>
        <v>NL300147</v>
      </c>
      <c r="M466" t="str">
        <f t="shared" si="28"/>
        <v>14/01/2026NL300147</v>
      </c>
      <c r="N466" s="15">
        <f>IFERROR(VLOOKUP(M466,'WS11'!$B$2:$Q$475,11,0),0)</f>
        <v>1.5</v>
      </c>
      <c r="O466" s="17">
        <f>IFERROR(VLOOKUP(M466,'WS11'!$B$2:$Q$475,12,0),0)</f>
        <v>62000</v>
      </c>
      <c r="P466" s="17">
        <f t="shared" si="34"/>
        <v>93000</v>
      </c>
      <c r="Q466" s="15">
        <f t="shared" si="35"/>
        <v>1.7000000000000002</v>
      </c>
      <c r="R466" s="17">
        <f t="shared" si="35"/>
        <v>0</v>
      </c>
      <c r="S466" s="13" t="s">
        <v>543</v>
      </c>
    </row>
    <row r="467" spans="1:19" x14ac:dyDescent="0.25">
      <c r="A467" s="4" t="s">
        <v>169</v>
      </c>
      <c r="B467" s="5" t="s">
        <v>125</v>
      </c>
      <c r="C467" s="4" t="s">
        <v>117</v>
      </c>
      <c r="D467" s="5" t="s">
        <v>187</v>
      </c>
      <c r="E467" s="4" t="s">
        <v>18</v>
      </c>
      <c r="F467" s="4" t="s">
        <v>19</v>
      </c>
      <c r="G467" s="4" t="s">
        <v>16</v>
      </c>
      <c r="H467" s="6">
        <v>2.9</v>
      </c>
      <c r="I467" s="7">
        <v>15000</v>
      </c>
      <c r="J467" s="7">
        <f t="shared" si="33"/>
        <v>43500</v>
      </c>
      <c r="K467" s="8" t="s">
        <v>17</v>
      </c>
      <c r="L467" t="str">
        <f>IFERROR(VLOOKUP(F467,MÃ!$A:$B,2,0),0)</f>
        <v>NL300189</v>
      </c>
      <c r="M467" t="str">
        <f t="shared" si="28"/>
        <v>15/01/2026NL300189</v>
      </c>
      <c r="N467" s="15">
        <f>IFERROR(VLOOKUP(M467,'WS11'!$B$2:$Q$475,11,0),0)</f>
        <v>2</v>
      </c>
      <c r="O467" s="17">
        <f>IFERROR(VLOOKUP(M467,'WS11'!$B$2:$Q$475,12,0),0)</f>
        <v>15000</v>
      </c>
      <c r="P467" s="17">
        <f t="shared" ref="P467:P498" si="36">N467*O467</f>
        <v>30000</v>
      </c>
      <c r="Q467" s="15">
        <f t="shared" ref="Q467:Q498" si="37">H467-N467</f>
        <v>0.89999999999999991</v>
      </c>
      <c r="R467" s="17">
        <f t="shared" ref="R467:R498" si="38">I467-O467</f>
        <v>0</v>
      </c>
      <c r="S467" s="13" t="s">
        <v>543</v>
      </c>
    </row>
    <row r="468" spans="1:19" x14ac:dyDescent="0.25">
      <c r="A468" s="4" t="s">
        <v>169</v>
      </c>
      <c r="B468" s="5" t="s">
        <v>125</v>
      </c>
      <c r="C468" s="4" t="s">
        <v>117</v>
      </c>
      <c r="D468" s="5" t="s">
        <v>187</v>
      </c>
      <c r="E468" s="4" t="s">
        <v>56</v>
      </c>
      <c r="F468" s="4" t="s">
        <v>57</v>
      </c>
      <c r="G468" s="4" t="s">
        <v>58</v>
      </c>
      <c r="H468" s="6">
        <v>10</v>
      </c>
      <c r="I468" s="7">
        <v>8500</v>
      </c>
      <c r="J468" s="7">
        <f t="shared" si="33"/>
        <v>85000</v>
      </c>
      <c r="K468" s="8" t="s">
        <v>17</v>
      </c>
      <c r="L468" t="str">
        <f>IFERROR(VLOOKUP(F468,MÃ!$A:$B,2,0),0)</f>
        <v>NL300107</v>
      </c>
      <c r="M468" t="str">
        <f t="shared" si="28"/>
        <v>15/01/2026NL300107</v>
      </c>
      <c r="N468" s="15">
        <f>IFERROR(VLOOKUP(M468,'WS11'!$B$2:$Q$475,11,0),0)</f>
        <v>10</v>
      </c>
      <c r="O468" s="17">
        <f>IFERROR(VLOOKUP(M468,'WS11'!$B$2:$Q$475,12,0),0)</f>
        <v>8500</v>
      </c>
      <c r="P468" s="17">
        <f t="shared" si="36"/>
        <v>85000</v>
      </c>
      <c r="Q468" s="15">
        <f t="shared" si="37"/>
        <v>0</v>
      </c>
      <c r="R468" s="17">
        <f t="shared" si="38"/>
        <v>0</v>
      </c>
      <c r="S468" s="13"/>
    </row>
    <row r="469" spans="1:19" x14ac:dyDescent="0.25">
      <c r="A469" s="4" t="s">
        <v>169</v>
      </c>
      <c r="B469" s="5" t="s">
        <v>125</v>
      </c>
      <c r="C469" s="4" t="s">
        <v>117</v>
      </c>
      <c r="D469" s="5" t="s">
        <v>187</v>
      </c>
      <c r="E469" s="4" t="s">
        <v>22</v>
      </c>
      <c r="F469" s="4" t="s">
        <v>23</v>
      </c>
      <c r="G469" s="4" t="s">
        <v>16</v>
      </c>
      <c r="H469" s="6">
        <v>2.4</v>
      </c>
      <c r="I469" s="7">
        <v>30000</v>
      </c>
      <c r="J469" s="7">
        <f t="shared" si="33"/>
        <v>72000</v>
      </c>
      <c r="K469" s="8" t="s">
        <v>17</v>
      </c>
      <c r="L469" t="str">
        <f>IFERROR(VLOOKUP(F469,MÃ!$A:$B,2,0),0)</f>
        <v>NL300007</v>
      </c>
      <c r="M469" t="str">
        <f t="shared" si="28"/>
        <v>15/01/2026NL300007</v>
      </c>
      <c r="N469" s="15">
        <f>IFERROR(VLOOKUP(M469,'WS11'!$B$2:$Q$475,11,0),0)</f>
        <v>2</v>
      </c>
      <c r="O469" s="17">
        <f>IFERROR(VLOOKUP(M469,'WS11'!$B$2:$Q$475,12,0),0)</f>
        <v>30000</v>
      </c>
      <c r="P469" s="17">
        <f t="shared" si="36"/>
        <v>60000</v>
      </c>
      <c r="Q469" s="15">
        <f t="shared" si="37"/>
        <v>0.39999999999999991</v>
      </c>
      <c r="R469" s="17">
        <f t="shared" si="38"/>
        <v>0</v>
      </c>
      <c r="S469" s="13" t="s">
        <v>543</v>
      </c>
    </row>
    <row r="470" spans="1:19" x14ac:dyDescent="0.25">
      <c r="A470" s="4" t="s">
        <v>169</v>
      </c>
      <c r="B470" s="5" t="s">
        <v>125</v>
      </c>
      <c r="C470" s="4" t="s">
        <v>117</v>
      </c>
      <c r="D470" s="5" t="s">
        <v>187</v>
      </c>
      <c r="E470" s="4" t="s">
        <v>24</v>
      </c>
      <c r="F470" s="4" t="s">
        <v>25</v>
      </c>
      <c r="G470" s="4" t="s">
        <v>16</v>
      </c>
      <c r="H470" s="6">
        <v>5.0999999999999996</v>
      </c>
      <c r="I470" s="7">
        <v>40000</v>
      </c>
      <c r="J470" s="7">
        <f t="shared" si="33"/>
        <v>204000</v>
      </c>
      <c r="K470" s="8" t="s">
        <v>17</v>
      </c>
      <c r="L470" t="str">
        <f>IFERROR(VLOOKUP(F470,MÃ!$A:$B,2,0),0)</f>
        <v>NL300008</v>
      </c>
      <c r="M470" t="str">
        <f t="shared" si="28"/>
        <v>15/01/2026NL300008</v>
      </c>
      <c r="N470" s="15">
        <f>IFERROR(VLOOKUP(M470,'WS11'!$B$2:$Q$475,11,0),0)</f>
        <v>4.5</v>
      </c>
      <c r="O470" s="17">
        <f>IFERROR(VLOOKUP(M470,'WS11'!$B$2:$Q$475,12,0),0)</f>
        <v>40000</v>
      </c>
      <c r="P470" s="17">
        <f t="shared" si="36"/>
        <v>180000</v>
      </c>
      <c r="Q470" s="15">
        <f t="shared" si="37"/>
        <v>0.59999999999999964</v>
      </c>
      <c r="R470" s="17">
        <f t="shared" si="38"/>
        <v>0</v>
      </c>
      <c r="S470" s="13" t="s">
        <v>543</v>
      </c>
    </row>
    <row r="471" spans="1:19" x14ac:dyDescent="0.25">
      <c r="A471" s="4" t="s">
        <v>169</v>
      </c>
      <c r="B471" s="5" t="s">
        <v>125</v>
      </c>
      <c r="C471" s="4" t="s">
        <v>117</v>
      </c>
      <c r="D471" s="5" t="s">
        <v>187</v>
      </c>
      <c r="E471" s="4" t="s">
        <v>126</v>
      </c>
      <c r="F471" s="4" t="s">
        <v>127</v>
      </c>
      <c r="G471" s="4" t="s">
        <v>16</v>
      </c>
      <c r="H471" s="6">
        <v>2.2000000000000002</v>
      </c>
      <c r="I471" s="7">
        <v>52000</v>
      </c>
      <c r="J471" s="7">
        <f t="shared" si="33"/>
        <v>114400.00000000001</v>
      </c>
      <c r="K471" s="8" t="s">
        <v>17</v>
      </c>
      <c r="L471" t="str">
        <f>IFERROR(VLOOKUP(F471,MÃ!$A:$B,2,0),0)</f>
        <v>NL300137</v>
      </c>
      <c r="M471" t="str">
        <f t="shared" si="28"/>
        <v>15/01/2026NL300137</v>
      </c>
      <c r="N471" s="15">
        <f>IFERROR(VLOOKUP(M471,'WS11'!$B$2:$Q$475,11,0),0)</f>
        <v>2.2000000000000002</v>
      </c>
      <c r="O471" s="17">
        <f>IFERROR(VLOOKUP(M471,'WS11'!$B$2:$Q$475,12,0),0)</f>
        <v>52000</v>
      </c>
      <c r="P471" s="17">
        <f t="shared" si="36"/>
        <v>114400.00000000001</v>
      </c>
      <c r="Q471" s="15">
        <f t="shared" si="37"/>
        <v>0</v>
      </c>
      <c r="R471" s="17">
        <f t="shared" si="38"/>
        <v>0</v>
      </c>
      <c r="S471" s="13"/>
    </row>
    <row r="472" spans="1:19" x14ac:dyDescent="0.25">
      <c r="A472" s="4" t="s">
        <v>169</v>
      </c>
      <c r="B472" s="5" t="s">
        <v>125</v>
      </c>
      <c r="C472" s="4" t="s">
        <v>117</v>
      </c>
      <c r="D472" s="5" t="s">
        <v>187</v>
      </c>
      <c r="E472" s="4" t="s">
        <v>28</v>
      </c>
      <c r="F472" s="4" t="s">
        <v>29</v>
      </c>
      <c r="G472" s="4" t="s">
        <v>16</v>
      </c>
      <c r="H472" s="6">
        <v>3</v>
      </c>
      <c r="I472" s="7">
        <v>30000</v>
      </c>
      <c r="J472" s="7">
        <f t="shared" si="33"/>
        <v>90000</v>
      </c>
      <c r="K472" s="8" t="s">
        <v>17</v>
      </c>
      <c r="L472" t="str">
        <f>IFERROR(VLOOKUP(F472,MÃ!$A:$B,2,0),0)</f>
        <v>NL300020</v>
      </c>
      <c r="M472" t="str">
        <f t="shared" si="28"/>
        <v>15/01/2026NL300020</v>
      </c>
      <c r="N472" s="15">
        <f>IFERROR(VLOOKUP(M472,'WS11'!$B$2:$Q$475,11,0),0)</f>
        <v>2</v>
      </c>
      <c r="O472" s="17">
        <f>IFERROR(VLOOKUP(M472,'WS11'!$B$2:$Q$475,12,0),0)</f>
        <v>30000</v>
      </c>
      <c r="P472" s="17">
        <f t="shared" si="36"/>
        <v>60000</v>
      </c>
      <c r="Q472" s="15">
        <f t="shared" si="37"/>
        <v>1</v>
      </c>
      <c r="R472" s="17">
        <f t="shared" si="38"/>
        <v>0</v>
      </c>
      <c r="S472" s="13" t="s">
        <v>543</v>
      </c>
    </row>
    <row r="473" spans="1:19" x14ac:dyDescent="0.25">
      <c r="A473" s="4" t="s">
        <v>169</v>
      </c>
      <c r="B473" s="5" t="s">
        <v>125</v>
      </c>
      <c r="C473" s="4" t="s">
        <v>117</v>
      </c>
      <c r="D473" s="5" t="s">
        <v>187</v>
      </c>
      <c r="E473" s="4" t="s">
        <v>89</v>
      </c>
      <c r="F473" s="4" t="s">
        <v>90</v>
      </c>
      <c r="G473" s="4" t="s">
        <v>16</v>
      </c>
      <c r="H473" s="6">
        <v>0.47</v>
      </c>
      <c r="I473" s="7">
        <v>44000</v>
      </c>
      <c r="J473" s="7">
        <f t="shared" si="33"/>
        <v>20680</v>
      </c>
      <c r="K473" s="8" t="s">
        <v>17</v>
      </c>
      <c r="L473" t="str">
        <f>IFERROR(VLOOKUP(F473,MÃ!$A:$B,2,0),0)</f>
        <v>NL300025</v>
      </c>
      <c r="M473" t="str">
        <f t="shared" si="28"/>
        <v>15/01/2026NL300025</v>
      </c>
      <c r="N473" s="15">
        <f>IFERROR(VLOOKUP(M473,'WS11'!$B$2:$Q$475,11,0),0)</f>
        <v>0.3</v>
      </c>
      <c r="O473" s="17">
        <f>IFERROR(VLOOKUP(M473,'WS11'!$B$2:$Q$475,12,0),0)</f>
        <v>44000</v>
      </c>
      <c r="P473" s="17">
        <f t="shared" si="36"/>
        <v>13200</v>
      </c>
      <c r="Q473" s="15">
        <f t="shared" si="37"/>
        <v>0.16999999999999998</v>
      </c>
      <c r="R473" s="17">
        <f t="shared" si="38"/>
        <v>0</v>
      </c>
      <c r="S473" s="13" t="s">
        <v>543</v>
      </c>
    </row>
    <row r="474" spans="1:19" x14ac:dyDescent="0.25">
      <c r="A474" s="4" t="s">
        <v>169</v>
      </c>
      <c r="B474" s="5" t="s">
        <v>125</v>
      </c>
      <c r="C474" s="4" t="s">
        <v>117</v>
      </c>
      <c r="D474" s="5" t="s">
        <v>187</v>
      </c>
      <c r="E474" s="4" t="s">
        <v>61</v>
      </c>
      <c r="F474" s="4" t="s">
        <v>62</v>
      </c>
      <c r="G474" s="4" t="s">
        <v>16</v>
      </c>
      <c r="H474" s="6">
        <v>0.5</v>
      </c>
      <c r="I474" s="7">
        <v>22000</v>
      </c>
      <c r="J474" s="7">
        <f t="shared" si="33"/>
        <v>11000</v>
      </c>
      <c r="K474" s="8" t="s">
        <v>17</v>
      </c>
      <c r="L474" t="str">
        <f>IFERROR(VLOOKUP(F474,MÃ!$A:$B,2,0),0)</f>
        <v>NL300029</v>
      </c>
      <c r="M474" t="str">
        <f t="shared" si="28"/>
        <v>15/01/2026NL300029</v>
      </c>
      <c r="N474" s="15">
        <f>IFERROR(VLOOKUP(M474,'WS11'!$B$2:$Q$475,11,0),0)</f>
        <v>0.5</v>
      </c>
      <c r="O474" s="17">
        <f>IFERROR(VLOOKUP(M474,'WS11'!$B$2:$Q$475,12,0),0)</f>
        <v>22000</v>
      </c>
      <c r="P474" s="17">
        <f t="shared" si="36"/>
        <v>11000</v>
      </c>
      <c r="Q474" s="15">
        <f t="shared" si="37"/>
        <v>0</v>
      </c>
      <c r="R474" s="17">
        <f t="shared" si="38"/>
        <v>0</v>
      </c>
      <c r="S474" s="13"/>
    </row>
    <row r="475" spans="1:19" x14ac:dyDescent="0.25">
      <c r="A475" s="4" t="s">
        <v>169</v>
      </c>
      <c r="B475" s="5" t="s">
        <v>125</v>
      </c>
      <c r="C475" s="4" t="s">
        <v>117</v>
      </c>
      <c r="D475" s="5" t="s">
        <v>187</v>
      </c>
      <c r="E475" s="4" t="s">
        <v>30</v>
      </c>
      <c r="F475" s="4" t="s">
        <v>31</v>
      </c>
      <c r="G475" s="4" t="s">
        <v>16</v>
      </c>
      <c r="H475" s="6">
        <v>1</v>
      </c>
      <c r="I475" s="7">
        <v>38000</v>
      </c>
      <c r="J475" s="7">
        <f t="shared" si="33"/>
        <v>38000</v>
      </c>
      <c r="K475" s="8" t="s">
        <v>17</v>
      </c>
      <c r="L475" t="str">
        <f>IFERROR(VLOOKUP(F475,MÃ!$A:$B,2,0),0)</f>
        <v>NL300054</v>
      </c>
      <c r="M475" t="str">
        <f t="shared" si="28"/>
        <v>15/01/2026NL300054</v>
      </c>
      <c r="N475" s="15">
        <f>IFERROR(VLOOKUP(M475,'WS11'!$B$2:$Q$475,11,0),0)</f>
        <v>0.7</v>
      </c>
      <c r="O475" s="17">
        <f>IFERROR(VLOOKUP(M475,'WS11'!$B$2:$Q$475,12,0),0)</f>
        <v>38000</v>
      </c>
      <c r="P475" s="17">
        <f t="shared" si="36"/>
        <v>26600</v>
      </c>
      <c r="Q475" s="15">
        <f t="shared" si="37"/>
        <v>0.30000000000000004</v>
      </c>
      <c r="R475" s="17">
        <f t="shared" si="38"/>
        <v>0</v>
      </c>
      <c r="S475" s="13" t="s">
        <v>543</v>
      </c>
    </row>
    <row r="476" spans="1:19" x14ac:dyDescent="0.25">
      <c r="A476" s="4" t="s">
        <v>169</v>
      </c>
      <c r="B476" s="5" t="s">
        <v>125</v>
      </c>
      <c r="C476" s="4" t="s">
        <v>117</v>
      </c>
      <c r="D476" s="5" t="s">
        <v>187</v>
      </c>
      <c r="E476" s="4" t="s">
        <v>32</v>
      </c>
      <c r="F476" s="4" t="s">
        <v>33</v>
      </c>
      <c r="G476" s="4" t="s">
        <v>16</v>
      </c>
      <c r="H476" s="6">
        <v>0.2</v>
      </c>
      <c r="I476" s="7">
        <v>25000</v>
      </c>
      <c r="J476" s="7">
        <f t="shared" si="33"/>
        <v>5000</v>
      </c>
      <c r="K476" s="8" t="s">
        <v>17</v>
      </c>
      <c r="L476" t="str">
        <f>IFERROR(VLOOKUP(F476,MÃ!$A:$B,2,0),0)</f>
        <v>NL300035</v>
      </c>
      <c r="M476" t="str">
        <f t="shared" si="28"/>
        <v>15/01/2026NL300035</v>
      </c>
      <c r="N476" s="15">
        <f>IFERROR(VLOOKUP(M476,'WS11'!$B$2:$Q$475,11,0),0)</f>
        <v>0.2</v>
      </c>
      <c r="O476" s="17">
        <f>IFERROR(VLOOKUP(M476,'WS11'!$B$2:$Q$475,12,0),0)</f>
        <v>25000</v>
      </c>
      <c r="P476" s="17">
        <f t="shared" si="36"/>
        <v>5000</v>
      </c>
      <c r="Q476" s="15">
        <f t="shared" si="37"/>
        <v>0</v>
      </c>
      <c r="R476" s="17">
        <f t="shared" si="38"/>
        <v>0</v>
      </c>
      <c r="S476" s="13"/>
    </row>
    <row r="477" spans="1:19" x14ac:dyDescent="0.25">
      <c r="A477" s="4" t="s">
        <v>169</v>
      </c>
      <c r="B477" s="5" t="s">
        <v>125</v>
      </c>
      <c r="C477" s="4" t="s">
        <v>117</v>
      </c>
      <c r="D477" s="5" t="s">
        <v>187</v>
      </c>
      <c r="E477" s="4" t="s">
        <v>95</v>
      </c>
      <c r="F477" s="4" t="s">
        <v>96</v>
      </c>
      <c r="G477" s="4" t="s">
        <v>16</v>
      </c>
      <c r="H477" s="6">
        <v>0.5</v>
      </c>
      <c r="I477" s="7">
        <v>47000</v>
      </c>
      <c r="J477" s="7">
        <f t="shared" si="33"/>
        <v>23500</v>
      </c>
      <c r="K477" s="8" t="s">
        <v>17</v>
      </c>
      <c r="L477" t="str">
        <f>IFERROR(VLOOKUP(F477,MÃ!$A:$B,2,0),0)</f>
        <v>NL300036</v>
      </c>
      <c r="M477" t="str">
        <f t="shared" si="28"/>
        <v>15/01/2026NL300036</v>
      </c>
      <c r="N477" s="15">
        <f>IFERROR(VLOOKUP(M477,'WS11'!$B$2:$Q$475,11,0),0)</f>
        <v>0.5</v>
      </c>
      <c r="O477" s="17">
        <f>IFERROR(VLOOKUP(M477,'WS11'!$B$2:$Q$475,12,0),0)</f>
        <v>47000</v>
      </c>
      <c r="P477" s="17">
        <f t="shared" si="36"/>
        <v>23500</v>
      </c>
      <c r="Q477" s="15">
        <f t="shared" si="37"/>
        <v>0</v>
      </c>
      <c r="R477" s="17">
        <f t="shared" si="38"/>
        <v>0</v>
      </c>
      <c r="S477" s="13"/>
    </row>
    <row r="478" spans="1:19" x14ac:dyDescent="0.25">
      <c r="A478" s="4" t="s">
        <v>169</v>
      </c>
      <c r="B478" s="5" t="s">
        <v>125</v>
      </c>
      <c r="C478" s="4" t="s">
        <v>117</v>
      </c>
      <c r="D478" s="5" t="s">
        <v>187</v>
      </c>
      <c r="E478" s="4" t="s">
        <v>34</v>
      </c>
      <c r="F478" s="4" t="s">
        <v>35</v>
      </c>
      <c r="G478" s="4" t="s">
        <v>16</v>
      </c>
      <c r="H478" s="6">
        <v>1</v>
      </c>
      <c r="I478" s="7">
        <v>32000</v>
      </c>
      <c r="J478" s="7">
        <f t="shared" si="33"/>
        <v>32000</v>
      </c>
      <c r="K478" s="8" t="s">
        <v>17</v>
      </c>
      <c r="L478" t="str">
        <f>IFERROR(VLOOKUP(F478,MÃ!$A:$B,2,0),0)</f>
        <v>NL300038</v>
      </c>
      <c r="M478" t="str">
        <f t="shared" si="28"/>
        <v>15/01/2026NL300038</v>
      </c>
      <c r="N478" s="15">
        <f>IFERROR(VLOOKUP(M478,'WS11'!$B$2:$Q$475,11,0),0)</f>
        <v>0.5</v>
      </c>
      <c r="O478" s="17">
        <f>IFERROR(VLOOKUP(M478,'WS11'!$B$2:$Q$475,12,0),0)</f>
        <v>32000</v>
      </c>
      <c r="P478" s="17">
        <f t="shared" si="36"/>
        <v>16000</v>
      </c>
      <c r="Q478" s="15">
        <f t="shared" si="37"/>
        <v>0.5</v>
      </c>
      <c r="R478" s="17">
        <f t="shared" si="38"/>
        <v>0</v>
      </c>
      <c r="S478" s="13" t="s">
        <v>543</v>
      </c>
    </row>
    <row r="479" spans="1:19" x14ac:dyDescent="0.25">
      <c r="A479" s="4" t="s">
        <v>169</v>
      </c>
      <c r="B479" s="5" t="s">
        <v>125</v>
      </c>
      <c r="C479" s="4" t="s">
        <v>117</v>
      </c>
      <c r="D479" s="5" t="s">
        <v>187</v>
      </c>
      <c r="E479" s="4" t="s">
        <v>97</v>
      </c>
      <c r="F479" s="4" t="s">
        <v>98</v>
      </c>
      <c r="G479" s="4" t="s">
        <v>99</v>
      </c>
      <c r="H479" s="6">
        <v>6</v>
      </c>
      <c r="I479" s="7">
        <v>15000</v>
      </c>
      <c r="J479" s="7">
        <f t="shared" si="33"/>
        <v>90000</v>
      </c>
      <c r="K479" s="8" t="s">
        <v>17</v>
      </c>
      <c r="L479" t="str">
        <f>IFERROR(VLOOKUP(F479,MÃ!$A:$B,2,0),0)</f>
        <v>NL300041</v>
      </c>
      <c r="M479" t="str">
        <f t="shared" si="28"/>
        <v>15/01/2026NL300041</v>
      </c>
      <c r="N479" s="15">
        <f>IFERROR(VLOOKUP(M479,'WS11'!$B$2:$Q$475,11,0),0)</f>
        <v>6</v>
      </c>
      <c r="O479" s="17">
        <f>IFERROR(VLOOKUP(M479,'WS11'!$B$2:$Q$475,12,0),0)</f>
        <v>15000</v>
      </c>
      <c r="P479" s="17">
        <f t="shared" si="36"/>
        <v>90000</v>
      </c>
      <c r="Q479" s="15">
        <f t="shared" si="37"/>
        <v>0</v>
      </c>
      <c r="R479" s="17">
        <f t="shared" si="38"/>
        <v>0</v>
      </c>
      <c r="S479" s="13"/>
    </row>
    <row r="480" spans="1:19" x14ac:dyDescent="0.25">
      <c r="A480" s="4" t="s">
        <v>169</v>
      </c>
      <c r="B480" s="5" t="s">
        <v>125</v>
      </c>
      <c r="C480" s="4" t="s">
        <v>117</v>
      </c>
      <c r="D480" s="5" t="s">
        <v>187</v>
      </c>
      <c r="E480" s="4" t="s">
        <v>38</v>
      </c>
      <c r="F480" s="4" t="s">
        <v>39</v>
      </c>
      <c r="G480" s="4" t="s">
        <v>16</v>
      </c>
      <c r="H480" s="6">
        <v>1</v>
      </c>
      <c r="I480" s="7">
        <v>55000</v>
      </c>
      <c r="J480" s="7">
        <f t="shared" si="33"/>
        <v>55000</v>
      </c>
      <c r="K480" s="8" t="s">
        <v>17</v>
      </c>
      <c r="L480" t="str">
        <f>IFERROR(VLOOKUP(F480,MÃ!$A:$B,2,0),0)</f>
        <v>NL300058</v>
      </c>
      <c r="M480" t="str">
        <f t="shared" si="28"/>
        <v>15/01/2026NL300058</v>
      </c>
      <c r="N480" s="15">
        <f>IFERROR(VLOOKUP(M480,'WS11'!$B$2:$Q$475,11,0),0)</f>
        <v>1</v>
      </c>
      <c r="O480" s="17">
        <f>IFERROR(VLOOKUP(M480,'WS11'!$B$2:$Q$475,12,0),0)</f>
        <v>55000</v>
      </c>
      <c r="P480" s="17">
        <f t="shared" si="36"/>
        <v>55000</v>
      </c>
      <c r="Q480" s="15">
        <f t="shared" si="37"/>
        <v>0</v>
      </c>
      <c r="R480" s="17">
        <f t="shared" si="38"/>
        <v>0</v>
      </c>
      <c r="S480" s="13"/>
    </row>
    <row r="481" spans="1:19" x14ac:dyDescent="0.25">
      <c r="A481" s="4" t="s">
        <v>169</v>
      </c>
      <c r="B481" s="5" t="s">
        <v>125</v>
      </c>
      <c r="C481" s="4" t="s">
        <v>117</v>
      </c>
      <c r="D481" s="5" t="s">
        <v>187</v>
      </c>
      <c r="E481" s="4" t="s">
        <v>40</v>
      </c>
      <c r="F481" s="4" t="s">
        <v>41</v>
      </c>
      <c r="G481" s="4" t="s">
        <v>16</v>
      </c>
      <c r="H481" s="6">
        <v>0.3</v>
      </c>
      <c r="I481" s="7">
        <v>80000</v>
      </c>
      <c r="J481" s="7">
        <f t="shared" si="33"/>
        <v>24000</v>
      </c>
      <c r="K481" s="8" t="s">
        <v>17</v>
      </c>
      <c r="L481" t="str">
        <f>IFERROR(VLOOKUP(F481,MÃ!$A:$B,2,0),0)</f>
        <v>NL300055</v>
      </c>
      <c r="M481" t="str">
        <f t="shared" si="28"/>
        <v>15/01/2026NL300055</v>
      </c>
      <c r="N481" s="15">
        <f>IFERROR(VLOOKUP(M481,'WS11'!$B$2:$Q$475,11,0),0)</f>
        <v>0.3</v>
      </c>
      <c r="O481" s="17">
        <f>IFERROR(VLOOKUP(M481,'WS11'!$B$2:$Q$475,12,0),0)</f>
        <v>80000</v>
      </c>
      <c r="P481" s="17">
        <f t="shared" si="36"/>
        <v>24000</v>
      </c>
      <c r="Q481" s="15">
        <f t="shared" si="37"/>
        <v>0</v>
      </c>
      <c r="R481" s="17">
        <f t="shared" si="38"/>
        <v>0</v>
      </c>
      <c r="S481" s="13"/>
    </row>
    <row r="482" spans="1:19" x14ac:dyDescent="0.25">
      <c r="A482" s="4" t="s">
        <v>169</v>
      </c>
      <c r="B482" s="5" t="s">
        <v>125</v>
      </c>
      <c r="C482" s="4" t="s">
        <v>117</v>
      </c>
      <c r="D482" s="5" t="s">
        <v>187</v>
      </c>
      <c r="E482" s="4" t="s">
        <v>63</v>
      </c>
      <c r="F482" s="4" t="s">
        <v>64</v>
      </c>
      <c r="G482" s="4" t="s">
        <v>16</v>
      </c>
      <c r="H482" s="6">
        <v>0.2</v>
      </c>
      <c r="I482" s="7">
        <v>65000</v>
      </c>
      <c r="J482" s="7">
        <f t="shared" si="33"/>
        <v>13000</v>
      </c>
      <c r="K482" s="8" t="s">
        <v>17</v>
      </c>
      <c r="L482" t="str">
        <f>IFERROR(VLOOKUP(F482,MÃ!$A:$B,2,0),0)</f>
        <v>NL300062</v>
      </c>
      <c r="M482" t="str">
        <f t="shared" si="28"/>
        <v>15/01/2026NL300062</v>
      </c>
      <c r="N482" s="15">
        <f>IFERROR(VLOOKUP(M482,'WS11'!$B$2:$Q$475,11,0),0)</f>
        <v>0.2</v>
      </c>
      <c r="O482" s="17">
        <f>IFERROR(VLOOKUP(M482,'WS11'!$B$2:$Q$475,12,0),0)</f>
        <v>65000</v>
      </c>
      <c r="P482" s="17">
        <f t="shared" si="36"/>
        <v>13000</v>
      </c>
      <c r="Q482" s="15">
        <f t="shared" si="37"/>
        <v>0</v>
      </c>
      <c r="R482" s="17">
        <f t="shared" si="38"/>
        <v>0</v>
      </c>
      <c r="S482" s="13"/>
    </row>
    <row r="483" spans="1:19" x14ac:dyDescent="0.25">
      <c r="A483" s="4" t="s">
        <v>169</v>
      </c>
      <c r="B483" s="5" t="s">
        <v>125</v>
      </c>
      <c r="C483" s="4" t="s">
        <v>117</v>
      </c>
      <c r="D483" s="5" t="s">
        <v>187</v>
      </c>
      <c r="E483" s="4" t="s">
        <v>65</v>
      </c>
      <c r="F483" s="4" t="s">
        <v>66</v>
      </c>
      <c r="G483" s="4" t="s">
        <v>16</v>
      </c>
      <c r="H483" s="6">
        <v>1</v>
      </c>
      <c r="I483" s="7">
        <v>23000</v>
      </c>
      <c r="J483" s="7">
        <f t="shared" si="33"/>
        <v>23000</v>
      </c>
      <c r="K483" s="8" t="s">
        <v>17</v>
      </c>
      <c r="L483" t="str">
        <f>IFERROR(VLOOKUP(F483,MÃ!$A:$B,2,0),0)</f>
        <v>NL300070</v>
      </c>
      <c r="M483" t="str">
        <f t="shared" si="28"/>
        <v>15/01/2026NL300070</v>
      </c>
      <c r="N483" s="15">
        <f>IFERROR(VLOOKUP(M483,'WS11'!$B$2:$Q$475,11,0),0)</f>
        <v>0.5</v>
      </c>
      <c r="O483" s="17">
        <f>IFERROR(VLOOKUP(M483,'WS11'!$B$2:$Q$475,12,0),0)</f>
        <v>23000</v>
      </c>
      <c r="P483" s="17">
        <f t="shared" si="36"/>
        <v>11500</v>
      </c>
      <c r="Q483" s="15">
        <f t="shared" si="37"/>
        <v>0.5</v>
      </c>
      <c r="R483" s="17">
        <f t="shared" si="38"/>
        <v>0</v>
      </c>
      <c r="S483" s="13" t="s">
        <v>543</v>
      </c>
    </row>
    <row r="484" spans="1:19" x14ac:dyDescent="0.25">
      <c r="A484" s="4" t="s">
        <v>169</v>
      </c>
      <c r="B484" s="5" t="s">
        <v>125</v>
      </c>
      <c r="C484" s="4" t="s">
        <v>117</v>
      </c>
      <c r="D484" s="5" t="s">
        <v>187</v>
      </c>
      <c r="E484" s="4" t="s">
        <v>14</v>
      </c>
      <c r="F484" s="4" t="s">
        <v>15</v>
      </c>
      <c r="G484" s="4" t="s">
        <v>16</v>
      </c>
      <c r="H484" s="6">
        <v>3.1</v>
      </c>
      <c r="I484" s="7">
        <v>27000</v>
      </c>
      <c r="J484" s="7">
        <f t="shared" si="33"/>
        <v>83700</v>
      </c>
      <c r="K484" s="8" t="s">
        <v>17</v>
      </c>
      <c r="L484" t="str">
        <f>IFERROR(VLOOKUP(F484,MÃ!$A:$B,2,0),0)</f>
        <v>NL300088</v>
      </c>
      <c r="M484" t="str">
        <f t="shared" si="28"/>
        <v>15/01/2026NL300088</v>
      </c>
      <c r="N484" s="15">
        <f>IFERROR(VLOOKUP(M484,'WS11'!$B$2:$Q$475,11,0),0)</f>
        <v>2</v>
      </c>
      <c r="O484" s="17">
        <f>IFERROR(VLOOKUP(M484,'WS11'!$B$2:$Q$475,12,0),0)</f>
        <v>27000</v>
      </c>
      <c r="P484" s="17">
        <f t="shared" si="36"/>
        <v>54000</v>
      </c>
      <c r="Q484" s="15">
        <f t="shared" si="37"/>
        <v>1.1000000000000001</v>
      </c>
      <c r="R484" s="17">
        <f t="shared" si="38"/>
        <v>0</v>
      </c>
      <c r="S484" s="13" t="s">
        <v>543</v>
      </c>
    </row>
    <row r="485" spans="1:19" x14ac:dyDescent="0.25">
      <c r="A485" s="4" t="s">
        <v>169</v>
      </c>
      <c r="B485" s="5" t="s">
        <v>125</v>
      </c>
      <c r="C485" s="4" t="s">
        <v>117</v>
      </c>
      <c r="D485" s="5" t="s">
        <v>187</v>
      </c>
      <c r="E485" s="4" t="s">
        <v>69</v>
      </c>
      <c r="F485" s="4" t="s">
        <v>70</v>
      </c>
      <c r="G485" s="4" t="s">
        <v>16</v>
      </c>
      <c r="H485" s="6">
        <v>2.1</v>
      </c>
      <c r="I485" s="7">
        <v>145000</v>
      </c>
      <c r="J485" s="7">
        <f t="shared" si="33"/>
        <v>304500</v>
      </c>
      <c r="K485" s="8" t="s">
        <v>17</v>
      </c>
      <c r="L485" t="str">
        <f>IFERROR(VLOOKUP(F485,MÃ!$A:$B,2,0),0)</f>
        <v>NL300090</v>
      </c>
      <c r="M485" t="str">
        <f t="shared" si="28"/>
        <v>15/01/2026NL300090</v>
      </c>
      <c r="N485" s="15">
        <f>IFERROR(VLOOKUP(M485,'WS11'!$B$2:$Q$475,11,0),0)</f>
        <v>2.1</v>
      </c>
      <c r="O485" s="17">
        <f>IFERROR(VLOOKUP(M485,'WS11'!$B$2:$Q$475,12,0),0)</f>
        <v>145000</v>
      </c>
      <c r="P485" s="17">
        <f t="shared" si="36"/>
        <v>304500</v>
      </c>
      <c r="Q485" s="15">
        <f t="shared" si="37"/>
        <v>0</v>
      </c>
      <c r="R485" s="17">
        <f t="shared" si="38"/>
        <v>0</v>
      </c>
      <c r="S485" s="13"/>
    </row>
    <row r="486" spans="1:19" x14ac:dyDescent="0.25">
      <c r="A486" s="4" t="s">
        <v>169</v>
      </c>
      <c r="B486" s="5" t="s">
        <v>125</v>
      </c>
      <c r="C486" s="4" t="s">
        <v>117</v>
      </c>
      <c r="D486" s="5" t="s">
        <v>187</v>
      </c>
      <c r="E486" s="4" t="s">
        <v>71</v>
      </c>
      <c r="F486" s="4" t="s">
        <v>72</v>
      </c>
      <c r="G486" s="4" t="s">
        <v>16</v>
      </c>
      <c r="H486" s="6">
        <v>1</v>
      </c>
      <c r="I486" s="7">
        <v>47000</v>
      </c>
      <c r="J486" s="7">
        <f t="shared" si="33"/>
        <v>47000</v>
      </c>
      <c r="K486" s="8"/>
      <c r="L486" t="str">
        <f>IFERROR(VLOOKUP(F486,MÃ!$A:$B,2,0),0)</f>
        <v>NL300091</v>
      </c>
      <c r="M486" t="str">
        <f t="shared" si="28"/>
        <v>15/01/2026NL300091</v>
      </c>
      <c r="N486" s="15">
        <f>IFERROR(VLOOKUP(M486,'WS11'!$B$2:$Q$475,11,0),0)</f>
        <v>1</v>
      </c>
      <c r="O486" s="17">
        <f>IFERROR(VLOOKUP(M486,'WS11'!$B$2:$Q$475,12,0),0)</f>
        <v>47000</v>
      </c>
      <c r="P486" s="17">
        <f t="shared" si="36"/>
        <v>47000</v>
      </c>
      <c r="Q486" s="15">
        <f t="shared" si="37"/>
        <v>0</v>
      </c>
      <c r="R486" s="17">
        <f t="shared" si="38"/>
        <v>0</v>
      </c>
      <c r="S486" s="13"/>
    </row>
    <row r="487" spans="1:19" x14ac:dyDescent="0.25">
      <c r="A487" s="4" t="s">
        <v>169</v>
      </c>
      <c r="B487" s="5" t="s">
        <v>125</v>
      </c>
      <c r="C487" s="4" t="s">
        <v>117</v>
      </c>
      <c r="D487" s="5" t="s">
        <v>187</v>
      </c>
      <c r="E487" s="4" t="s">
        <v>73</v>
      </c>
      <c r="F487" s="4" t="s">
        <v>74</v>
      </c>
      <c r="G487" s="4" t="s">
        <v>16</v>
      </c>
      <c r="H487" s="6">
        <v>1</v>
      </c>
      <c r="I487" s="7">
        <v>90000</v>
      </c>
      <c r="J487" s="7">
        <f t="shared" si="33"/>
        <v>90000</v>
      </c>
      <c r="K487" s="8"/>
      <c r="L487" t="str">
        <f>IFERROR(VLOOKUP(F487,MÃ!$A:$B,2,0),0)</f>
        <v>NL300092</v>
      </c>
      <c r="M487" t="str">
        <f t="shared" si="28"/>
        <v>15/01/2026NL300092</v>
      </c>
      <c r="N487" s="15">
        <f>IFERROR(VLOOKUP(M487,'WS11'!$B$2:$Q$475,11,0),0)</f>
        <v>1</v>
      </c>
      <c r="O487" s="17">
        <f>IFERROR(VLOOKUP(M487,'WS11'!$B$2:$Q$475,12,0),0)</f>
        <v>90000</v>
      </c>
      <c r="P487" s="17">
        <f t="shared" si="36"/>
        <v>90000</v>
      </c>
      <c r="Q487" s="15">
        <f t="shared" si="37"/>
        <v>0</v>
      </c>
      <c r="R487" s="17">
        <f t="shared" si="38"/>
        <v>0</v>
      </c>
      <c r="S487" s="13"/>
    </row>
    <row r="488" spans="1:19" x14ac:dyDescent="0.25">
      <c r="A488" s="4" t="s">
        <v>169</v>
      </c>
      <c r="B488" s="5" t="s">
        <v>125</v>
      </c>
      <c r="C488" s="4" t="s">
        <v>117</v>
      </c>
      <c r="D488" s="5" t="s">
        <v>187</v>
      </c>
      <c r="E488" s="4" t="s">
        <v>100</v>
      </c>
      <c r="F488" s="4" t="s">
        <v>101</v>
      </c>
      <c r="G488" s="4" t="s">
        <v>16</v>
      </c>
      <c r="H488" s="6">
        <v>1</v>
      </c>
      <c r="I488" s="7">
        <v>80000</v>
      </c>
      <c r="J488" s="7">
        <f t="shared" si="33"/>
        <v>80000</v>
      </c>
      <c r="K488" s="8"/>
      <c r="L488" t="str">
        <f>IFERROR(VLOOKUP(F488,MÃ!$A:$B,2,0),0)</f>
        <v>NL300094</v>
      </c>
      <c r="M488" t="str">
        <f t="shared" si="28"/>
        <v>15/01/2026NL300094</v>
      </c>
      <c r="N488" s="15">
        <f>IFERROR(VLOOKUP(M488,'WS11'!$B$2:$Q$475,11,0),0)</f>
        <v>1</v>
      </c>
      <c r="O488" s="17">
        <f>IFERROR(VLOOKUP(M488,'WS11'!$B$2:$Q$475,12,0),0)</f>
        <v>80000</v>
      </c>
      <c r="P488" s="17">
        <f t="shared" si="36"/>
        <v>80000</v>
      </c>
      <c r="Q488" s="15">
        <f t="shared" si="37"/>
        <v>0</v>
      </c>
      <c r="R488" s="17">
        <f t="shared" si="38"/>
        <v>0</v>
      </c>
      <c r="S488" s="13"/>
    </row>
    <row r="489" spans="1:19" x14ac:dyDescent="0.25">
      <c r="A489" s="4" t="s">
        <v>169</v>
      </c>
      <c r="B489" s="5" t="s">
        <v>125</v>
      </c>
      <c r="C489" s="4" t="s">
        <v>117</v>
      </c>
      <c r="D489" s="5" t="s">
        <v>187</v>
      </c>
      <c r="E489" s="4" t="s">
        <v>44</v>
      </c>
      <c r="F489" s="4" t="s">
        <v>45</v>
      </c>
      <c r="G489" s="4" t="s">
        <v>16</v>
      </c>
      <c r="H489" s="6">
        <v>3</v>
      </c>
      <c r="I489" s="7">
        <v>45000</v>
      </c>
      <c r="J489" s="7">
        <f t="shared" si="33"/>
        <v>135000</v>
      </c>
      <c r="K489" s="8"/>
      <c r="L489" t="str">
        <f>IFERROR(VLOOKUP(F489,MÃ!$A:$B,2,0),0)</f>
        <v>NL300096</v>
      </c>
      <c r="M489" t="str">
        <f t="shared" ref="M489:M498" si="39">""&amp;DAY(A489)&amp;"/01/2026"&amp;L489</f>
        <v>15/01/2026NL300096</v>
      </c>
      <c r="N489" s="15">
        <f>IFERROR(VLOOKUP(M489,'WS11'!$B$2:$Q$475,11,0),0)</f>
        <v>3</v>
      </c>
      <c r="O489" s="17">
        <f>IFERROR(VLOOKUP(M489,'WS11'!$B$2:$Q$475,12,0),0)</f>
        <v>45000</v>
      </c>
      <c r="P489" s="17">
        <f t="shared" si="36"/>
        <v>135000</v>
      </c>
      <c r="Q489" s="15">
        <f t="shared" si="37"/>
        <v>0</v>
      </c>
      <c r="R489" s="17">
        <f t="shared" si="38"/>
        <v>0</v>
      </c>
      <c r="S489" s="13"/>
    </row>
    <row r="490" spans="1:19" x14ac:dyDescent="0.25">
      <c r="A490" s="4" t="s">
        <v>169</v>
      </c>
      <c r="B490" s="5" t="s">
        <v>125</v>
      </c>
      <c r="C490" s="4" t="s">
        <v>117</v>
      </c>
      <c r="D490" s="5" t="s">
        <v>187</v>
      </c>
      <c r="E490" s="4" t="s">
        <v>75</v>
      </c>
      <c r="F490" s="4" t="s">
        <v>76</v>
      </c>
      <c r="G490" s="4" t="s">
        <v>16</v>
      </c>
      <c r="H490" s="6">
        <v>1</v>
      </c>
      <c r="I490" s="7">
        <v>90000</v>
      </c>
      <c r="J490" s="7">
        <f t="shared" si="33"/>
        <v>90000</v>
      </c>
      <c r="K490" s="8"/>
      <c r="L490" t="str">
        <f>IFERROR(VLOOKUP(F490,MÃ!$A:$B,2,0),0)</f>
        <v>NL300097</v>
      </c>
      <c r="M490" t="str">
        <f t="shared" si="39"/>
        <v>15/01/2026NL300097</v>
      </c>
      <c r="N490" s="15">
        <f>IFERROR(VLOOKUP(M490,'WS11'!$B$2:$Q$475,11,0),0)</f>
        <v>1</v>
      </c>
      <c r="O490" s="17">
        <f>IFERROR(VLOOKUP(M490,'WS11'!$B$2:$Q$475,12,0),0)</f>
        <v>90000</v>
      </c>
      <c r="P490" s="17">
        <f t="shared" si="36"/>
        <v>90000</v>
      </c>
      <c r="Q490" s="15">
        <f t="shared" si="37"/>
        <v>0</v>
      </c>
      <c r="R490" s="17">
        <f t="shared" si="38"/>
        <v>0</v>
      </c>
      <c r="S490" s="13"/>
    </row>
    <row r="491" spans="1:19" x14ac:dyDescent="0.25">
      <c r="A491" s="4" t="s">
        <v>169</v>
      </c>
      <c r="B491" s="5" t="s">
        <v>125</v>
      </c>
      <c r="C491" s="4" t="s">
        <v>117</v>
      </c>
      <c r="D491" s="5" t="s">
        <v>187</v>
      </c>
      <c r="E491" s="4" t="s">
        <v>77</v>
      </c>
      <c r="F491" s="4" t="s">
        <v>78</v>
      </c>
      <c r="G491" s="4" t="s">
        <v>16</v>
      </c>
      <c r="H491" s="6">
        <v>1.3</v>
      </c>
      <c r="I491" s="7">
        <v>45000</v>
      </c>
      <c r="J491" s="7">
        <f t="shared" si="33"/>
        <v>58500</v>
      </c>
      <c r="K491" s="8"/>
      <c r="L491" t="str">
        <f>IFERROR(VLOOKUP(F491,MÃ!$A:$B,2,0),0)</f>
        <v>NL300085</v>
      </c>
      <c r="M491" t="str">
        <f t="shared" si="39"/>
        <v>15/01/2026NL300085</v>
      </c>
      <c r="N491" s="15">
        <f>IFERROR(VLOOKUP(M491,'WS11'!$B$2:$Q$475,11,0),0)</f>
        <v>1.3</v>
      </c>
      <c r="O491" s="17">
        <f>IFERROR(VLOOKUP(M491,'WS11'!$B$2:$Q$475,12,0),0)</f>
        <v>45000</v>
      </c>
      <c r="P491" s="17">
        <f t="shared" si="36"/>
        <v>58500</v>
      </c>
      <c r="Q491" s="15">
        <f t="shared" si="37"/>
        <v>0</v>
      </c>
      <c r="R491" s="17">
        <f t="shared" si="38"/>
        <v>0</v>
      </c>
      <c r="S491" s="13"/>
    </row>
    <row r="492" spans="1:19" x14ac:dyDescent="0.25">
      <c r="A492" s="4" t="s">
        <v>169</v>
      </c>
      <c r="B492" s="5" t="s">
        <v>125</v>
      </c>
      <c r="C492" s="4" t="s">
        <v>117</v>
      </c>
      <c r="D492" s="5" t="s">
        <v>187</v>
      </c>
      <c r="E492" s="4" t="s">
        <v>102</v>
      </c>
      <c r="F492" s="4" t="s">
        <v>103</v>
      </c>
      <c r="G492" s="4" t="s">
        <v>16</v>
      </c>
      <c r="H492" s="6">
        <v>0.5</v>
      </c>
      <c r="I492" s="7">
        <v>145000</v>
      </c>
      <c r="J492" s="7">
        <f t="shared" si="33"/>
        <v>72500</v>
      </c>
      <c r="K492" s="8"/>
      <c r="L492" t="str">
        <f>IFERROR(VLOOKUP(F492,MÃ!$A:$B,2,0),0)</f>
        <v>NL300113</v>
      </c>
      <c r="M492" t="str">
        <f t="shared" si="39"/>
        <v>15/01/2026NL300113</v>
      </c>
      <c r="N492" s="15">
        <f>IFERROR(VLOOKUP(M492,'WS11'!$B$2:$Q$475,11,0),0)</f>
        <v>0.5</v>
      </c>
      <c r="O492" s="17">
        <f>IFERROR(VLOOKUP(M492,'WS11'!$B$2:$Q$475,12,0),0)</f>
        <v>145000</v>
      </c>
      <c r="P492" s="17">
        <f t="shared" si="36"/>
        <v>72500</v>
      </c>
      <c r="Q492" s="15">
        <f t="shared" si="37"/>
        <v>0</v>
      </c>
      <c r="R492" s="17">
        <f t="shared" si="38"/>
        <v>0</v>
      </c>
      <c r="S492" s="13"/>
    </row>
    <row r="493" spans="1:19" x14ac:dyDescent="0.25">
      <c r="A493" s="4" t="s">
        <v>169</v>
      </c>
      <c r="B493" s="5" t="s">
        <v>125</v>
      </c>
      <c r="C493" s="4" t="s">
        <v>117</v>
      </c>
      <c r="D493" s="5" t="s">
        <v>187</v>
      </c>
      <c r="E493" s="4" t="s">
        <v>48</v>
      </c>
      <c r="F493" s="4" t="s">
        <v>49</v>
      </c>
      <c r="G493" s="4" t="s">
        <v>16</v>
      </c>
      <c r="H493" s="6">
        <v>0.5</v>
      </c>
      <c r="I493" s="7">
        <v>42000</v>
      </c>
      <c r="J493" s="7">
        <f t="shared" si="33"/>
        <v>21000</v>
      </c>
      <c r="K493" s="8"/>
      <c r="L493" t="str">
        <f>IFERROR(VLOOKUP(F493,MÃ!$A:$B,2,0),0)</f>
        <v>NL300125</v>
      </c>
      <c r="M493" t="str">
        <f t="shared" si="39"/>
        <v>15/01/2026NL300125</v>
      </c>
      <c r="N493" s="15">
        <f>IFERROR(VLOOKUP(M493,'WS11'!$B$2:$Q$475,11,0),0)</f>
        <v>0.5</v>
      </c>
      <c r="O493" s="17">
        <f>IFERROR(VLOOKUP(M493,'WS11'!$B$2:$Q$475,12,0),0)</f>
        <v>42000</v>
      </c>
      <c r="P493" s="17">
        <f t="shared" si="36"/>
        <v>21000</v>
      </c>
      <c r="Q493" s="15">
        <f t="shared" si="37"/>
        <v>0</v>
      </c>
      <c r="R493" s="17">
        <f t="shared" si="38"/>
        <v>0</v>
      </c>
      <c r="S493" s="13"/>
    </row>
    <row r="494" spans="1:19" x14ac:dyDescent="0.25">
      <c r="A494" s="4" t="s">
        <v>169</v>
      </c>
      <c r="B494" s="5" t="s">
        <v>125</v>
      </c>
      <c r="C494" s="4" t="s">
        <v>117</v>
      </c>
      <c r="D494" s="5" t="s">
        <v>187</v>
      </c>
      <c r="E494" s="4" t="s">
        <v>81</v>
      </c>
      <c r="F494" s="4" t="s">
        <v>82</v>
      </c>
      <c r="G494" s="4" t="s">
        <v>16</v>
      </c>
      <c r="H494" s="6">
        <v>1</v>
      </c>
      <c r="I494" s="7">
        <v>12000</v>
      </c>
      <c r="J494" s="7">
        <f t="shared" si="33"/>
        <v>12000</v>
      </c>
      <c r="L494" t="str">
        <f>IFERROR(VLOOKUP(F494,MÃ!$A:$B,2,0),0)</f>
        <v>NL300132</v>
      </c>
      <c r="M494" t="str">
        <f t="shared" si="39"/>
        <v>15/01/2026NL300132</v>
      </c>
      <c r="N494" s="15">
        <f>IFERROR(VLOOKUP(M494,'WS11'!$B$2:$Q$475,11,0),0)</f>
        <v>1</v>
      </c>
      <c r="O494" s="17">
        <f>IFERROR(VLOOKUP(M494,'WS11'!$B$2:$Q$475,12,0),0)</f>
        <v>12000</v>
      </c>
      <c r="P494" s="17">
        <f t="shared" si="36"/>
        <v>12000</v>
      </c>
      <c r="Q494" s="15">
        <f t="shared" si="37"/>
        <v>0</v>
      </c>
      <c r="R494" s="17">
        <f t="shared" si="38"/>
        <v>0</v>
      </c>
      <c r="S494" s="13"/>
    </row>
    <row r="495" spans="1:19" x14ac:dyDescent="0.25">
      <c r="A495" s="4" t="s">
        <v>169</v>
      </c>
      <c r="B495" s="5" t="s">
        <v>125</v>
      </c>
      <c r="C495" s="4" t="s">
        <v>117</v>
      </c>
      <c r="D495" s="5" t="s">
        <v>187</v>
      </c>
      <c r="E495" s="4" t="s">
        <v>52</v>
      </c>
      <c r="F495" s="4" t="s">
        <v>53</v>
      </c>
      <c r="G495" s="4" t="s">
        <v>16</v>
      </c>
      <c r="H495" s="6">
        <v>1</v>
      </c>
      <c r="I495" s="7">
        <v>21000</v>
      </c>
      <c r="J495" s="7">
        <f t="shared" si="33"/>
        <v>21000</v>
      </c>
      <c r="L495" t="str">
        <f>IFERROR(VLOOKUP(F495,MÃ!$A:$B,2,0),0)</f>
        <v>NL300119</v>
      </c>
      <c r="M495" t="str">
        <f t="shared" si="39"/>
        <v>15/01/2026NL300119</v>
      </c>
      <c r="N495" s="15">
        <f>IFERROR(VLOOKUP(M495,'WS11'!$B$2:$Q$475,11,0),0)</f>
        <v>0.5</v>
      </c>
      <c r="O495" s="17">
        <f>IFERROR(VLOOKUP(M495,'WS11'!$B$2:$Q$475,12,0),0)</f>
        <v>21000</v>
      </c>
      <c r="P495" s="17">
        <f t="shared" si="36"/>
        <v>10500</v>
      </c>
      <c r="Q495" s="15">
        <f t="shared" si="37"/>
        <v>0.5</v>
      </c>
      <c r="R495" s="17">
        <f t="shared" si="38"/>
        <v>0</v>
      </c>
      <c r="S495" s="13" t="s">
        <v>543</v>
      </c>
    </row>
    <row r="496" spans="1:19" x14ac:dyDescent="0.25">
      <c r="A496" s="4" t="s">
        <v>169</v>
      </c>
      <c r="B496" s="5" t="s">
        <v>125</v>
      </c>
      <c r="C496" s="4" t="s">
        <v>117</v>
      </c>
      <c r="D496" s="5" t="s">
        <v>187</v>
      </c>
      <c r="E496" s="4" t="s">
        <v>85</v>
      </c>
      <c r="F496" s="4" t="s">
        <v>86</v>
      </c>
      <c r="G496" s="4" t="s">
        <v>16</v>
      </c>
      <c r="H496" s="6">
        <v>0.5</v>
      </c>
      <c r="I496" s="7">
        <v>50000</v>
      </c>
      <c r="J496" s="7">
        <f t="shared" si="33"/>
        <v>25000</v>
      </c>
      <c r="L496" t="str">
        <f>IFERROR(VLOOKUP(F496,MÃ!$A:$B,2,0),0)</f>
        <v>NL300142</v>
      </c>
      <c r="M496" t="str">
        <f t="shared" si="39"/>
        <v>15/01/2026NL300142</v>
      </c>
      <c r="N496" s="15">
        <f>IFERROR(VLOOKUP(M496,'WS11'!$B$2:$Q$475,11,0),0)</f>
        <v>0.5</v>
      </c>
      <c r="O496" s="17">
        <f>IFERROR(VLOOKUP(M496,'WS11'!$B$2:$Q$475,12,0),0)</f>
        <v>50000</v>
      </c>
      <c r="P496" s="17">
        <f t="shared" si="36"/>
        <v>25000</v>
      </c>
      <c r="Q496" s="15">
        <f t="shared" si="37"/>
        <v>0</v>
      </c>
      <c r="R496" s="17">
        <f t="shared" si="38"/>
        <v>0</v>
      </c>
      <c r="S496" s="13"/>
    </row>
    <row r="497" spans="1:19" x14ac:dyDescent="0.25">
      <c r="A497" s="4" t="s">
        <v>169</v>
      </c>
      <c r="B497" s="5" t="s">
        <v>125</v>
      </c>
      <c r="C497" s="4" t="s">
        <v>117</v>
      </c>
      <c r="D497" s="5" t="s">
        <v>187</v>
      </c>
      <c r="E497" s="4" t="s">
        <v>135</v>
      </c>
      <c r="F497" s="4" t="s">
        <v>136</v>
      </c>
      <c r="G497" s="4" t="s">
        <v>108</v>
      </c>
      <c r="H497" s="6">
        <v>15</v>
      </c>
      <c r="I497" s="7">
        <v>9000</v>
      </c>
      <c r="J497" s="7">
        <f t="shared" si="33"/>
        <v>135000</v>
      </c>
      <c r="L497" t="str">
        <f>IFERROR(VLOOKUP(F497,MÃ!$A:$B,2,0),0)</f>
        <v>NL100279</v>
      </c>
      <c r="M497" t="str">
        <f t="shared" si="39"/>
        <v>15/01/2026NL100279</v>
      </c>
      <c r="N497" s="15">
        <f>IFERROR(VLOOKUP(M497,'WS11'!$B$2:$Q$475,11,0),0)</f>
        <v>10</v>
      </c>
      <c r="O497" s="17">
        <f>IFERROR(VLOOKUP(M497,'WS11'!$B$2:$Q$475,12,0),0)</f>
        <v>9000</v>
      </c>
      <c r="P497" s="17">
        <f t="shared" si="36"/>
        <v>90000</v>
      </c>
      <c r="Q497" s="15">
        <f t="shared" si="37"/>
        <v>5</v>
      </c>
      <c r="R497" s="17">
        <f t="shared" si="38"/>
        <v>0</v>
      </c>
      <c r="S497" s="13" t="s">
        <v>543</v>
      </c>
    </row>
    <row r="498" spans="1:19" x14ac:dyDescent="0.25">
      <c r="A498" s="4" t="s">
        <v>169</v>
      </c>
      <c r="B498" s="5" t="s">
        <v>125</v>
      </c>
      <c r="C498" s="4" t="s">
        <v>117</v>
      </c>
      <c r="D498" s="5" t="s">
        <v>187</v>
      </c>
      <c r="E498" s="4" t="s">
        <v>106</v>
      </c>
      <c r="F498" s="4" t="s">
        <v>107</v>
      </c>
      <c r="G498" s="4" t="s">
        <v>108</v>
      </c>
      <c r="H498" s="6">
        <v>15</v>
      </c>
      <c r="I498" s="7">
        <v>5000</v>
      </c>
      <c r="J498" s="7">
        <f t="shared" si="33"/>
        <v>75000</v>
      </c>
      <c r="L498" t="str">
        <f>IFERROR(VLOOKUP(F498,MÃ!$A:$B,2,0),0)</f>
        <v>NL100101</v>
      </c>
      <c r="M498" t="str">
        <f t="shared" si="39"/>
        <v>15/01/2026NL100101</v>
      </c>
      <c r="N498" s="15">
        <f>IFERROR(VLOOKUP(M498,'WS11'!$B$2:$Q$475,11,0),0)</f>
        <v>15</v>
      </c>
      <c r="O498" s="17">
        <f>IFERROR(VLOOKUP(M498,'WS11'!$B$2:$Q$475,12,0),0)</f>
        <v>5000</v>
      </c>
      <c r="P498" s="17">
        <f t="shared" si="36"/>
        <v>75000</v>
      </c>
      <c r="Q498" s="15">
        <f t="shared" si="37"/>
        <v>0</v>
      </c>
      <c r="R498" s="17">
        <f t="shared" si="38"/>
        <v>0</v>
      </c>
      <c r="S498" s="13"/>
    </row>
  </sheetData>
  <autoFilter ref="A14:S498" xr:uid="{30F94521-2098-4834-BAEF-0A502FB2B1AE}"/>
  <mergeCells count="7">
    <mergeCell ref="A12:K12"/>
    <mergeCell ref="A10:K10"/>
    <mergeCell ref="A2:C2"/>
    <mergeCell ref="D2:K2"/>
    <mergeCell ref="A4:K4"/>
    <mergeCell ref="A6:K6"/>
    <mergeCell ref="A8:K8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8556-3B05-4E97-9D91-4238579970D3}">
  <dimension ref="A1:X476"/>
  <sheetViews>
    <sheetView workbookViewId="0">
      <pane xSplit="2" ySplit="1" topLeftCell="I383" activePane="bottomRight" state="frozen"/>
      <selection pane="topRight" activeCell="C1" sqref="C1"/>
      <selection pane="bottomLeft" activeCell="A7" sqref="A7"/>
      <selection pane="bottomRight" activeCell="A475" sqref="A475:XFD475"/>
    </sheetView>
  </sheetViews>
  <sheetFormatPr defaultRowHeight="15" x14ac:dyDescent="0.25"/>
  <cols>
    <col min="1" max="1" width="15.28515625" style="18" customWidth="1"/>
    <col min="2" max="2" width="11.42578125" style="18" customWidth="1"/>
    <col min="3" max="5" width="15.28515625" style="18" customWidth="1"/>
    <col min="6" max="6" width="19" style="18" customWidth="1"/>
    <col min="7" max="8" width="57.140625" style="18" customWidth="1"/>
    <col min="9" max="9" width="19" style="18" customWidth="1"/>
    <col min="10" max="10" width="57.140625" style="18" customWidth="1"/>
    <col min="11" max="14" width="19" style="18" customWidth="1"/>
    <col min="15" max="16" width="22.85546875" style="18" customWidth="1"/>
    <col min="17" max="24" width="19" style="18" customWidth="1"/>
    <col min="25" max="25" width="0" style="18" hidden="1" customWidth="1"/>
    <col min="26" max="16384" width="9.140625" style="18"/>
  </cols>
  <sheetData>
    <row r="1" spans="1:24" ht="21" customHeight="1" x14ac:dyDescent="0.25">
      <c r="A1" s="19" t="s">
        <v>408</v>
      </c>
      <c r="B1" s="19" t="s">
        <v>409</v>
      </c>
      <c r="C1" s="19" t="s">
        <v>410</v>
      </c>
      <c r="D1" s="19" t="s">
        <v>411</v>
      </c>
      <c r="E1" s="19" t="s">
        <v>412</v>
      </c>
      <c r="F1" s="19" t="s">
        <v>413</v>
      </c>
      <c r="G1" s="19" t="s">
        <v>414</v>
      </c>
      <c r="H1" s="19" t="s">
        <v>415</v>
      </c>
      <c r="I1" s="19" t="s">
        <v>416</v>
      </c>
      <c r="J1" s="19" t="s">
        <v>417</v>
      </c>
      <c r="K1" s="19" t="s">
        <v>418</v>
      </c>
      <c r="L1" s="19">
        <f>SUBTOTAL(9,L2:L499)</f>
        <v>1428.650000000001</v>
      </c>
      <c r="M1" s="19" t="s">
        <v>419</v>
      </c>
      <c r="N1" s="19" t="s">
        <v>420</v>
      </c>
      <c r="O1" s="19">
        <f>SUBTOTAL(9,O2:O499)</f>
        <v>36061660</v>
      </c>
      <c r="P1" s="19" t="s">
        <v>421</v>
      </c>
      <c r="Q1" s="19" t="s">
        <v>422</v>
      </c>
      <c r="R1" s="19" t="s">
        <v>423</v>
      </c>
      <c r="S1" s="19" t="s">
        <v>424</v>
      </c>
      <c r="T1" s="19" t="s">
        <v>425</v>
      </c>
      <c r="U1" s="19" t="s">
        <v>426</v>
      </c>
      <c r="V1" s="19" t="s">
        <v>427</v>
      </c>
      <c r="W1" s="19" t="s">
        <v>428</v>
      </c>
      <c r="X1" s="19" t="s">
        <v>429</v>
      </c>
    </row>
    <row r="2" spans="1:24" ht="10.5" customHeight="1" x14ac:dyDescent="0.25">
      <c r="A2" s="20">
        <v>46023</v>
      </c>
      <c r="B2" s="21" t="str">
        <f>"0"&amp;DAY(A2)&amp;"/01/2026"&amp;I2</f>
        <v>01/01/2026NL300007</v>
      </c>
      <c r="C2" s="22" t="s">
        <v>504</v>
      </c>
      <c r="D2" s="22" t="s">
        <v>17</v>
      </c>
      <c r="E2" s="22" t="s">
        <v>431</v>
      </c>
      <c r="F2" s="21" t="s">
        <v>432</v>
      </c>
      <c r="G2" s="21" t="s">
        <v>433</v>
      </c>
      <c r="H2" s="21" t="s">
        <v>505</v>
      </c>
      <c r="I2" s="21" t="s">
        <v>309</v>
      </c>
      <c r="J2" s="21" t="s">
        <v>444</v>
      </c>
      <c r="K2" s="21" t="s">
        <v>442</v>
      </c>
      <c r="L2" s="23">
        <v>3</v>
      </c>
      <c r="M2" s="24">
        <v>30000</v>
      </c>
      <c r="N2" s="24">
        <v>0</v>
      </c>
      <c r="O2" s="25">
        <v>90000</v>
      </c>
      <c r="P2" s="25">
        <v>0</v>
      </c>
      <c r="Q2" s="24">
        <v>30000</v>
      </c>
      <c r="R2" s="21" t="s">
        <v>506</v>
      </c>
      <c r="S2" s="21" t="s">
        <v>437</v>
      </c>
      <c r="T2" s="21" t="s">
        <v>17</v>
      </c>
      <c r="U2" s="21" t="s">
        <v>507</v>
      </c>
      <c r="V2" s="21" t="s">
        <v>17</v>
      </c>
      <c r="W2" s="21" t="s">
        <v>439</v>
      </c>
      <c r="X2" s="21" t="s">
        <v>439</v>
      </c>
    </row>
    <row r="3" spans="1:24" ht="10.5" customHeight="1" x14ac:dyDescent="0.25">
      <c r="A3" s="20">
        <v>46023</v>
      </c>
      <c r="B3" s="21" t="str">
        <f t="shared" ref="B3:B66" si="0">"0"&amp;DAY(A3)&amp;"/01/2026"&amp;I3</f>
        <v>01/01/2026NL300008</v>
      </c>
      <c r="C3" s="22" t="s">
        <v>504</v>
      </c>
      <c r="D3" s="22" t="s">
        <v>17</v>
      </c>
      <c r="E3" s="22" t="s">
        <v>431</v>
      </c>
      <c r="F3" s="21" t="s">
        <v>432</v>
      </c>
      <c r="G3" s="21" t="s">
        <v>433</v>
      </c>
      <c r="H3" s="21" t="s">
        <v>505</v>
      </c>
      <c r="I3" s="21" t="s">
        <v>320</v>
      </c>
      <c r="J3" s="21" t="s">
        <v>445</v>
      </c>
      <c r="K3" s="21" t="s">
        <v>442</v>
      </c>
      <c r="L3" s="23">
        <v>6</v>
      </c>
      <c r="M3" s="24">
        <v>40000</v>
      </c>
      <c r="N3" s="24">
        <v>0</v>
      </c>
      <c r="O3" s="25">
        <v>240000</v>
      </c>
      <c r="P3" s="25">
        <v>0</v>
      </c>
      <c r="Q3" s="24">
        <v>40000</v>
      </c>
      <c r="R3" s="21" t="s">
        <v>506</v>
      </c>
      <c r="S3" s="21" t="s">
        <v>437</v>
      </c>
      <c r="T3" s="21" t="s">
        <v>17</v>
      </c>
      <c r="U3" s="21" t="s">
        <v>507</v>
      </c>
      <c r="V3" s="21" t="s">
        <v>17</v>
      </c>
      <c r="W3" s="21" t="s">
        <v>439</v>
      </c>
      <c r="X3" s="21" t="s">
        <v>439</v>
      </c>
    </row>
    <row r="4" spans="1:24" ht="10.5" customHeight="1" x14ac:dyDescent="0.25">
      <c r="A4" s="20">
        <v>46023</v>
      </c>
      <c r="B4" s="21" t="str">
        <f t="shared" si="0"/>
        <v>01/01/2026NL300020</v>
      </c>
      <c r="C4" s="22" t="s">
        <v>504</v>
      </c>
      <c r="D4" s="22" t="s">
        <v>17</v>
      </c>
      <c r="E4" s="22" t="s">
        <v>431</v>
      </c>
      <c r="F4" s="21" t="s">
        <v>432</v>
      </c>
      <c r="G4" s="21" t="s">
        <v>433</v>
      </c>
      <c r="H4" s="21" t="s">
        <v>505</v>
      </c>
      <c r="I4" s="21" t="s">
        <v>326</v>
      </c>
      <c r="J4" s="21" t="s">
        <v>446</v>
      </c>
      <c r="K4" s="21" t="s">
        <v>442</v>
      </c>
      <c r="L4" s="23">
        <v>2</v>
      </c>
      <c r="M4" s="24">
        <v>30000</v>
      </c>
      <c r="N4" s="24">
        <v>0</v>
      </c>
      <c r="O4" s="25">
        <v>60000</v>
      </c>
      <c r="P4" s="25">
        <v>0</v>
      </c>
      <c r="Q4" s="24">
        <v>30000</v>
      </c>
      <c r="R4" s="21" t="s">
        <v>506</v>
      </c>
      <c r="S4" s="21" t="s">
        <v>437</v>
      </c>
      <c r="T4" s="21" t="s">
        <v>17</v>
      </c>
      <c r="U4" s="21" t="s">
        <v>507</v>
      </c>
      <c r="V4" s="21" t="s">
        <v>17</v>
      </c>
      <c r="W4" s="21" t="s">
        <v>439</v>
      </c>
      <c r="X4" s="21" t="s">
        <v>439</v>
      </c>
    </row>
    <row r="5" spans="1:24" ht="10.5" customHeight="1" x14ac:dyDescent="0.25">
      <c r="A5" s="20">
        <v>46023</v>
      </c>
      <c r="B5" s="21" t="str">
        <f t="shared" si="0"/>
        <v>01/01/2026NL300038</v>
      </c>
      <c r="C5" s="22" t="s">
        <v>504</v>
      </c>
      <c r="D5" s="22" t="s">
        <v>17</v>
      </c>
      <c r="E5" s="22" t="s">
        <v>431</v>
      </c>
      <c r="F5" s="21" t="s">
        <v>432</v>
      </c>
      <c r="G5" s="21" t="s">
        <v>433</v>
      </c>
      <c r="H5" s="21" t="s">
        <v>505</v>
      </c>
      <c r="I5" s="21" t="s">
        <v>217</v>
      </c>
      <c r="J5" s="21" t="s">
        <v>35</v>
      </c>
      <c r="K5" s="21" t="s">
        <v>442</v>
      </c>
      <c r="L5" s="23">
        <v>2.5</v>
      </c>
      <c r="M5" s="24">
        <v>32000</v>
      </c>
      <c r="N5" s="24">
        <v>0</v>
      </c>
      <c r="O5" s="25">
        <v>80000</v>
      </c>
      <c r="P5" s="25">
        <v>0</v>
      </c>
      <c r="Q5" s="24">
        <v>32000</v>
      </c>
      <c r="R5" s="21" t="s">
        <v>506</v>
      </c>
      <c r="S5" s="21" t="s">
        <v>437</v>
      </c>
      <c r="T5" s="21" t="s">
        <v>17</v>
      </c>
      <c r="U5" s="21" t="s">
        <v>507</v>
      </c>
      <c r="V5" s="21" t="s">
        <v>17</v>
      </c>
      <c r="W5" s="21" t="s">
        <v>439</v>
      </c>
      <c r="X5" s="21" t="s">
        <v>439</v>
      </c>
    </row>
    <row r="6" spans="1:24" ht="10.5" customHeight="1" x14ac:dyDescent="0.25">
      <c r="A6" s="20">
        <v>46023</v>
      </c>
      <c r="B6" s="21" t="str">
        <f t="shared" si="0"/>
        <v>01/01/2026NL300054</v>
      </c>
      <c r="C6" s="22" t="s">
        <v>504</v>
      </c>
      <c r="D6" s="22" t="s">
        <v>17</v>
      </c>
      <c r="E6" s="22" t="s">
        <v>431</v>
      </c>
      <c r="F6" s="21" t="s">
        <v>432</v>
      </c>
      <c r="G6" s="21" t="s">
        <v>433</v>
      </c>
      <c r="H6" s="21" t="s">
        <v>505</v>
      </c>
      <c r="I6" s="21" t="s">
        <v>216</v>
      </c>
      <c r="J6" s="21" t="s">
        <v>451</v>
      </c>
      <c r="K6" s="21" t="s">
        <v>442</v>
      </c>
      <c r="L6" s="23">
        <v>1</v>
      </c>
      <c r="M6" s="24">
        <v>38000</v>
      </c>
      <c r="N6" s="24">
        <v>0</v>
      </c>
      <c r="O6" s="25">
        <v>38000</v>
      </c>
      <c r="P6" s="25">
        <v>0</v>
      </c>
      <c r="Q6" s="24">
        <v>38000</v>
      </c>
      <c r="R6" s="21" t="s">
        <v>506</v>
      </c>
      <c r="S6" s="21" t="s">
        <v>437</v>
      </c>
      <c r="T6" s="21" t="s">
        <v>17</v>
      </c>
      <c r="U6" s="21" t="s">
        <v>507</v>
      </c>
      <c r="V6" s="21" t="s">
        <v>17</v>
      </c>
      <c r="W6" s="21" t="s">
        <v>439</v>
      </c>
      <c r="X6" s="21" t="s">
        <v>439</v>
      </c>
    </row>
    <row r="7" spans="1:24" ht="10.5" customHeight="1" x14ac:dyDescent="0.25">
      <c r="A7" s="20">
        <v>46023</v>
      </c>
      <c r="B7" s="21" t="str">
        <f t="shared" si="0"/>
        <v>01/01/2026NL300058</v>
      </c>
      <c r="C7" s="22" t="s">
        <v>504</v>
      </c>
      <c r="D7" s="22" t="s">
        <v>17</v>
      </c>
      <c r="E7" s="22" t="s">
        <v>431</v>
      </c>
      <c r="F7" s="21" t="s">
        <v>432</v>
      </c>
      <c r="G7" s="21" t="s">
        <v>433</v>
      </c>
      <c r="H7" s="21" t="s">
        <v>505</v>
      </c>
      <c r="I7" s="21" t="s">
        <v>228</v>
      </c>
      <c r="J7" s="21" t="s">
        <v>39</v>
      </c>
      <c r="K7" s="21" t="s">
        <v>442</v>
      </c>
      <c r="L7" s="23">
        <v>1.5</v>
      </c>
      <c r="M7" s="24">
        <v>55000</v>
      </c>
      <c r="N7" s="24">
        <v>0</v>
      </c>
      <c r="O7" s="25">
        <v>82500</v>
      </c>
      <c r="P7" s="25">
        <v>0</v>
      </c>
      <c r="Q7" s="24">
        <v>55000</v>
      </c>
      <c r="R7" s="21" t="s">
        <v>506</v>
      </c>
      <c r="S7" s="21" t="s">
        <v>437</v>
      </c>
      <c r="T7" s="21" t="s">
        <v>17</v>
      </c>
      <c r="U7" s="21" t="s">
        <v>507</v>
      </c>
      <c r="V7" s="21" t="s">
        <v>17</v>
      </c>
      <c r="W7" s="21" t="s">
        <v>439</v>
      </c>
      <c r="X7" s="21" t="s">
        <v>439</v>
      </c>
    </row>
    <row r="8" spans="1:24" ht="10.5" customHeight="1" x14ac:dyDescent="0.25">
      <c r="A8" s="20">
        <v>46023</v>
      </c>
      <c r="B8" s="21" t="str">
        <f t="shared" si="0"/>
        <v>01/01/2026NL300059</v>
      </c>
      <c r="C8" s="22" t="s">
        <v>504</v>
      </c>
      <c r="D8" s="22" t="s">
        <v>17</v>
      </c>
      <c r="E8" s="22" t="s">
        <v>431</v>
      </c>
      <c r="F8" s="21" t="s">
        <v>432</v>
      </c>
      <c r="G8" s="21" t="s">
        <v>433</v>
      </c>
      <c r="H8" s="21" t="s">
        <v>505</v>
      </c>
      <c r="I8" s="21" t="s">
        <v>229</v>
      </c>
      <c r="J8" s="21" t="s">
        <v>114</v>
      </c>
      <c r="K8" s="21" t="s">
        <v>442</v>
      </c>
      <c r="L8" s="23">
        <v>0.5</v>
      </c>
      <c r="M8" s="24">
        <v>13000</v>
      </c>
      <c r="N8" s="24">
        <v>0</v>
      </c>
      <c r="O8" s="25">
        <v>6500</v>
      </c>
      <c r="P8" s="25">
        <v>0</v>
      </c>
      <c r="Q8" s="24">
        <v>13000</v>
      </c>
      <c r="R8" s="21" t="s">
        <v>506</v>
      </c>
      <c r="S8" s="21" t="s">
        <v>437</v>
      </c>
      <c r="T8" s="21" t="s">
        <v>17</v>
      </c>
      <c r="U8" s="21" t="s">
        <v>507</v>
      </c>
      <c r="V8" s="21" t="s">
        <v>17</v>
      </c>
      <c r="W8" s="21" t="s">
        <v>439</v>
      </c>
      <c r="X8" s="21" t="s">
        <v>439</v>
      </c>
    </row>
    <row r="9" spans="1:24" ht="10.5" customHeight="1" x14ac:dyDescent="0.25">
      <c r="A9" s="20">
        <v>46023</v>
      </c>
      <c r="B9" s="21" t="str">
        <f t="shared" si="0"/>
        <v>01/01/2026NL300085</v>
      </c>
      <c r="C9" s="22" t="s">
        <v>504</v>
      </c>
      <c r="D9" s="22" t="s">
        <v>17</v>
      </c>
      <c r="E9" s="22" t="s">
        <v>431</v>
      </c>
      <c r="F9" s="21" t="s">
        <v>432</v>
      </c>
      <c r="G9" s="21" t="s">
        <v>433</v>
      </c>
      <c r="H9" s="21" t="s">
        <v>505</v>
      </c>
      <c r="I9" s="21" t="s">
        <v>263</v>
      </c>
      <c r="J9" s="21" t="s">
        <v>453</v>
      </c>
      <c r="K9" s="21" t="s">
        <v>442</v>
      </c>
      <c r="L9" s="23">
        <v>2</v>
      </c>
      <c r="M9" s="24">
        <v>45000</v>
      </c>
      <c r="N9" s="24">
        <v>0</v>
      </c>
      <c r="O9" s="25">
        <v>90000</v>
      </c>
      <c r="P9" s="25">
        <v>0</v>
      </c>
      <c r="Q9" s="24">
        <v>45000</v>
      </c>
      <c r="R9" s="21" t="s">
        <v>506</v>
      </c>
      <c r="S9" s="21" t="s">
        <v>437</v>
      </c>
      <c r="T9" s="21" t="s">
        <v>17</v>
      </c>
      <c r="U9" s="21" t="s">
        <v>507</v>
      </c>
      <c r="V9" s="21" t="s">
        <v>17</v>
      </c>
      <c r="W9" s="21" t="s">
        <v>439</v>
      </c>
      <c r="X9" s="21" t="s">
        <v>439</v>
      </c>
    </row>
    <row r="10" spans="1:24" ht="10.5" customHeight="1" x14ac:dyDescent="0.25">
      <c r="A10" s="20">
        <v>46023</v>
      </c>
      <c r="B10" s="21" t="str">
        <f t="shared" si="0"/>
        <v>01/01/2026NL300091</v>
      </c>
      <c r="C10" s="22" t="s">
        <v>504</v>
      </c>
      <c r="D10" s="22" t="s">
        <v>17</v>
      </c>
      <c r="E10" s="22" t="s">
        <v>431</v>
      </c>
      <c r="F10" s="21" t="s">
        <v>432</v>
      </c>
      <c r="G10" s="21" t="s">
        <v>433</v>
      </c>
      <c r="H10" s="21" t="s">
        <v>505</v>
      </c>
      <c r="I10" s="21" t="s">
        <v>256</v>
      </c>
      <c r="J10" s="21" t="s">
        <v>72</v>
      </c>
      <c r="K10" s="21" t="s">
        <v>442</v>
      </c>
      <c r="L10" s="23">
        <v>0.9</v>
      </c>
      <c r="M10" s="24">
        <v>47000</v>
      </c>
      <c r="N10" s="24">
        <v>0</v>
      </c>
      <c r="O10" s="25">
        <v>42300</v>
      </c>
      <c r="P10" s="25">
        <v>0</v>
      </c>
      <c r="Q10" s="24">
        <v>47000</v>
      </c>
      <c r="R10" s="21" t="s">
        <v>506</v>
      </c>
      <c r="S10" s="21" t="s">
        <v>437</v>
      </c>
      <c r="T10" s="21" t="s">
        <v>17</v>
      </c>
      <c r="U10" s="21" t="s">
        <v>507</v>
      </c>
      <c r="V10" s="21" t="s">
        <v>17</v>
      </c>
      <c r="W10" s="21" t="s">
        <v>439</v>
      </c>
      <c r="X10" s="21" t="s">
        <v>439</v>
      </c>
    </row>
    <row r="11" spans="1:24" ht="10.5" customHeight="1" x14ac:dyDescent="0.25">
      <c r="A11" s="20">
        <v>46023</v>
      </c>
      <c r="B11" s="21" t="str">
        <f t="shared" si="0"/>
        <v>01/01/2026NL300092</v>
      </c>
      <c r="C11" s="22" t="s">
        <v>504</v>
      </c>
      <c r="D11" s="22" t="s">
        <v>17</v>
      </c>
      <c r="E11" s="22" t="s">
        <v>431</v>
      </c>
      <c r="F11" s="21" t="s">
        <v>432</v>
      </c>
      <c r="G11" s="21" t="s">
        <v>433</v>
      </c>
      <c r="H11" s="21" t="s">
        <v>505</v>
      </c>
      <c r="I11" s="21" t="s">
        <v>329</v>
      </c>
      <c r="J11" s="21" t="s">
        <v>74</v>
      </c>
      <c r="K11" s="21" t="s">
        <v>442</v>
      </c>
      <c r="L11" s="23">
        <v>1.6</v>
      </c>
      <c r="M11" s="24">
        <v>90000</v>
      </c>
      <c r="N11" s="24">
        <v>0</v>
      </c>
      <c r="O11" s="25">
        <v>144000</v>
      </c>
      <c r="P11" s="25">
        <v>0</v>
      </c>
      <c r="Q11" s="24">
        <v>90000</v>
      </c>
      <c r="R11" s="21" t="s">
        <v>506</v>
      </c>
      <c r="S11" s="21" t="s">
        <v>437</v>
      </c>
      <c r="T11" s="21" t="s">
        <v>17</v>
      </c>
      <c r="U11" s="21" t="s">
        <v>507</v>
      </c>
      <c r="V11" s="21" t="s">
        <v>17</v>
      </c>
      <c r="W11" s="21" t="s">
        <v>439</v>
      </c>
      <c r="X11" s="21" t="s">
        <v>439</v>
      </c>
    </row>
    <row r="12" spans="1:24" ht="10.5" customHeight="1" x14ac:dyDescent="0.25">
      <c r="A12" s="20">
        <v>46023</v>
      </c>
      <c r="B12" s="21" t="str">
        <f t="shared" si="0"/>
        <v>01/01/2026NL300094</v>
      </c>
      <c r="C12" s="22" t="s">
        <v>504</v>
      </c>
      <c r="D12" s="22" t="s">
        <v>17</v>
      </c>
      <c r="E12" s="22" t="s">
        <v>431</v>
      </c>
      <c r="F12" s="21" t="s">
        <v>432</v>
      </c>
      <c r="G12" s="21" t="s">
        <v>433</v>
      </c>
      <c r="H12" s="21" t="s">
        <v>505</v>
      </c>
      <c r="I12" s="21" t="s">
        <v>257</v>
      </c>
      <c r="J12" s="21" t="s">
        <v>454</v>
      </c>
      <c r="K12" s="21" t="s">
        <v>442</v>
      </c>
      <c r="L12" s="23">
        <v>1.3</v>
      </c>
      <c r="M12" s="24">
        <v>80000</v>
      </c>
      <c r="N12" s="24">
        <v>0</v>
      </c>
      <c r="O12" s="25">
        <v>104000</v>
      </c>
      <c r="P12" s="25">
        <v>0</v>
      </c>
      <c r="Q12" s="24">
        <v>80000</v>
      </c>
      <c r="R12" s="21" t="s">
        <v>506</v>
      </c>
      <c r="S12" s="21" t="s">
        <v>437</v>
      </c>
      <c r="T12" s="21" t="s">
        <v>17</v>
      </c>
      <c r="U12" s="21" t="s">
        <v>507</v>
      </c>
      <c r="V12" s="21" t="s">
        <v>17</v>
      </c>
      <c r="W12" s="21" t="s">
        <v>439</v>
      </c>
      <c r="X12" s="21" t="s">
        <v>439</v>
      </c>
    </row>
    <row r="13" spans="1:24" ht="10.5" customHeight="1" x14ac:dyDescent="0.25">
      <c r="A13" s="20">
        <v>46023</v>
      </c>
      <c r="B13" s="21" t="str">
        <f t="shared" si="0"/>
        <v>01/01/2026NL300096</v>
      </c>
      <c r="C13" s="22" t="s">
        <v>504</v>
      </c>
      <c r="D13" s="22" t="s">
        <v>17</v>
      </c>
      <c r="E13" s="22" t="s">
        <v>431</v>
      </c>
      <c r="F13" s="21" t="s">
        <v>432</v>
      </c>
      <c r="G13" s="21" t="s">
        <v>433</v>
      </c>
      <c r="H13" s="21" t="s">
        <v>505</v>
      </c>
      <c r="I13" s="21" t="s">
        <v>258</v>
      </c>
      <c r="J13" s="21" t="s">
        <v>45</v>
      </c>
      <c r="K13" s="21" t="s">
        <v>442</v>
      </c>
      <c r="L13" s="23">
        <v>4</v>
      </c>
      <c r="M13" s="24">
        <v>45000</v>
      </c>
      <c r="N13" s="24">
        <v>0</v>
      </c>
      <c r="O13" s="25">
        <v>180000</v>
      </c>
      <c r="P13" s="25">
        <v>0</v>
      </c>
      <c r="Q13" s="24">
        <v>45000</v>
      </c>
      <c r="R13" s="21" t="s">
        <v>506</v>
      </c>
      <c r="S13" s="21" t="s">
        <v>437</v>
      </c>
      <c r="T13" s="21" t="s">
        <v>17</v>
      </c>
      <c r="U13" s="21" t="s">
        <v>507</v>
      </c>
      <c r="V13" s="21" t="s">
        <v>17</v>
      </c>
      <c r="W13" s="21" t="s">
        <v>439</v>
      </c>
      <c r="X13" s="21" t="s">
        <v>439</v>
      </c>
    </row>
    <row r="14" spans="1:24" ht="10.5" customHeight="1" x14ac:dyDescent="0.25">
      <c r="A14" s="20">
        <v>46023</v>
      </c>
      <c r="B14" s="21" t="str">
        <f t="shared" si="0"/>
        <v>01/01/2026NL300097</v>
      </c>
      <c r="C14" s="22" t="s">
        <v>504</v>
      </c>
      <c r="D14" s="22" t="s">
        <v>17</v>
      </c>
      <c r="E14" s="22" t="s">
        <v>431</v>
      </c>
      <c r="F14" s="21" t="s">
        <v>432</v>
      </c>
      <c r="G14" s="21" t="s">
        <v>433</v>
      </c>
      <c r="H14" s="21" t="s">
        <v>505</v>
      </c>
      <c r="I14" s="21" t="s">
        <v>331</v>
      </c>
      <c r="J14" s="21" t="s">
        <v>443</v>
      </c>
      <c r="K14" s="21" t="s">
        <v>442</v>
      </c>
      <c r="L14" s="23">
        <v>1.4</v>
      </c>
      <c r="M14" s="24">
        <v>90000</v>
      </c>
      <c r="N14" s="24">
        <v>0</v>
      </c>
      <c r="O14" s="25">
        <v>126000</v>
      </c>
      <c r="P14" s="25">
        <v>0</v>
      </c>
      <c r="Q14" s="24">
        <v>90000</v>
      </c>
      <c r="R14" s="21" t="s">
        <v>506</v>
      </c>
      <c r="S14" s="21" t="s">
        <v>437</v>
      </c>
      <c r="T14" s="21" t="s">
        <v>17</v>
      </c>
      <c r="U14" s="21" t="s">
        <v>507</v>
      </c>
      <c r="V14" s="21" t="s">
        <v>17</v>
      </c>
      <c r="W14" s="21" t="s">
        <v>439</v>
      </c>
      <c r="X14" s="21" t="s">
        <v>439</v>
      </c>
    </row>
    <row r="15" spans="1:24" ht="10.5" customHeight="1" x14ac:dyDescent="0.25">
      <c r="A15" s="20">
        <v>46023</v>
      </c>
      <c r="B15" s="21" t="str">
        <f t="shared" si="0"/>
        <v>01/01/2026NL300113</v>
      </c>
      <c r="C15" s="22" t="s">
        <v>504</v>
      </c>
      <c r="D15" s="22" t="s">
        <v>17</v>
      </c>
      <c r="E15" s="22" t="s">
        <v>431</v>
      </c>
      <c r="F15" s="21" t="s">
        <v>432</v>
      </c>
      <c r="G15" s="21" t="s">
        <v>433</v>
      </c>
      <c r="H15" s="21" t="s">
        <v>505</v>
      </c>
      <c r="I15" s="21" t="s">
        <v>271</v>
      </c>
      <c r="J15" s="21" t="s">
        <v>103</v>
      </c>
      <c r="K15" s="21" t="s">
        <v>442</v>
      </c>
      <c r="L15" s="23">
        <v>1.2</v>
      </c>
      <c r="M15" s="24">
        <v>145000</v>
      </c>
      <c r="N15" s="24">
        <v>0</v>
      </c>
      <c r="O15" s="25">
        <v>174000</v>
      </c>
      <c r="P15" s="25">
        <v>0</v>
      </c>
      <c r="Q15" s="24">
        <v>145000</v>
      </c>
      <c r="R15" s="21" t="s">
        <v>506</v>
      </c>
      <c r="S15" s="21" t="s">
        <v>437</v>
      </c>
      <c r="T15" s="21" t="s">
        <v>17</v>
      </c>
      <c r="U15" s="21" t="s">
        <v>507</v>
      </c>
      <c r="V15" s="21" t="s">
        <v>17</v>
      </c>
      <c r="W15" s="21" t="s">
        <v>439</v>
      </c>
      <c r="X15" s="21" t="s">
        <v>439</v>
      </c>
    </row>
    <row r="16" spans="1:24" ht="10.5" customHeight="1" x14ac:dyDescent="0.25">
      <c r="A16" s="20">
        <v>46023</v>
      </c>
      <c r="B16" s="21" t="str">
        <f t="shared" si="0"/>
        <v>01/01/2026NL300142</v>
      </c>
      <c r="C16" s="22" t="s">
        <v>504</v>
      </c>
      <c r="D16" s="22" t="s">
        <v>17</v>
      </c>
      <c r="E16" s="22" t="s">
        <v>431</v>
      </c>
      <c r="F16" s="21" t="s">
        <v>432</v>
      </c>
      <c r="G16" s="21" t="s">
        <v>433</v>
      </c>
      <c r="H16" s="21" t="s">
        <v>505</v>
      </c>
      <c r="I16" s="21" t="s">
        <v>317</v>
      </c>
      <c r="J16" s="21" t="s">
        <v>441</v>
      </c>
      <c r="K16" s="21" t="s">
        <v>442</v>
      </c>
      <c r="L16" s="23">
        <v>2.5</v>
      </c>
      <c r="M16" s="24">
        <v>50000</v>
      </c>
      <c r="N16" s="24">
        <v>0</v>
      </c>
      <c r="O16" s="25">
        <v>125000</v>
      </c>
      <c r="P16" s="25">
        <v>0</v>
      </c>
      <c r="Q16" s="24">
        <v>50000</v>
      </c>
      <c r="R16" s="21" t="s">
        <v>506</v>
      </c>
      <c r="S16" s="21" t="s">
        <v>437</v>
      </c>
      <c r="T16" s="21" t="s">
        <v>17</v>
      </c>
      <c r="U16" s="21" t="s">
        <v>507</v>
      </c>
      <c r="V16" s="21" t="s">
        <v>17</v>
      </c>
      <c r="W16" s="21" t="s">
        <v>439</v>
      </c>
      <c r="X16" s="21" t="s">
        <v>439</v>
      </c>
    </row>
    <row r="17" spans="1:24" ht="10.5" customHeight="1" x14ac:dyDescent="0.25">
      <c r="A17" s="20">
        <v>46023</v>
      </c>
      <c r="B17" s="21" t="str">
        <f t="shared" si="0"/>
        <v>01/01/2026NL300137</v>
      </c>
      <c r="C17" s="22" t="s">
        <v>504</v>
      </c>
      <c r="D17" s="22" t="s">
        <v>17</v>
      </c>
      <c r="E17" s="22" t="s">
        <v>431</v>
      </c>
      <c r="F17" s="21" t="s">
        <v>432</v>
      </c>
      <c r="G17" s="21" t="s">
        <v>433</v>
      </c>
      <c r="H17" s="21" t="s">
        <v>505</v>
      </c>
      <c r="I17" s="21" t="s">
        <v>196</v>
      </c>
      <c r="J17" s="21" t="s">
        <v>458</v>
      </c>
      <c r="K17" s="21" t="s">
        <v>442</v>
      </c>
      <c r="L17" s="23">
        <v>3</v>
      </c>
      <c r="M17" s="24">
        <v>52000</v>
      </c>
      <c r="N17" s="24">
        <v>0</v>
      </c>
      <c r="O17" s="25">
        <v>156000</v>
      </c>
      <c r="P17" s="25">
        <v>0</v>
      </c>
      <c r="Q17" s="24">
        <v>52000</v>
      </c>
      <c r="R17" s="21" t="s">
        <v>506</v>
      </c>
      <c r="S17" s="21" t="s">
        <v>437</v>
      </c>
      <c r="T17" s="21" t="s">
        <v>17</v>
      </c>
      <c r="U17" s="21" t="s">
        <v>507</v>
      </c>
      <c r="V17" s="21" t="s">
        <v>17</v>
      </c>
      <c r="W17" s="21" t="s">
        <v>439</v>
      </c>
      <c r="X17" s="21" t="s">
        <v>439</v>
      </c>
    </row>
    <row r="18" spans="1:24" ht="10.5" customHeight="1" x14ac:dyDescent="0.25">
      <c r="A18" s="20">
        <v>46023</v>
      </c>
      <c r="B18" s="21" t="str">
        <f t="shared" si="0"/>
        <v>01/01/2026NL300147</v>
      </c>
      <c r="C18" s="22" t="s">
        <v>504</v>
      </c>
      <c r="D18" s="22" t="s">
        <v>17</v>
      </c>
      <c r="E18" s="22" t="s">
        <v>431</v>
      </c>
      <c r="F18" s="21" t="s">
        <v>432</v>
      </c>
      <c r="G18" s="21" t="s">
        <v>433</v>
      </c>
      <c r="H18" s="21" t="s">
        <v>505</v>
      </c>
      <c r="I18" s="21" t="s">
        <v>300</v>
      </c>
      <c r="J18" s="21" t="s">
        <v>459</v>
      </c>
      <c r="K18" s="21" t="s">
        <v>442</v>
      </c>
      <c r="L18" s="23">
        <v>4</v>
      </c>
      <c r="M18" s="24">
        <v>62000</v>
      </c>
      <c r="N18" s="24">
        <v>0</v>
      </c>
      <c r="O18" s="25">
        <v>248000</v>
      </c>
      <c r="P18" s="25">
        <v>0</v>
      </c>
      <c r="Q18" s="24">
        <v>62000</v>
      </c>
      <c r="R18" s="21" t="s">
        <v>506</v>
      </c>
      <c r="S18" s="21" t="s">
        <v>437</v>
      </c>
      <c r="T18" s="21" t="s">
        <v>17</v>
      </c>
      <c r="U18" s="21" t="s">
        <v>507</v>
      </c>
      <c r="V18" s="21" t="s">
        <v>17</v>
      </c>
      <c r="W18" s="21" t="s">
        <v>439</v>
      </c>
      <c r="X18" s="21" t="s">
        <v>439</v>
      </c>
    </row>
    <row r="19" spans="1:24" ht="10.5" customHeight="1" x14ac:dyDescent="0.25">
      <c r="A19" s="20">
        <v>46023</v>
      </c>
      <c r="B19" s="21" t="str">
        <f t="shared" si="0"/>
        <v>01/01/2026NL300189</v>
      </c>
      <c r="C19" s="22" t="s">
        <v>504</v>
      </c>
      <c r="D19" s="22" t="s">
        <v>17</v>
      </c>
      <c r="E19" s="22" t="s">
        <v>431</v>
      </c>
      <c r="F19" s="21" t="s">
        <v>432</v>
      </c>
      <c r="G19" s="21" t="s">
        <v>433</v>
      </c>
      <c r="H19" s="21" t="s">
        <v>505</v>
      </c>
      <c r="I19" s="21" t="s">
        <v>378</v>
      </c>
      <c r="J19" s="21" t="s">
        <v>19</v>
      </c>
      <c r="K19" s="21" t="s">
        <v>442</v>
      </c>
      <c r="L19" s="23">
        <v>1</v>
      </c>
      <c r="M19" s="24">
        <v>15000</v>
      </c>
      <c r="N19" s="24">
        <v>0</v>
      </c>
      <c r="O19" s="25">
        <v>15000</v>
      </c>
      <c r="P19" s="25">
        <v>0</v>
      </c>
      <c r="Q19" s="24">
        <v>15000</v>
      </c>
      <c r="R19" s="21" t="s">
        <v>506</v>
      </c>
      <c r="S19" s="21" t="s">
        <v>437</v>
      </c>
      <c r="T19" s="21" t="s">
        <v>17</v>
      </c>
      <c r="U19" s="21" t="s">
        <v>507</v>
      </c>
      <c r="V19" s="21" t="s">
        <v>17</v>
      </c>
      <c r="W19" s="21" t="s">
        <v>439</v>
      </c>
      <c r="X19" s="21" t="s">
        <v>439</v>
      </c>
    </row>
    <row r="20" spans="1:24" ht="10.5" customHeight="1" x14ac:dyDescent="0.25">
      <c r="A20" s="20">
        <v>46023</v>
      </c>
      <c r="B20" s="21" t="str">
        <f t="shared" si="0"/>
        <v>01/01/2026NL300119</v>
      </c>
      <c r="C20" s="22" t="s">
        <v>504</v>
      </c>
      <c r="D20" s="22" t="s">
        <v>17</v>
      </c>
      <c r="E20" s="22" t="s">
        <v>431</v>
      </c>
      <c r="F20" s="21" t="s">
        <v>432</v>
      </c>
      <c r="G20" s="21" t="s">
        <v>433</v>
      </c>
      <c r="H20" s="21" t="s">
        <v>505</v>
      </c>
      <c r="I20" s="21" t="s">
        <v>310</v>
      </c>
      <c r="J20" s="21" t="s">
        <v>460</v>
      </c>
      <c r="K20" s="21" t="s">
        <v>442</v>
      </c>
      <c r="L20" s="23">
        <v>0.9</v>
      </c>
      <c r="M20" s="24">
        <v>21000</v>
      </c>
      <c r="N20" s="24">
        <v>0</v>
      </c>
      <c r="O20" s="25">
        <v>18900</v>
      </c>
      <c r="P20" s="25">
        <v>0</v>
      </c>
      <c r="Q20" s="24">
        <v>21000</v>
      </c>
      <c r="R20" s="21" t="s">
        <v>506</v>
      </c>
      <c r="S20" s="21" t="s">
        <v>437</v>
      </c>
      <c r="T20" s="21" t="s">
        <v>17</v>
      </c>
      <c r="U20" s="21" t="s">
        <v>507</v>
      </c>
      <c r="V20" s="21" t="s">
        <v>17</v>
      </c>
      <c r="W20" s="21" t="s">
        <v>439</v>
      </c>
      <c r="X20" s="21" t="s">
        <v>439</v>
      </c>
    </row>
    <row r="21" spans="1:24" ht="10.5" customHeight="1" x14ac:dyDescent="0.25">
      <c r="A21" s="20">
        <v>46023</v>
      </c>
      <c r="B21" s="21" t="str">
        <f t="shared" si="0"/>
        <v>01/01/2026NL300088</v>
      </c>
      <c r="C21" s="22" t="s">
        <v>504</v>
      </c>
      <c r="D21" s="22" t="s">
        <v>17</v>
      </c>
      <c r="E21" s="22" t="s">
        <v>431</v>
      </c>
      <c r="F21" s="21" t="s">
        <v>432</v>
      </c>
      <c r="G21" s="21" t="s">
        <v>433</v>
      </c>
      <c r="H21" s="21" t="s">
        <v>505</v>
      </c>
      <c r="I21" s="21" t="s">
        <v>254</v>
      </c>
      <c r="J21" s="21" t="s">
        <v>15</v>
      </c>
      <c r="K21" s="21" t="s">
        <v>442</v>
      </c>
      <c r="L21" s="23">
        <v>2</v>
      </c>
      <c r="M21" s="24">
        <v>27000</v>
      </c>
      <c r="N21" s="24">
        <v>0</v>
      </c>
      <c r="O21" s="25">
        <v>54000</v>
      </c>
      <c r="P21" s="25">
        <v>0</v>
      </c>
      <c r="Q21" s="24">
        <v>27000</v>
      </c>
      <c r="R21" s="21" t="s">
        <v>506</v>
      </c>
      <c r="S21" s="21" t="s">
        <v>437</v>
      </c>
      <c r="T21" s="21" t="s">
        <v>17</v>
      </c>
      <c r="U21" s="21" t="s">
        <v>507</v>
      </c>
      <c r="V21" s="21" t="s">
        <v>17</v>
      </c>
      <c r="W21" s="21" t="s">
        <v>439</v>
      </c>
      <c r="X21" s="21" t="s">
        <v>439</v>
      </c>
    </row>
    <row r="22" spans="1:24" ht="10.5" customHeight="1" x14ac:dyDescent="0.25">
      <c r="A22" s="20">
        <v>46023</v>
      </c>
      <c r="B22" s="21" t="str">
        <f t="shared" si="0"/>
        <v>01/01/2026NL300107</v>
      </c>
      <c r="C22" s="22" t="s">
        <v>504</v>
      </c>
      <c r="D22" s="22" t="s">
        <v>17</v>
      </c>
      <c r="E22" s="22" t="s">
        <v>431</v>
      </c>
      <c r="F22" s="21" t="s">
        <v>432</v>
      </c>
      <c r="G22" s="21" t="s">
        <v>433</v>
      </c>
      <c r="H22" s="21" t="s">
        <v>505</v>
      </c>
      <c r="I22" s="21" t="s">
        <v>193</v>
      </c>
      <c r="J22" s="21" t="s">
        <v>455</v>
      </c>
      <c r="K22" s="21" t="s">
        <v>450</v>
      </c>
      <c r="L22" s="23">
        <v>10</v>
      </c>
      <c r="M22" s="24">
        <v>8500</v>
      </c>
      <c r="N22" s="24">
        <v>0</v>
      </c>
      <c r="O22" s="25">
        <v>85000</v>
      </c>
      <c r="P22" s="25">
        <v>0</v>
      </c>
      <c r="Q22" s="24">
        <v>8500</v>
      </c>
      <c r="R22" s="21" t="s">
        <v>506</v>
      </c>
      <c r="S22" s="21" t="s">
        <v>437</v>
      </c>
      <c r="T22" s="21" t="s">
        <v>17</v>
      </c>
      <c r="U22" s="21" t="s">
        <v>507</v>
      </c>
      <c r="V22" s="21" t="s">
        <v>17</v>
      </c>
      <c r="W22" s="21" t="s">
        <v>439</v>
      </c>
      <c r="X22" s="21" t="s">
        <v>439</v>
      </c>
    </row>
    <row r="23" spans="1:24" ht="10.5" customHeight="1" x14ac:dyDescent="0.25">
      <c r="A23" s="20">
        <v>46023</v>
      </c>
      <c r="B23" s="21" t="str">
        <f t="shared" si="0"/>
        <v>01/01/2026NL300041</v>
      </c>
      <c r="C23" s="22" t="s">
        <v>504</v>
      </c>
      <c r="D23" s="22" t="s">
        <v>17</v>
      </c>
      <c r="E23" s="22" t="s">
        <v>431</v>
      </c>
      <c r="F23" s="21" t="s">
        <v>432</v>
      </c>
      <c r="G23" s="21" t="s">
        <v>433</v>
      </c>
      <c r="H23" s="21" t="s">
        <v>505</v>
      </c>
      <c r="I23" s="21" t="s">
        <v>222</v>
      </c>
      <c r="J23" s="21" t="s">
        <v>449</v>
      </c>
      <c r="K23" s="21" t="s">
        <v>450</v>
      </c>
      <c r="L23" s="23">
        <v>5</v>
      </c>
      <c r="M23" s="24">
        <v>15000</v>
      </c>
      <c r="N23" s="24">
        <v>0</v>
      </c>
      <c r="O23" s="25">
        <v>75000</v>
      </c>
      <c r="P23" s="25">
        <v>0</v>
      </c>
      <c r="Q23" s="24">
        <v>15000</v>
      </c>
      <c r="R23" s="21" t="s">
        <v>506</v>
      </c>
      <c r="S23" s="21" t="s">
        <v>437</v>
      </c>
      <c r="T23" s="21" t="s">
        <v>17</v>
      </c>
      <c r="U23" s="21" t="s">
        <v>507</v>
      </c>
      <c r="V23" s="21" t="s">
        <v>17</v>
      </c>
      <c r="W23" s="21" t="s">
        <v>439</v>
      </c>
      <c r="X23" s="21" t="s">
        <v>439</v>
      </c>
    </row>
    <row r="24" spans="1:24" ht="10.5" customHeight="1" x14ac:dyDescent="0.25">
      <c r="A24" s="20">
        <v>46023</v>
      </c>
      <c r="B24" s="21" t="str">
        <f t="shared" si="0"/>
        <v>01/01/2026NL300090</v>
      </c>
      <c r="C24" s="22" t="s">
        <v>504</v>
      </c>
      <c r="D24" s="22" t="s">
        <v>17</v>
      </c>
      <c r="E24" s="22" t="s">
        <v>431</v>
      </c>
      <c r="F24" s="21" t="s">
        <v>432</v>
      </c>
      <c r="G24" s="21" t="s">
        <v>433</v>
      </c>
      <c r="H24" s="21" t="s">
        <v>505</v>
      </c>
      <c r="I24" s="21" t="s">
        <v>255</v>
      </c>
      <c r="J24" s="21" t="s">
        <v>70</v>
      </c>
      <c r="K24" s="21" t="s">
        <v>442</v>
      </c>
      <c r="L24" s="23">
        <v>2</v>
      </c>
      <c r="M24" s="24">
        <v>145000</v>
      </c>
      <c r="N24" s="24">
        <v>0</v>
      </c>
      <c r="O24" s="25">
        <v>290000</v>
      </c>
      <c r="P24" s="25">
        <v>0</v>
      </c>
      <c r="Q24" s="24">
        <v>145000</v>
      </c>
      <c r="R24" s="21" t="s">
        <v>506</v>
      </c>
      <c r="S24" s="21" t="s">
        <v>437</v>
      </c>
      <c r="T24" s="21" t="s">
        <v>17</v>
      </c>
      <c r="U24" s="21" t="s">
        <v>507</v>
      </c>
      <c r="V24" s="21" t="s">
        <v>17</v>
      </c>
      <c r="W24" s="21" t="s">
        <v>439</v>
      </c>
      <c r="X24" s="21" t="s">
        <v>439</v>
      </c>
    </row>
    <row r="25" spans="1:24" ht="10.5" customHeight="1" x14ac:dyDescent="0.25">
      <c r="A25" s="20">
        <v>46023</v>
      </c>
      <c r="B25" s="21" t="str">
        <f t="shared" si="0"/>
        <v>01/01/2026NL300025</v>
      </c>
      <c r="C25" s="22" t="s">
        <v>504</v>
      </c>
      <c r="D25" s="22" t="s">
        <v>17</v>
      </c>
      <c r="E25" s="22" t="s">
        <v>431</v>
      </c>
      <c r="F25" s="21" t="s">
        <v>432</v>
      </c>
      <c r="G25" s="21" t="s">
        <v>433</v>
      </c>
      <c r="H25" s="21" t="s">
        <v>505</v>
      </c>
      <c r="I25" s="21" t="s">
        <v>211</v>
      </c>
      <c r="J25" s="21" t="s">
        <v>447</v>
      </c>
      <c r="K25" s="21" t="s">
        <v>442</v>
      </c>
      <c r="L25" s="23">
        <v>0.7</v>
      </c>
      <c r="M25" s="24">
        <v>44000</v>
      </c>
      <c r="N25" s="24">
        <v>0</v>
      </c>
      <c r="O25" s="25">
        <v>30800</v>
      </c>
      <c r="P25" s="25">
        <v>0</v>
      </c>
      <c r="Q25" s="24">
        <v>44000</v>
      </c>
      <c r="R25" s="21" t="s">
        <v>506</v>
      </c>
      <c r="S25" s="21" t="s">
        <v>437</v>
      </c>
      <c r="T25" s="21" t="s">
        <v>17</v>
      </c>
      <c r="U25" s="21" t="s">
        <v>507</v>
      </c>
      <c r="V25" s="21" t="s">
        <v>17</v>
      </c>
      <c r="W25" s="21" t="s">
        <v>439</v>
      </c>
      <c r="X25" s="21" t="s">
        <v>439</v>
      </c>
    </row>
    <row r="26" spans="1:24" ht="10.5" customHeight="1" x14ac:dyDescent="0.25">
      <c r="A26" s="20">
        <v>46023</v>
      </c>
      <c r="B26" s="21" t="str">
        <f t="shared" si="0"/>
        <v>01/01/2026NL300036</v>
      </c>
      <c r="C26" s="22" t="s">
        <v>504</v>
      </c>
      <c r="D26" s="22" t="s">
        <v>17</v>
      </c>
      <c r="E26" s="22" t="s">
        <v>431</v>
      </c>
      <c r="F26" s="21" t="s">
        <v>432</v>
      </c>
      <c r="G26" s="21" t="s">
        <v>433</v>
      </c>
      <c r="H26" s="21" t="s">
        <v>505</v>
      </c>
      <c r="I26" s="21" t="s">
        <v>380</v>
      </c>
      <c r="J26" s="21" t="s">
        <v>96</v>
      </c>
      <c r="K26" s="21" t="s">
        <v>442</v>
      </c>
      <c r="L26" s="23">
        <v>2</v>
      </c>
      <c r="M26" s="24">
        <v>47000</v>
      </c>
      <c r="N26" s="24">
        <v>0</v>
      </c>
      <c r="O26" s="25">
        <v>94000</v>
      </c>
      <c r="P26" s="25">
        <v>0</v>
      </c>
      <c r="Q26" s="24">
        <v>47000</v>
      </c>
      <c r="R26" s="21" t="s">
        <v>506</v>
      </c>
      <c r="S26" s="21" t="s">
        <v>437</v>
      </c>
      <c r="T26" s="21" t="s">
        <v>17</v>
      </c>
      <c r="U26" s="21" t="s">
        <v>507</v>
      </c>
      <c r="V26" s="21" t="s">
        <v>17</v>
      </c>
      <c r="W26" s="21" t="s">
        <v>439</v>
      </c>
      <c r="X26" s="21" t="s">
        <v>439</v>
      </c>
    </row>
    <row r="27" spans="1:24" ht="10.5" customHeight="1" x14ac:dyDescent="0.25">
      <c r="A27" s="20">
        <v>46023</v>
      </c>
      <c r="B27" s="21" t="str">
        <f t="shared" si="0"/>
        <v>01/01/2026NL300070</v>
      </c>
      <c r="C27" s="22" t="s">
        <v>504</v>
      </c>
      <c r="D27" s="22" t="s">
        <v>17</v>
      </c>
      <c r="E27" s="22" t="s">
        <v>431</v>
      </c>
      <c r="F27" s="21" t="s">
        <v>432</v>
      </c>
      <c r="G27" s="21" t="s">
        <v>433</v>
      </c>
      <c r="H27" s="21" t="s">
        <v>505</v>
      </c>
      <c r="I27" s="21" t="s">
        <v>345</v>
      </c>
      <c r="J27" s="21" t="s">
        <v>465</v>
      </c>
      <c r="K27" s="21" t="s">
        <v>442</v>
      </c>
      <c r="L27" s="23">
        <v>0.5</v>
      </c>
      <c r="M27" s="24">
        <v>23000</v>
      </c>
      <c r="N27" s="24">
        <v>0</v>
      </c>
      <c r="O27" s="25">
        <v>11500</v>
      </c>
      <c r="P27" s="25">
        <v>0</v>
      </c>
      <c r="Q27" s="24">
        <v>23000</v>
      </c>
      <c r="R27" s="21" t="s">
        <v>506</v>
      </c>
      <c r="S27" s="21" t="s">
        <v>437</v>
      </c>
      <c r="T27" s="21" t="s">
        <v>17</v>
      </c>
      <c r="U27" s="21" t="s">
        <v>507</v>
      </c>
      <c r="V27" s="21" t="s">
        <v>17</v>
      </c>
      <c r="W27" s="21" t="s">
        <v>439</v>
      </c>
      <c r="X27" s="21" t="s">
        <v>439</v>
      </c>
    </row>
    <row r="28" spans="1:24" ht="10.5" customHeight="1" x14ac:dyDescent="0.25">
      <c r="A28" s="20">
        <v>46023</v>
      </c>
      <c r="B28" s="21" t="str">
        <f t="shared" si="0"/>
        <v>01/01/2026NL300111</v>
      </c>
      <c r="C28" s="22" t="s">
        <v>504</v>
      </c>
      <c r="D28" s="22" t="s">
        <v>17</v>
      </c>
      <c r="E28" s="22" t="s">
        <v>431</v>
      </c>
      <c r="F28" s="21" t="s">
        <v>432</v>
      </c>
      <c r="G28" s="21" t="s">
        <v>433</v>
      </c>
      <c r="H28" s="21" t="s">
        <v>505</v>
      </c>
      <c r="I28" s="21" t="s">
        <v>379</v>
      </c>
      <c r="J28" s="21" t="s">
        <v>485</v>
      </c>
      <c r="K28" s="21" t="s">
        <v>442</v>
      </c>
      <c r="L28" s="23">
        <v>0.1</v>
      </c>
      <c r="M28" s="24">
        <v>185000</v>
      </c>
      <c r="N28" s="24">
        <v>0</v>
      </c>
      <c r="O28" s="25">
        <v>18500</v>
      </c>
      <c r="P28" s="25">
        <v>0</v>
      </c>
      <c r="Q28" s="24">
        <v>185000</v>
      </c>
      <c r="R28" s="21" t="s">
        <v>506</v>
      </c>
      <c r="S28" s="21" t="s">
        <v>437</v>
      </c>
      <c r="T28" s="21" t="s">
        <v>17</v>
      </c>
      <c r="U28" s="21" t="s">
        <v>507</v>
      </c>
      <c r="V28" s="21" t="s">
        <v>17</v>
      </c>
      <c r="W28" s="21" t="s">
        <v>439</v>
      </c>
      <c r="X28" s="21" t="s">
        <v>439</v>
      </c>
    </row>
    <row r="29" spans="1:24" ht="10.5" customHeight="1" x14ac:dyDescent="0.25">
      <c r="A29" s="20">
        <v>46023</v>
      </c>
      <c r="B29" s="21" t="str">
        <f t="shared" si="0"/>
        <v>01/01/2026NL300141</v>
      </c>
      <c r="C29" s="22" t="s">
        <v>504</v>
      </c>
      <c r="D29" s="22" t="s">
        <v>17</v>
      </c>
      <c r="E29" s="22" t="s">
        <v>431</v>
      </c>
      <c r="F29" s="21" t="s">
        <v>432</v>
      </c>
      <c r="G29" s="21" t="s">
        <v>433</v>
      </c>
      <c r="H29" s="21" t="s">
        <v>505</v>
      </c>
      <c r="I29" s="21" t="s">
        <v>375</v>
      </c>
      <c r="J29" s="21" t="s">
        <v>488</v>
      </c>
      <c r="K29" s="21" t="s">
        <v>442</v>
      </c>
      <c r="L29" s="23">
        <v>0.2</v>
      </c>
      <c r="M29" s="24">
        <v>92000</v>
      </c>
      <c r="N29" s="24">
        <v>0</v>
      </c>
      <c r="O29" s="25">
        <v>18400</v>
      </c>
      <c r="P29" s="25">
        <v>0</v>
      </c>
      <c r="Q29" s="24">
        <v>92000</v>
      </c>
      <c r="R29" s="21" t="s">
        <v>506</v>
      </c>
      <c r="S29" s="21" t="s">
        <v>437</v>
      </c>
      <c r="T29" s="21" t="s">
        <v>17</v>
      </c>
      <c r="U29" s="21" t="s">
        <v>507</v>
      </c>
      <c r="V29" s="21" t="s">
        <v>17</v>
      </c>
      <c r="W29" s="21" t="s">
        <v>439</v>
      </c>
      <c r="X29" s="21" t="s">
        <v>439</v>
      </c>
    </row>
    <row r="30" spans="1:24" ht="10.5" customHeight="1" x14ac:dyDescent="0.25">
      <c r="A30" s="20">
        <v>46023</v>
      </c>
      <c r="B30" s="21" t="str">
        <f t="shared" si="0"/>
        <v>01/01/2026NL300121</v>
      </c>
      <c r="C30" s="22" t="s">
        <v>504</v>
      </c>
      <c r="D30" s="22" t="s">
        <v>17</v>
      </c>
      <c r="E30" s="22" t="s">
        <v>431</v>
      </c>
      <c r="F30" s="21" t="s">
        <v>432</v>
      </c>
      <c r="G30" s="21" t="s">
        <v>433</v>
      </c>
      <c r="H30" s="21" t="s">
        <v>505</v>
      </c>
      <c r="I30" s="21" t="s">
        <v>281</v>
      </c>
      <c r="J30" s="21" t="s">
        <v>51</v>
      </c>
      <c r="K30" s="21" t="s">
        <v>442</v>
      </c>
      <c r="L30" s="23">
        <v>0.2</v>
      </c>
      <c r="M30" s="24">
        <v>22000</v>
      </c>
      <c r="N30" s="24">
        <v>0</v>
      </c>
      <c r="O30" s="25">
        <v>4400</v>
      </c>
      <c r="P30" s="25">
        <v>0</v>
      </c>
      <c r="Q30" s="24">
        <v>22000</v>
      </c>
      <c r="R30" s="21" t="s">
        <v>506</v>
      </c>
      <c r="S30" s="21" t="s">
        <v>437</v>
      </c>
      <c r="T30" s="21" t="s">
        <v>17</v>
      </c>
      <c r="U30" s="21" t="s">
        <v>507</v>
      </c>
      <c r="V30" s="21" t="s">
        <v>17</v>
      </c>
      <c r="W30" s="21" t="s">
        <v>439</v>
      </c>
      <c r="X30" s="21" t="s">
        <v>439</v>
      </c>
    </row>
    <row r="31" spans="1:24" ht="10.5" customHeight="1" x14ac:dyDescent="0.25">
      <c r="A31" s="20">
        <v>46023</v>
      </c>
      <c r="B31" s="21" t="str">
        <f t="shared" si="0"/>
        <v>01/01/2026NL100101</v>
      </c>
      <c r="C31" s="22" t="s">
        <v>504</v>
      </c>
      <c r="D31" s="22" t="s">
        <v>17</v>
      </c>
      <c r="E31" s="22" t="s">
        <v>431</v>
      </c>
      <c r="F31" s="21" t="s">
        <v>432</v>
      </c>
      <c r="G31" s="21" t="s">
        <v>433</v>
      </c>
      <c r="H31" s="21" t="s">
        <v>505</v>
      </c>
      <c r="I31" s="21" t="s">
        <v>344</v>
      </c>
      <c r="J31" s="21" t="s">
        <v>107</v>
      </c>
      <c r="K31" s="21" t="s">
        <v>435</v>
      </c>
      <c r="L31" s="23">
        <v>40</v>
      </c>
      <c r="M31" s="24">
        <v>5000</v>
      </c>
      <c r="N31" s="24">
        <v>0</v>
      </c>
      <c r="O31" s="25">
        <v>200000</v>
      </c>
      <c r="P31" s="25">
        <v>0</v>
      </c>
      <c r="Q31" s="24">
        <v>5000</v>
      </c>
      <c r="R31" s="21" t="s">
        <v>506</v>
      </c>
      <c r="S31" s="21" t="s">
        <v>437</v>
      </c>
      <c r="T31" s="21" t="s">
        <v>17</v>
      </c>
      <c r="U31" s="21" t="s">
        <v>507</v>
      </c>
      <c r="V31" s="21" t="s">
        <v>17</v>
      </c>
      <c r="W31" s="21" t="s">
        <v>439</v>
      </c>
      <c r="X31" s="21" t="s">
        <v>439</v>
      </c>
    </row>
    <row r="32" spans="1:24" ht="10.5" customHeight="1" x14ac:dyDescent="0.25">
      <c r="A32" s="20">
        <v>46023</v>
      </c>
      <c r="B32" s="21" t="str">
        <f t="shared" si="0"/>
        <v>01/01/2026NL100279</v>
      </c>
      <c r="C32" s="22" t="s">
        <v>504</v>
      </c>
      <c r="D32" s="22" t="s">
        <v>17</v>
      </c>
      <c r="E32" s="22" t="s">
        <v>431</v>
      </c>
      <c r="F32" s="21" t="s">
        <v>432</v>
      </c>
      <c r="G32" s="21" t="s">
        <v>433</v>
      </c>
      <c r="H32" s="21" t="s">
        <v>505</v>
      </c>
      <c r="I32" s="21" t="s">
        <v>403</v>
      </c>
      <c r="J32" s="21" t="s">
        <v>440</v>
      </c>
      <c r="K32" s="21" t="s">
        <v>108</v>
      </c>
      <c r="L32" s="23">
        <v>20</v>
      </c>
      <c r="M32" s="24">
        <v>9000</v>
      </c>
      <c r="N32" s="24">
        <v>0</v>
      </c>
      <c r="O32" s="25">
        <v>180000</v>
      </c>
      <c r="P32" s="25">
        <v>0</v>
      </c>
      <c r="Q32" s="24">
        <v>9000</v>
      </c>
      <c r="R32" s="21" t="s">
        <v>506</v>
      </c>
      <c r="S32" s="21" t="s">
        <v>437</v>
      </c>
      <c r="T32" s="21" t="s">
        <v>17</v>
      </c>
      <c r="U32" s="21" t="s">
        <v>507</v>
      </c>
      <c r="V32" s="21" t="s">
        <v>17</v>
      </c>
      <c r="W32" s="21" t="s">
        <v>439</v>
      </c>
      <c r="X32" s="21" t="s">
        <v>439</v>
      </c>
    </row>
    <row r="33" spans="1:24" ht="10.5" customHeight="1" x14ac:dyDescent="0.25">
      <c r="A33" s="20">
        <v>46023</v>
      </c>
      <c r="B33" s="21" t="str">
        <f t="shared" si="0"/>
        <v>01/01/2026NL600004</v>
      </c>
      <c r="C33" s="22" t="s">
        <v>504</v>
      </c>
      <c r="D33" s="22" t="s">
        <v>17</v>
      </c>
      <c r="E33" s="22" t="s">
        <v>431</v>
      </c>
      <c r="F33" s="21" t="s">
        <v>432</v>
      </c>
      <c r="G33" s="21" t="s">
        <v>433</v>
      </c>
      <c r="H33" s="21" t="s">
        <v>505</v>
      </c>
      <c r="I33" s="21" t="s">
        <v>225</v>
      </c>
      <c r="J33" s="21" t="s">
        <v>37</v>
      </c>
      <c r="K33" s="21" t="s">
        <v>442</v>
      </c>
      <c r="L33" s="23">
        <v>20</v>
      </c>
      <c r="M33" s="24">
        <v>18000</v>
      </c>
      <c r="N33" s="24">
        <v>0</v>
      </c>
      <c r="O33" s="25">
        <v>360000</v>
      </c>
      <c r="P33" s="25">
        <v>0</v>
      </c>
      <c r="Q33" s="24">
        <v>18000</v>
      </c>
      <c r="R33" s="21" t="s">
        <v>506</v>
      </c>
      <c r="S33" s="21" t="s">
        <v>437</v>
      </c>
      <c r="T33" s="21" t="s">
        <v>17</v>
      </c>
      <c r="U33" s="21" t="s">
        <v>507</v>
      </c>
      <c r="V33" s="21" t="s">
        <v>17</v>
      </c>
      <c r="W33" s="21" t="s">
        <v>439</v>
      </c>
      <c r="X33" s="21" t="s">
        <v>439</v>
      </c>
    </row>
    <row r="34" spans="1:24" ht="10.5" customHeight="1" x14ac:dyDescent="0.25">
      <c r="A34" s="20">
        <v>46023</v>
      </c>
      <c r="B34" s="21" t="str">
        <f t="shared" si="0"/>
        <v>01/01/2026NL300030</v>
      </c>
      <c r="C34" s="22" t="s">
        <v>504</v>
      </c>
      <c r="D34" s="22" t="s">
        <v>17</v>
      </c>
      <c r="E34" s="22" t="s">
        <v>431</v>
      </c>
      <c r="F34" s="21" t="s">
        <v>432</v>
      </c>
      <c r="G34" s="21" t="s">
        <v>433</v>
      </c>
      <c r="H34" s="21" t="s">
        <v>505</v>
      </c>
      <c r="I34" s="21" t="s">
        <v>313</v>
      </c>
      <c r="J34" s="21" t="s">
        <v>470</v>
      </c>
      <c r="K34" s="21" t="s">
        <v>442</v>
      </c>
      <c r="L34" s="23">
        <v>0.6</v>
      </c>
      <c r="M34" s="24">
        <v>34000</v>
      </c>
      <c r="N34" s="24">
        <v>0</v>
      </c>
      <c r="O34" s="25">
        <v>20400</v>
      </c>
      <c r="P34" s="25">
        <v>0</v>
      </c>
      <c r="Q34" s="24">
        <v>34000</v>
      </c>
      <c r="R34" s="21" t="s">
        <v>506</v>
      </c>
      <c r="S34" s="21" t="s">
        <v>437</v>
      </c>
      <c r="T34" s="21" t="s">
        <v>17</v>
      </c>
      <c r="U34" s="21" t="s">
        <v>507</v>
      </c>
      <c r="V34" s="21" t="s">
        <v>17</v>
      </c>
      <c r="W34" s="21" t="s">
        <v>439</v>
      </c>
      <c r="X34" s="21" t="s">
        <v>439</v>
      </c>
    </row>
    <row r="35" spans="1:24" ht="10.5" customHeight="1" x14ac:dyDescent="0.25">
      <c r="A35" s="20">
        <v>46023</v>
      </c>
      <c r="B35" s="21" t="str">
        <f t="shared" si="0"/>
        <v>01/01/2026NL300125</v>
      </c>
      <c r="C35" s="22" t="s">
        <v>504</v>
      </c>
      <c r="D35" s="22" t="s">
        <v>17</v>
      </c>
      <c r="E35" s="22" t="s">
        <v>431</v>
      </c>
      <c r="F35" s="21" t="s">
        <v>432</v>
      </c>
      <c r="G35" s="21" t="s">
        <v>433</v>
      </c>
      <c r="H35" s="21" t="s">
        <v>505</v>
      </c>
      <c r="I35" s="21" t="s">
        <v>337</v>
      </c>
      <c r="J35" s="21" t="s">
        <v>146</v>
      </c>
      <c r="K35" s="21" t="s">
        <v>442</v>
      </c>
      <c r="L35" s="23">
        <v>0.4</v>
      </c>
      <c r="M35" s="24">
        <v>42000</v>
      </c>
      <c r="N35" s="24">
        <v>0</v>
      </c>
      <c r="O35" s="25">
        <v>16800</v>
      </c>
      <c r="P35" s="25">
        <v>0</v>
      </c>
      <c r="Q35" s="24">
        <v>42000</v>
      </c>
      <c r="R35" s="21" t="s">
        <v>506</v>
      </c>
      <c r="S35" s="21" t="s">
        <v>437</v>
      </c>
      <c r="T35" s="21" t="s">
        <v>17</v>
      </c>
      <c r="U35" s="21" t="s">
        <v>507</v>
      </c>
      <c r="V35" s="21" t="s">
        <v>17</v>
      </c>
      <c r="W35" s="21" t="s">
        <v>439</v>
      </c>
      <c r="X35" s="21" t="s">
        <v>439</v>
      </c>
    </row>
    <row r="36" spans="1:24" ht="10.5" customHeight="1" x14ac:dyDescent="0.25">
      <c r="A36" s="20">
        <v>46023</v>
      </c>
      <c r="B36" s="21" t="str">
        <f t="shared" si="0"/>
        <v>01/01/2026NL300029</v>
      </c>
      <c r="C36" s="22" t="s">
        <v>504</v>
      </c>
      <c r="D36" s="22" t="s">
        <v>17</v>
      </c>
      <c r="E36" s="22" t="s">
        <v>431</v>
      </c>
      <c r="F36" s="21" t="s">
        <v>432</v>
      </c>
      <c r="G36" s="21" t="s">
        <v>433</v>
      </c>
      <c r="H36" s="21" t="s">
        <v>505</v>
      </c>
      <c r="I36" s="21" t="s">
        <v>213</v>
      </c>
      <c r="J36" s="21" t="s">
        <v>469</v>
      </c>
      <c r="K36" s="21" t="s">
        <v>442</v>
      </c>
      <c r="L36" s="23">
        <v>1</v>
      </c>
      <c r="M36" s="24">
        <v>22000</v>
      </c>
      <c r="N36" s="24">
        <v>0</v>
      </c>
      <c r="O36" s="25">
        <v>22000</v>
      </c>
      <c r="P36" s="25">
        <v>0</v>
      </c>
      <c r="Q36" s="24">
        <v>22000</v>
      </c>
      <c r="R36" s="21" t="s">
        <v>506</v>
      </c>
      <c r="S36" s="21" t="s">
        <v>437</v>
      </c>
      <c r="T36" s="21" t="s">
        <v>17</v>
      </c>
      <c r="U36" s="21" t="s">
        <v>507</v>
      </c>
      <c r="V36" s="21" t="s">
        <v>17</v>
      </c>
      <c r="W36" s="21" t="s">
        <v>439</v>
      </c>
      <c r="X36" s="21" t="s">
        <v>439</v>
      </c>
    </row>
    <row r="37" spans="1:24" ht="10.5" customHeight="1" x14ac:dyDescent="0.25">
      <c r="A37" s="20">
        <v>46023</v>
      </c>
      <c r="B37" s="21" t="str">
        <f t="shared" si="0"/>
        <v>01/01/2026NL300184</v>
      </c>
      <c r="C37" s="22" t="s">
        <v>504</v>
      </c>
      <c r="D37" s="22" t="s">
        <v>17</v>
      </c>
      <c r="E37" s="22" t="s">
        <v>431</v>
      </c>
      <c r="F37" s="21" t="s">
        <v>432</v>
      </c>
      <c r="G37" s="21" t="s">
        <v>433</v>
      </c>
      <c r="H37" s="21" t="s">
        <v>505</v>
      </c>
      <c r="I37" s="21" t="s">
        <v>368</v>
      </c>
      <c r="J37" s="21" t="s">
        <v>462</v>
      </c>
      <c r="K37" s="21" t="s">
        <v>442</v>
      </c>
      <c r="L37" s="23">
        <v>3.8</v>
      </c>
      <c r="M37" s="24">
        <v>18000</v>
      </c>
      <c r="N37" s="24">
        <v>0</v>
      </c>
      <c r="O37" s="25">
        <v>68400</v>
      </c>
      <c r="P37" s="25">
        <v>0</v>
      </c>
      <c r="Q37" s="24">
        <v>18000</v>
      </c>
      <c r="R37" s="21" t="s">
        <v>506</v>
      </c>
      <c r="S37" s="21" t="s">
        <v>437</v>
      </c>
      <c r="T37" s="21" t="s">
        <v>17</v>
      </c>
      <c r="U37" s="21" t="s">
        <v>507</v>
      </c>
      <c r="V37" s="21" t="s">
        <v>17</v>
      </c>
      <c r="W37" s="21" t="s">
        <v>439</v>
      </c>
      <c r="X37" s="21" t="s">
        <v>439</v>
      </c>
    </row>
    <row r="38" spans="1:24" ht="10.5" customHeight="1" x14ac:dyDescent="0.25">
      <c r="A38" s="20">
        <v>46023</v>
      </c>
      <c r="B38" s="21" t="str">
        <f t="shared" si="0"/>
        <v>01/01/2026NL600068</v>
      </c>
      <c r="C38" s="22" t="s">
        <v>504</v>
      </c>
      <c r="D38" s="22" t="s">
        <v>17</v>
      </c>
      <c r="E38" s="22" t="s">
        <v>431</v>
      </c>
      <c r="F38" s="21" t="s">
        <v>432</v>
      </c>
      <c r="G38" s="21" t="s">
        <v>433</v>
      </c>
      <c r="H38" s="21" t="s">
        <v>505</v>
      </c>
      <c r="I38" s="21" t="s">
        <v>377</v>
      </c>
      <c r="J38" s="21" t="s">
        <v>94</v>
      </c>
      <c r="K38" s="21" t="s">
        <v>442</v>
      </c>
      <c r="L38" s="23">
        <v>0.5</v>
      </c>
      <c r="M38" s="24">
        <v>95000</v>
      </c>
      <c r="N38" s="24">
        <v>0</v>
      </c>
      <c r="O38" s="25">
        <v>47500</v>
      </c>
      <c r="P38" s="25">
        <v>0</v>
      </c>
      <c r="Q38" s="24">
        <v>95000</v>
      </c>
      <c r="R38" s="21" t="s">
        <v>506</v>
      </c>
      <c r="S38" s="21" t="s">
        <v>437</v>
      </c>
      <c r="T38" s="21" t="s">
        <v>17</v>
      </c>
      <c r="U38" s="21" t="s">
        <v>507</v>
      </c>
      <c r="V38" s="21" t="s">
        <v>17</v>
      </c>
      <c r="W38" s="21" t="s">
        <v>439</v>
      </c>
      <c r="X38" s="21" t="s">
        <v>439</v>
      </c>
    </row>
    <row r="39" spans="1:24" ht="10.5" customHeight="1" x14ac:dyDescent="0.25">
      <c r="A39" s="20">
        <v>46023</v>
      </c>
      <c r="B39" s="21" t="str">
        <f t="shared" si="0"/>
        <v>01/01/2026NL300126</v>
      </c>
      <c r="C39" s="22" t="s">
        <v>508</v>
      </c>
      <c r="D39" s="22" t="s">
        <v>17</v>
      </c>
      <c r="E39" s="22" t="s">
        <v>431</v>
      </c>
      <c r="F39" s="21" t="s">
        <v>432</v>
      </c>
      <c r="G39" s="21" t="s">
        <v>433</v>
      </c>
      <c r="H39" s="21" t="s">
        <v>505</v>
      </c>
      <c r="I39" s="21" t="s">
        <v>264</v>
      </c>
      <c r="J39" s="21" t="s">
        <v>457</v>
      </c>
      <c r="K39" s="21" t="s">
        <v>442</v>
      </c>
      <c r="L39" s="23">
        <v>0.3</v>
      </c>
      <c r="M39" s="24">
        <v>70000</v>
      </c>
      <c r="N39" s="24">
        <v>0</v>
      </c>
      <c r="O39" s="25">
        <v>21000</v>
      </c>
      <c r="P39" s="25">
        <v>0</v>
      </c>
      <c r="Q39" s="24">
        <v>70000</v>
      </c>
      <c r="R39" s="21" t="s">
        <v>506</v>
      </c>
      <c r="S39" s="21" t="s">
        <v>437</v>
      </c>
      <c r="T39" s="21" t="s">
        <v>17</v>
      </c>
      <c r="U39" s="21" t="s">
        <v>507</v>
      </c>
      <c r="V39" s="21" t="s">
        <v>17</v>
      </c>
      <c r="W39" s="21" t="s">
        <v>439</v>
      </c>
      <c r="X39" s="21" t="s">
        <v>439</v>
      </c>
    </row>
    <row r="40" spans="1:24" ht="10.5" customHeight="1" x14ac:dyDescent="0.25">
      <c r="A40" s="20">
        <v>46023</v>
      </c>
      <c r="B40" s="21" t="str">
        <f t="shared" si="0"/>
        <v>01/01/2026NL300140</v>
      </c>
      <c r="C40" s="22" t="s">
        <v>508</v>
      </c>
      <c r="D40" s="22" t="s">
        <v>17</v>
      </c>
      <c r="E40" s="22" t="s">
        <v>431</v>
      </c>
      <c r="F40" s="21" t="s">
        <v>432</v>
      </c>
      <c r="G40" s="21" t="s">
        <v>433</v>
      </c>
      <c r="H40" s="21" t="s">
        <v>505</v>
      </c>
      <c r="I40" s="21" t="s">
        <v>282</v>
      </c>
      <c r="J40" s="21" t="s">
        <v>461</v>
      </c>
      <c r="K40" s="21" t="s">
        <v>442</v>
      </c>
      <c r="L40" s="23">
        <v>0.7</v>
      </c>
      <c r="M40" s="24">
        <v>36000</v>
      </c>
      <c r="N40" s="24">
        <v>0</v>
      </c>
      <c r="O40" s="25">
        <v>25200</v>
      </c>
      <c r="P40" s="25">
        <v>0</v>
      </c>
      <c r="Q40" s="24">
        <v>36000</v>
      </c>
      <c r="R40" s="21" t="s">
        <v>506</v>
      </c>
      <c r="S40" s="21" t="s">
        <v>437</v>
      </c>
      <c r="T40" s="21" t="s">
        <v>17</v>
      </c>
      <c r="U40" s="21" t="s">
        <v>507</v>
      </c>
      <c r="V40" s="21" t="s">
        <v>17</v>
      </c>
      <c r="W40" s="21" t="s">
        <v>439</v>
      </c>
      <c r="X40" s="21" t="s">
        <v>439</v>
      </c>
    </row>
    <row r="41" spans="1:24" ht="10.5" customHeight="1" x14ac:dyDescent="0.25">
      <c r="A41" s="20">
        <v>46024</v>
      </c>
      <c r="B41" s="21" t="str">
        <f t="shared" si="0"/>
        <v>02/01/2026NL100279</v>
      </c>
      <c r="C41" s="22" t="s">
        <v>509</v>
      </c>
      <c r="D41" s="22" t="s">
        <v>17</v>
      </c>
      <c r="E41" s="22" t="s">
        <v>431</v>
      </c>
      <c r="F41" s="21" t="s">
        <v>432</v>
      </c>
      <c r="G41" s="21" t="s">
        <v>433</v>
      </c>
      <c r="H41" s="21" t="s">
        <v>510</v>
      </c>
      <c r="I41" s="21" t="s">
        <v>403</v>
      </c>
      <c r="J41" s="21" t="s">
        <v>440</v>
      </c>
      <c r="K41" s="21" t="s">
        <v>108</v>
      </c>
      <c r="L41" s="23">
        <v>20</v>
      </c>
      <c r="M41" s="24">
        <v>9000</v>
      </c>
      <c r="N41" s="24">
        <v>0</v>
      </c>
      <c r="O41" s="25">
        <v>180000</v>
      </c>
      <c r="P41" s="25">
        <v>0</v>
      </c>
      <c r="Q41" s="24">
        <v>9000</v>
      </c>
      <c r="R41" s="21" t="s">
        <v>506</v>
      </c>
      <c r="S41" s="21" t="s">
        <v>437</v>
      </c>
      <c r="T41" s="21" t="s">
        <v>17</v>
      </c>
      <c r="U41" s="21" t="s">
        <v>507</v>
      </c>
      <c r="V41" s="21" t="s">
        <v>17</v>
      </c>
      <c r="W41" s="21" t="s">
        <v>439</v>
      </c>
      <c r="X41" s="21" t="s">
        <v>439</v>
      </c>
    </row>
    <row r="42" spans="1:24" ht="10.5" customHeight="1" x14ac:dyDescent="0.25">
      <c r="A42" s="20">
        <v>46024</v>
      </c>
      <c r="B42" s="21" t="str">
        <f t="shared" si="0"/>
        <v>02/01/2026NL300008</v>
      </c>
      <c r="C42" s="22" t="s">
        <v>509</v>
      </c>
      <c r="D42" s="22" t="s">
        <v>17</v>
      </c>
      <c r="E42" s="22" t="s">
        <v>431</v>
      </c>
      <c r="F42" s="21" t="s">
        <v>432</v>
      </c>
      <c r="G42" s="21" t="s">
        <v>433</v>
      </c>
      <c r="H42" s="21" t="s">
        <v>510</v>
      </c>
      <c r="I42" s="21" t="s">
        <v>320</v>
      </c>
      <c r="J42" s="21" t="s">
        <v>445</v>
      </c>
      <c r="K42" s="21" t="s">
        <v>442</v>
      </c>
      <c r="L42" s="23">
        <v>4</v>
      </c>
      <c r="M42" s="24">
        <v>40000</v>
      </c>
      <c r="N42" s="24">
        <v>0</v>
      </c>
      <c r="O42" s="25">
        <v>160000</v>
      </c>
      <c r="P42" s="25">
        <v>0</v>
      </c>
      <c r="Q42" s="24">
        <v>40000</v>
      </c>
      <c r="R42" s="21" t="s">
        <v>506</v>
      </c>
      <c r="S42" s="21" t="s">
        <v>437</v>
      </c>
      <c r="T42" s="21" t="s">
        <v>17</v>
      </c>
      <c r="U42" s="21" t="s">
        <v>507</v>
      </c>
      <c r="V42" s="21" t="s">
        <v>17</v>
      </c>
      <c r="W42" s="21" t="s">
        <v>439</v>
      </c>
      <c r="X42" s="21" t="s">
        <v>439</v>
      </c>
    </row>
    <row r="43" spans="1:24" ht="10.5" customHeight="1" x14ac:dyDescent="0.25">
      <c r="A43" s="20">
        <v>46024</v>
      </c>
      <c r="B43" s="21" t="str">
        <f t="shared" si="0"/>
        <v>02/01/2026NL300038</v>
      </c>
      <c r="C43" s="22" t="s">
        <v>509</v>
      </c>
      <c r="D43" s="22" t="s">
        <v>17</v>
      </c>
      <c r="E43" s="22" t="s">
        <v>431</v>
      </c>
      <c r="F43" s="21" t="s">
        <v>432</v>
      </c>
      <c r="G43" s="21" t="s">
        <v>433</v>
      </c>
      <c r="H43" s="21" t="s">
        <v>510</v>
      </c>
      <c r="I43" s="21" t="s">
        <v>217</v>
      </c>
      <c r="J43" s="21" t="s">
        <v>35</v>
      </c>
      <c r="K43" s="21" t="s">
        <v>442</v>
      </c>
      <c r="L43" s="23">
        <v>2</v>
      </c>
      <c r="M43" s="24">
        <v>32000</v>
      </c>
      <c r="N43" s="24">
        <v>0</v>
      </c>
      <c r="O43" s="25">
        <v>64000</v>
      </c>
      <c r="P43" s="25">
        <v>0</v>
      </c>
      <c r="Q43" s="24">
        <v>32000</v>
      </c>
      <c r="R43" s="21" t="s">
        <v>506</v>
      </c>
      <c r="S43" s="21" t="s">
        <v>437</v>
      </c>
      <c r="T43" s="21" t="s">
        <v>17</v>
      </c>
      <c r="U43" s="21" t="s">
        <v>507</v>
      </c>
      <c r="V43" s="21" t="s">
        <v>17</v>
      </c>
      <c r="W43" s="21" t="s">
        <v>439</v>
      </c>
      <c r="X43" s="21" t="s">
        <v>439</v>
      </c>
    </row>
    <row r="44" spans="1:24" ht="10.5" customHeight="1" x14ac:dyDescent="0.25">
      <c r="A44" s="20">
        <v>46024</v>
      </c>
      <c r="B44" s="21" t="str">
        <f t="shared" si="0"/>
        <v>02/01/2026NL300054</v>
      </c>
      <c r="C44" s="22" t="s">
        <v>509</v>
      </c>
      <c r="D44" s="22" t="s">
        <v>17</v>
      </c>
      <c r="E44" s="22" t="s">
        <v>431</v>
      </c>
      <c r="F44" s="21" t="s">
        <v>432</v>
      </c>
      <c r="G44" s="21" t="s">
        <v>433</v>
      </c>
      <c r="H44" s="21" t="s">
        <v>510</v>
      </c>
      <c r="I44" s="21" t="s">
        <v>216</v>
      </c>
      <c r="J44" s="21" t="s">
        <v>451</v>
      </c>
      <c r="K44" s="21" t="s">
        <v>442</v>
      </c>
      <c r="L44" s="23">
        <v>0.8</v>
      </c>
      <c r="M44" s="24">
        <v>38000</v>
      </c>
      <c r="N44" s="24">
        <v>0</v>
      </c>
      <c r="O44" s="25">
        <v>30400</v>
      </c>
      <c r="P44" s="25">
        <v>0</v>
      </c>
      <c r="Q44" s="24">
        <v>38000</v>
      </c>
      <c r="R44" s="21" t="s">
        <v>506</v>
      </c>
      <c r="S44" s="21" t="s">
        <v>437</v>
      </c>
      <c r="T44" s="21" t="s">
        <v>17</v>
      </c>
      <c r="U44" s="21" t="s">
        <v>507</v>
      </c>
      <c r="V44" s="21" t="s">
        <v>17</v>
      </c>
      <c r="W44" s="21" t="s">
        <v>439</v>
      </c>
      <c r="X44" s="21" t="s">
        <v>439</v>
      </c>
    </row>
    <row r="45" spans="1:24" ht="10.5" customHeight="1" x14ac:dyDescent="0.25">
      <c r="A45" s="20">
        <v>46024</v>
      </c>
      <c r="B45" s="21" t="str">
        <f t="shared" si="0"/>
        <v>02/01/2026NL300058</v>
      </c>
      <c r="C45" s="22" t="s">
        <v>509</v>
      </c>
      <c r="D45" s="22" t="s">
        <v>17</v>
      </c>
      <c r="E45" s="22" t="s">
        <v>431</v>
      </c>
      <c r="F45" s="21" t="s">
        <v>432</v>
      </c>
      <c r="G45" s="21" t="s">
        <v>433</v>
      </c>
      <c r="H45" s="21" t="s">
        <v>510</v>
      </c>
      <c r="I45" s="21" t="s">
        <v>228</v>
      </c>
      <c r="J45" s="21" t="s">
        <v>39</v>
      </c>
      <c r="K45" s="21" t="s">
        <v>442</v>
      </c>
      <c r="L45" s="23">
        <v>1</v>
      </c>
      <c r="M45" s="24">
        <v>55000</v>
      </c>
      <c r="N45" s="24">
        <v>0</v>
      </c>
      <c r="O45" s="25">
        <v>55000</v>
      </c>
      <c r="P45" s="25">
        <v>0</v>
      </c>
      <c r="Q45" s="24">
        <v>55000</v>
      </c>
      <c r="R45" s="21" t="s">
        <v>506</v>
      </c>
      <c r="S45" s="21" t="s">
        <v>437</v>
      </c>
      <c r="T45" s="21" t="s">
        <v>17</v>
      </c>
      <c r="U45" s="21" t="s">
        <v>507</v>
      </c>
      <c r="V45" s="21" t="s">
        <v>17</v>
      </c>
      <c r="W45" s="21" t="s">
        <v>439</v>
      </c>
      <c r="X45" s="21" t="s">
        <v>439</v>
      </c>
    </row>
    <row r="46" spans="1:24" ht="10.5" customHeight="1" x14ac:dyDescent="0.25">
      <c r="A46" s="20">
        <v>46024</v>
      </c>
      <c r="B46" s="21" t="str">
        <f t="shared" si="0"/>
        <v>02/01/2026NL300085</v>
      </c>
      <c r="C46" s="22" t="s">
        <v>509</v>
      </c>
      <c r="D46" s="22" t="s">
        <v>17</v>
      </c>
      <c r="E46" s="22" t="s">
        <v>431</v>
      </c>
      <c r="F46" s="21" t="s">
        <v>432</v>
      </c>
      <c r="G46" s="21" t="s">
        <v>433</v>
      </c>
      <c r="H46" s="21" t="s">
        <v>510</v>
      </c>
      <c r="I46" s="21" t="s">
        <v>263</v>
      </c>
      <c r="J46" s="21" t="s">
        <v>453</v>
      </c>
      <c r="K46" s="21" t="s">
        <v>442</v>
      </c>
      <c r="L46" s="23">
        <v>1.5</v>
      </c>
      <c r="M46" s="24">
        <v>45000</v>
      </c>
      <c r="N46" s="24">
        <v>0</v>
      </c>
      <c r="O46" s="25">
        <v>67500</v>
      </c>
      <c r="P46" s="25">
        <v>0</v>
      </c>
      <c r="Q46" s="24">
        <v>45000</v>
      </c>
      <c r="R46" s="21" t="s">
        <v>506</v>
      </c>
      <c r="S46" s="21" t="s">
        <v>437</v>
      </c>
      <c r="T46" s="21" t="s">
        <v>17</v>
      </c>
      <c r="U46" s="21" t="s">
        <v>507</v>
      </c>
      <c r="V46" s="21" t="s">
        <v>17</v>
      </c>
      <c r="W46" s="21" t="s">
        <v>439</v>
      </c>
      <c r="X46" s="21" t="s">
        <v>439</v>
      </c>
    </row>
    <row r="47" spans="1:24" ht="10.5" customHeight="1" x14ac:dyDescent="0.25">
      <c r="A47" s="20">
        <v>46024</v>
      </c>
      <c r="B47" s="21" t="str">
        <f t="shared" si="0"/>
        <v>02/01/2026NL300091</v>
      </c>
      <c r="C47" s="22" t="s">
        <v>509</v>
      </c>
      <c r="D47" s="22" t="s">
        <v>17</v>
      </c>
      <c r="E47" s="22" t="s">
        <v>431</v>
      </c>
      <c r="F47" s="21" t="s">
        <v>432</v>
      </c>
      <c r="G47" s="21" t="s">
        <v>433</v>
      </c>
      <c r="H47" s="21" t="s">
        <v>510</v>
      </c>
      <c r="I47" s="21" t="s">
        <v>256</v>
      </c>
      <c r="J47" s="21" t="s">
        <v>72</v>
      </c>
      <c r="K47" s="21" t="s">
        <v>442</v>
      </c>
      <c r="L47" s="23">
        <v>0.9</v>
      </c>
      <c r="M47" s="24">
        <v>47000</v>
      </c>
      <c r="N47" s="24">
        <v>0</v>
      </c>
      <c r="O47" s="25">
        <v>42300</v>
      </c>
      <c r="P47" s="25">
        <v>0</v>
      </c>
      <c r="Q47" s="24">
        <v>47000</v>
      </c>
      <c r="R47" s="21" t="s">
        <v>506</v>
      </c>
      <c r="S47" s="21" t="s">
        <v>437</v>
      </c>
      <c r="T47" s="21" t="s">
        <v>17</v>
      </c>
      <c r="U47" s="21" t="s">
        <v>507</v>
      </c>
      <c r="V47" s="21" t="s">
        <v>17</v>
      </c>
      <c r="W47" s="21" t="s">
        <v>439</v>
      </c>
      <c r="X47" s="21" t="s">
        <v>439</v>
      </c>
    </row>
    <row r="48" spans="1:24" ht="10.5" customHeight="1" x14ac:dyDescent="0.25">
      <c r="A48" s="20">
        <v>46024</v>
      </c>
      <c r="B48" s="21" t="str">
        <f t="shared" si="0"/>
        <v>02/01/2026NL300092</v>
      </c>
      <c r="C48" s="22" t="s">
        <v>509</v>
      </c>
      <c r="D48" s="22" t="s">
        <v>17</v>
      </c>
      <c r="E48" s="22" t="s">
        <v>431</v>
      </c>
      <c r="F48" s="21" t="s">
        <v>432</v>
      </c>
      <c r="G48" s="21" t="s">
        <v>433</v>
      </c>
      <c r="H48" s="21" t="s">
        <v>510</v>
      </c>
      <c r="I48" s="21" t="s">
        <v>329</v>
      </c>
      <c r="J48" s="21" t="s">
        <v>74</v>
      </c>
      <c r="K48" s="21" t="s">
        <v>442</v>
      </c>
      <c r="L48" s="23">
        <v>1.2</v>
      </c>
      <c r="M48" s="24">
        <v>90000</v>
      </c>
      <c r="N48" s="24">
        <v>0</v>
      </c>
      <c r="O48" s="25">
        <v>108000</v>
      </c>
      <c r="P48" s="25">
        <v>0</v>
      </c>
      <c r="Q48" s="24">
        <v>90000</v>
      </c>
      <c r="R48" s="21" t="s">
        <v>506</v>
      </c>
      <c r="S48" s="21" t="s">
        <v>437</v>
      </c>
      <c r="T48" s="21" t="s">
        <v>17</v>
      </c>
      <c r="U48" s="21" t="s">
        <v>507</v>
      </c>
      <c r="V48" s="21" t="s">
        <v>17</v>
      </c>
      <c r="W48" s="21" t="s">
        <v>439</v>
      </c>
      <c r="X48" s="21" t="s">
        <v>439</v>
      </c>
    </row>
    <row r="49" spans="1:24" ht="10.5" customHeight="1" x14ac:dyDescent="0.25">
      <c r="A49" s="20">
        <v>46024</v>
      </c>
      <c r="B49" s="21" t="str">
        <f t="shared" si="0"/>
        <v>02/01/2026NL300094</v>
      </c>
      <c r="C49" s="22" t="s">
        <v>509</v>
      </c>
      <c r="D49" s="22" t="s">
        <v>17</v>
      </c>
      <c r="E49" s="22" t="s">
        <v>431</v>
      </c>
      <c r="F49" s="21" t="s">
        <v>432</v>
      </c>
      <c r="G49" s="21" t="s">
        <v>433</v>
      </c>
      <c r="H49" s="21" t="s">
        <v>510</v>
      </c>
      <c r="I49" s="21" t="s">
        <v>257</v>
      </c>
      <c r="J49" s="21" t="s">
        <v>454</v>
      </c>
      <c r="K49" s="21" t="s">
        <v>442</v>
      </c>
      <c r="L49" s="23">
        <v>0.9</v>
      </c>
      <c r="M49" s="24">
        <v>80000</v>
      </c>
      <c r="N49" s="24">
        <v>0</v>
      </c>
      <c r="O49" s="25">
        <v>72000</v>
      </c>
      <c r="P49" s="25">
        <v>0</v>
      </c>
      <c r="Q49" s="24">
        <v>80000</v>
      </c>
      <c r="R49" s="21" t="s">
        <v>506</v>
      </c>
      <c r="S49" s="21" t="s">
        <v>437</v>
      </c>
      <c r="T49" s="21" t="s">
        <v>17</v>
      </c>
      <c r="U49" s="21" t="s">
        <v>507</v>
      </c>
      <c r="V49" s="21" t="s">
        <v>17</v>
      </c>
      <c r="W49" s="21" t="s">
        <v>439</v>
      </c>
      <c r="X49" s="21" t="s">
        <v>439</v>
      </c>
    </row>
    <row r="50" spans="1:24" ht="10.5" customHeight="1" x14ac:dyDescent="0.25">
      <c r="A50" s="20">
        <v>46024</v>
      </c>
      <c r="B50" s="21" t="str">
        <f t="shared" si="0"/>
        <v>02/01/2026NL300096</v>
      </c>
      <c r="C50" s="22" t="s">
        <v>509</v>
      </c>
      <c r="D50" s="22" t="s">
        <v>17</v>
      </c>
      <c r="E50" s="22" t="s">
        <v>431</v>
      </c>
      <c r="F50" s="21" t="s">
        <v>432</v>
      </c>
      <c r="G50" s="21" t="s">
        <v>433</v>
      </c>
      <c r="H50" s="21" t="s">
        <v>510</v>
      </c>
      <c r="I50" s="21" t="s">
        <v>258</v>
      </c>
      <c r="J50" s="21" t="s">
        <v>45</v>
      </c>
      <c r="K50" s="21" t="s">
        <v>442</v>
      </c>
      <c r="L50" s="23">
        <v>3.7</v>
      </c>
      <c r="M50" s="24">
        <v>45000</v>
      </c>
      <c r="N50" s="24">
        <v>0</v>
      </c>
      <c r="O50" s="25">
        <v>166500</v>
      </c>
      <c r="P50" s="25">
        <v>0</v>
      </c>
      <c r="Q50" s="24">
        <v>45000</v>
      </c>
      <c r="R50" s="21" t="s">
        <v>506</v>
      </c>
      <c r="S50" s="21" t="s">
        <v>437</v>
      </c>
      <c r="T50" s="21" t="s">
        <v>17</v>
      </c>
      <c r="U50" s="21" t="s">
        <v>507</v>
      </c>
      <c r="V50" s="21" t="s">
        <v>17</v>
      </c>
      <c r="W50" s="21" t="s">
        <v>439</v>
      </c>
      <c r="X50" s="21" t="s">
        <v>439</v>
      </c>
    </row>
    <row r="51" spans="1:24" ht="10.5" customHeight="1" x14ac:dyDescent="0.25">
      <c r="A51" s="20">
        <v>46024</v>
      </c>
      <c r="B51" s="21" t="str">
        <f t="shared" si="0"/>
        <v>02/01/2026NL300097</v>
      </c>
      <c r="C51" s="22" t="s">
        <v>509</v>
      </c>
      <c r="D51" s="22" t="s">
        <v>17</v>
      </c>
      <c r="E51" s="22" t="s">
        <v>431</v>
      </c>
      <c r="F51" s="21" t="s">
        <v>432</v>
      </c>
      <c r="G51" s="21" t="s">
        <v>433</v>
      </c>
      <c r="H51" s="21" t="s">
        <v>510</v>
      </c>
      <c r="I51" s="21" t="s">
        <v>331</v>
      </c>
      <c r="J51" s="21" t="s">
        <v>443</v>
      </c>
      <c r="K51" s="21" t="s">
        <v>442</v>
      </c>
      <c r="L51" s="23">
        <v>1.3</v>
      </c>
      <c r="M51" s="24">
        <v>90000</v>
      </c>
      <c r="N51" s="24">
        <v>0</v>
      </c>
      <c r="O51" s="25">
        <v>117000</v>
      </c>
      <c r="P51" s="25">
        <v>0</v>
      </c>
      <c r="Q51" s="24">
        <v>90000</v>
      </c>
      <c r="R51" s="21" t="s">
        <v>506</v>
      </c>
      <c r="S51" s="21" t="s">
        <v>437</v>
      </c>
      <c r="T51" s="21" t="s">
        <v>17</v>
      </c>
      <c r="U51" s="21" t="s">
        <v>507</v>
      </c>
      <c r="V51" s="21" t="s">
        <v>17</v>
      </c>
      <c r="W51" s="21" t="s">
        <v>439</v>
      </c>
      <c r="X51" s="21" t="s">
        <v>439</v>
      </c>
    </row>
    <row r="52" spans="1:24" ht="10.5" customHeight="1" x14ac:dyDescent="0.25">
      <c r="A52" s="20">
        <v>46024</v>
      </c>
      <c r="B52" s="21" t="str">
        <f t="shared" si="0"/>
        <v>02/01/2026NL300113</v>
      </c>
      <c r="C52" s="22" t="s">
        <v>509</v>
      </c>
      <c r="D52" s="22" t="s">
        <v>17</v>
      </c>
      <c r="E52" s="22" t="s">
        <v>431</v>
      </c>
      <c r="F52" s="21" t="s">
        <v>432</v>
      </c>
      <c r="G52" s="21" t="s">
        <v>433</v>
      </c>
      <c r="H52" s="21" t="s">
        <v>510</v>
      </c>
      <c r="I52" s="21" t="s">
        <v>271</v>
      </c>
      <c r="J52" s="21" t="s">
        <v>103</v>
      </c>
      <c r="K52" s="21" t="s">
        <v>442</v>
      </c>
      <c r="L52" s="23">
        <v>0.7</v>
      </c>
      <c r="M52" s="24">
        <v>145000</v>
      </c>
      <c r="N52" s="24">
        <v>0</v>
      </c>
      <c r="O52" s="25">
        <v>101500</v>
      </c>
      <c r="P52" s="25">
        <v>0</v>
      </c>
      <c r="Q52" s="24">
        <v>145000</v>
      </c>
      <c r="R52" s="21" t="s">
        <v>506</v>
      </c>
      <c r="S52" s="21" t="s">
        <v>437</v>
      </c>
      <c r="T52" s="21" t="s">
        <v>17</v>
      </c>
      <c r="U52" s="21" t="s">
        <v>507</v>
      </c>
      <c r="V52" s="21" t="s">
        <v>17</v>
      </c>
      <c r="W52" s="21" t="s">
        <v>439</v>
      </c>
      <c r="X52" s="21" t="s">
        <v>439</v>
      </c>
    </row>
    <row r="53" spans="1:24" ht="10.5" customHeight="1" x14ac:dyDescent="0.25">
      <c r="A53" s="20">
        <v>46024</v>
      </c>
      <c r="B53" s="21" t="str">
        <f t="shared" si="0"/>
        <v>02/01/2026NL300142</v>
      </c>
      <c r="C53" s="22" t="s">
        <v>509</v>
      </c>
      <c r="D53" s="22" t="s">
        <v>17</v>
      </c>
      <c r="E53" s="22" t="s">
        <v>431</v>
      </c>
      <c r="F53" s="21" t="s">
        <v>432</v>
      </c>
      <c r="G53" s="21" t="s">
        <v>433</v>
      </c>
      <c r="H53" s="21" t="s">
        <v>510</v>
      </c>
      <c r="I53" s="21" t="s">
        <v>317</v>
      </c>
      <c r="J53" s="21" t="s">
        <v>441</v>
      </c>
      <c r="K53" s="21" t="s">
        <v>442</v>
      </c>
      <c r="L53" s="23">
        <v>2</v>
      </c>
      <c r="M53" s="24">
        <v>50000</v>
      </c>
      <c r="N53" s="24">
        <v>0</v>
      </c>
      <c r="O53" s="25">
        <v>100000</v>
      </c>
      <c r="P53" s="25">
        <v>0</v>
      </c>
      <c r="Q53" s="24">
        <v>50000</v>
      </c>
      <c r="R53" s="21" t="s">
        <v>506</v>
      </c>
      <c r="S53" s="21" t="s">
        <v>437</v>
      </c>
      <c r="T53" s="21" t="s">
        <v>17</v>
      </c>
      <c r="U53" s="21" t="s">
        <v>507</v>
      </c>
      <c r="V53" s="21" t="s">
        <v>17</v>
      </c>
      <c r="W53" s="21" t="s">
        <v>439</v>
      </c>
      <c r="X53" s="21" t="s">
        <v>439</v>
      </c>
    </row>
    <row r="54" spans="1:24" ht="10.5" customHeight="1" x14ac:dyDescent="0.25">
      <c r="A54" s="20">
        <v>46024</v>
      </c>
      <c r="B54" s="21" t="str">
        <f t="shared" si="0"/>
        <v>02/01/2026NL300132</v>
      </c>
      <c r="C54" s="22" t="s">
        <v>509</v>
      </c>
      <c r="D54" s="22" t="s">
        <v>17</v>
      </c>
      <c r="E54" s="22" t="s">
        <v>431</v>
      </c>
      <c r="F54" s="21" t="s">
        <v>432</v>
      </c>
      <c r="G54" s="21" t="s">
        <v>433</v>
      </c>
      <c r="H54" s="21" t="s">
        <v>510</v>
      </c>
      <c r="I54" s="21" t="s">
        <v>285</v>
      </c>
      <c r="J54" s="21" t="s">
        <v>82</v>
      </c>
      <c r="K54" s="21" t="s">
        <v>442</v>
      </c>
      <c r="L54" s="23">
        <v>0.8</v>
      </c>
      <c r="M54" s="24">
        <v>12000</v>
      </c>
      <c r="N54" s="24">
        <v>0</v>
      </c>
      <c r="O54" s="25">
        <v>9600</v>
      </c>
      <c r="P54" s="25">
        <v>0</v>
      </c>
      <c r="Q54" s="24">
        <v>12000</v>
      </c>
      <c r="R54" s="21" t="s">
        <v>506</v>
      </c>
      <c r="S54" s="21" t="s">
        <v>437</v>
      </c>
      <c r="T54" s="21" t="s">
        <v>17</v>
      </c>
      <c r="U54" s="21" t="s">
        <v>507</v>
      </c>
      <c r="V54" s="21" t="s">
        <v>17</v>
      </c>
      <c r="W54" s="21" t="s">
        <v>439</v>
      </c>
      <c r="X54" s="21" t="s">
        <v>439</v>
      </c>
    </row>
    <row r="55" spans="1:24" ht="10.5" customHeight="1" x14ac:dyDescent="0.25">
      <c r="A55" s="20">
        <v>46024</v>
      </c>
      <c r="B55" s="21" t="str">
        <f t="shared" si="0"/>
        <v>02/01/2026NL300137</v>
      </c>
      <c r="C55" s="22" t="s">
        <v>509</v>
      </c>
      <c r="D55" s="22" t="s">
        <v>17</v>
      </c>
      <c r="E55" s="22" t="s">
        <v>431</v>
      </c>
      <c r="F55" s="21" t="s">
        <v>432</v>
      </c>
      <c r="G55" s="21" t="s">
        <v>433</v>
      </c>
      <c r="H55" s="21" t="s">
        <v>510</v>
      </c>
      <c r="I55" s="21" t="s">
        <v>196</v>
      </c>
      <c r="J55" s="21" t="s">
        <v>458</v>
      </c>
      <c r="K55" s="21" t="s">
        <v>442</v>
      </c>
      <c r="L55" s="23">
        <v>2</v>
      </c>
      <c r="M55" s="24">
        <v>52000</v>
      </c>
      <c r="N55" s="24">
        <v>0</v>
      </c>
      <c r="O55" s="25">
        <v>104000</v>
      </c>
      <c r="P55" s="25">
        <v>0</v>
      </c>
      <c r="Q55" s="24">
        <v>52000</v>
      </c>
      <c r="R55" s="21" t="s">
        <v>506</v>
      </c>
      <c r="S55" s="21" t="s">
        <v>437</v>
      </c>
      <c r="T55" s="21" t="s">
        <v>17</v>
      </c>
      <c r="U55" s="21" t="s">
        <v>507</v>
      </c>
      <c r="V55" s="21" t="s">
        <v>17</v>
      </c>
      <c r="W55" s="21" t="s">
        <v>439</v>
      </c>
      <c r="X55" s="21" t="s">
        <v>439</v>
      </c>
    </row>
    <row r="56" spans="1:24" ht="10.5" customHeight="1" x14ac:dyDescent="0.25">
      <c r="A56" s="20">
        <v>46024</v>
      </c>
      <c r="B56" s="21" t="str">
        <f t="shared" si="0"/>
        <v>02/01/2026NL300147</v>
      </c>
      <c r="C56" s="22" t="s">
        <v>509</v>
      </c>
      <c r="D56" s="22" t="s">
        <v>17</v>
      </c>
      <c r="E56" s="22" t="s">
        <v>431</v>
      </c>
      <c r="F56" s="21" t="s">
        <v>432</v>
      </c>
      <c r="G56" s="21" t="s">
        <v>433</v>
      </c>
      <c r="H56" s="21" t="s">
        <v>510</v>
      </c>
      <c r="I56" s="21" t="s">
        <v>300</v>
      </c>
      <c r="J56" s="21" t="s">
        <v>459</v>
      </c>
      <c r="K56" s="21" t="s">
        <v>442</v>
      </c>
      <c r="L56" s="23">
        <v>3</v>
      </c>
      <c r="M56" s="24">
        <v>62000</v>
      </c>
      <c r="N56" s="24">
        <v>0</v>
      </c>
      <c r="O56" s="25">
        <v>186000</v>
      </c>
      <c r="P56" s="25">
        <v>0</v>
      </c>
      <c r="Q56" s="24">
        <v>62000</v>
      </c>
      <c r="R56" s="21" t="s">
        <v>506</v>
      </c>
      <c r="S56" s="21" t="s">
        <v>437</v>
      </c>
      <c r="T56" s="21" t="s">
        <v>17</v>
      </c>
      <c r="U56" s="21" t="s">
        <v>507</v>
      </c>
      <c r="V56" s="21" t="s">
        <v>17</v>
      </c>
      <c r="W56" s="21" t="s">
        <v>439</v>
      </c>
      <c r="X56" s="21" t="s">
        <v>439</v>
      </c>
    </row>
    <row r="57" spans="1:24" ht="10.5" customHeight="1" x14ac:dyDescent="0.25">
      <c r="A57" s="20">
        <v>46024</v>
      </c>
      <c r="B57" s="21" t="str">
        <f t="shared" si="0"/>
        <v>02/01/2026NL300189</v>
      </c>
      <c r="C57" s="22" t="s">
        <v>509</v>
      </c>
      <c r="D57" s="22" t="s">
        <v>17</v>
      </c>
      <c r="E57" s="22" t="s">
        <v>431</v>
      </c>
      <c r="F57" s="21" t="s">
        <v>432</v>
      </c>
      <c r="G57" s="21" t="s">
        <v>433</v>
      </c>
      <c r="H57" s="21" t="s">
        <v>510</v>
      </c>
      <c r="I57" s="21" t="s">
        <v>378</v>
      </c>
      <c r="J57" s="21" t="s">
        <v>19</v>
      </c>
      <c r="K57" s="21" t="s">
        <v>442</v>
      </c>
      <c r="L57" s="23">
        <v>1</v>
      </c>
      <c r="M57" s="24">
        <v>15000</v>
      </c>
      <c r="N57" s="24">
        <v>0</v>
      </c>
      <c r="O57" s="25">
        <v>15000</v>
      </c>
      <c r="P57" s="25">
        <v>0</v>
      </c>
      <c r="Q57" s="24">
        <v>15000</v>
      </c>
      <c r="R57" s="21" t="s">
        <v>506</v>
      </c>
      <c r="S57" s="21" t="s">
        <v>437</v>
      </c>
      <c r="T57" s="21" t="s">
        <v>17</v>
      </c>
      <c r="U57" s="21" t="s">
        <v>507</v>
      </c>
      <c r="V57" s="21" t="s">
        <v>17</v>
      </c>
      <c r="W57" s="21" t="s">
        <v>439</v>
      </c>
      <c r="X57" s="21" t="s">
        <v>439</v>
      </c>
    </row>
    <row r="58" spans="1:24" ht="10.5" customHeight="1" x14ac:dyDescent="0.25">
      <c r="A58" s="20">
        <v>46024</v>
      </c>
      <c r="B58" s="21" t="str">
        <f t="shared" si="0"/>
        <v>02/01/2026NL300088</v>
      </c>
      <c r="C58" s="22" t="s">
        <v>509</v>
      </c>
      <c r="D58" s="22" t="s">
        <v>17</v>
      </c>
      <c r="E58" s="22" t="s">
        <v>431</v>
      </c>
      <c r="F58" s="21" t="s">
        <v>432</v>
      </c>
      <c r="G58" s="21" t="s">
        <v>433</v>
      </c>
      <c r="H58" s="21" t="s">
        <v>510</v>
      </c>
      <c r="I58" s="21" t="s">
        <v>254</v>
      </c>
      <c r="J58" s="21" t="s">
        <v>15</v>
      </c>
      <c r="K58" s="21" t="s">
        <v>442</v>
      </c>
      <c r="L58" s="23">
        <v>3</v>
      </c>
      <c r="M58" s="24">
        <v>27000</v>
      </c>
      <c r="N58" s="24">
        <v>0</v>
      </c>
      <c r="O58" s="25">
        <v>81000</v>
      </c>
      <c r="P58" s="25">
        <v>0</v>
      </c>
      <c r="Q58" s="24">
        <v>27000</v>
      </c>
      <c r="R58" s="21" t="s">
        <v>506</v>
      </c>
      <c r="S58" s="21" t="s">
        <v>437</v>
      </c>
      <c r="T58" s="21" t="s">
        <v>17</v>
      </c>
      <c r="U58" s="21" t="s">
        <v>507</v>
      </c>
      <c r="V58" s="21" t="s">
        <v>17</v>
      </c>
      <c r="W58" s="21" t="s">
        <v>439</v>
      </c>
      <c r="X58" s="21" t="s">
        <v>439</v>
      </c>
    </row>
    <row r="59" spans="1:24" ht="10.5" customHeight="1" x14ac:dyDescent="0.25">
      <c r="A59" s="20">
        <v>46024</v>
      </c>
      <c r="B59" s="21" t="str">
        <f t="shared" si="0"/>
        <v>02/01/2026NL300107</v>
      </c>
      <c r="C59" s="22" t="s">
        <v>509</v>
      </c>
      <c r="D59" s="22" t="s">
        <v>17</v>
      </c>
      <c r="E59" s="22" t="s">
        <v>431</v>
      </c>
      <c r="F59" s="21" t="s">
        <v>432</v>
      </c>
      <c r="G59" s="21" t="s">
        <v>433</v>
      </c>
      <c r="H59" s="21" t="s">
        <v>510</v>
      </c>
      <c r="I59" s="21" t="s">
        <v>193</v>
      </c>
      <c r="J59" s="21" t="s">
        <v>455</v>
      </c>
      <c r="K59" s="21" t="s">
        <v>450</v>
      </c>
      <c r="L59" s="23">
        <v>12</v>
      </c>
      <c r="M59" s="24">
        <v>8500</v>
      </c>
      <c r="N59" s="24">
        <v>0</v>
      </c>
      <c r="O59" s="25">
        <v>102000</v>
      </c>
      <c r="P59" s="25">
        <v>0</v>
      </c>
      <c r="Q59" s="24">
        <v>8500</v>
      </c>
      <c r="R59" s="21" t="s">
        <v>506</v>
      </c>
      <c r="S59" s="21" t="s">
        <v>437</v>
      </c>
      <c r="T59" s="21" t="s">
        <v>17</v>
      </c>
      <c r="U59" s="21" t="s">
        <v>507</v>
      </c>
      <c r="V59" s="21" t="s">
        <v>17</v>
      </c>
      <c r="W59" s="21" t="s">
        <v>439</v>
      </c>
      <c r="X59" s="21" t="s">
        <v>439</v>
      </c>
    </row>
    <row r="60" spans="1:24" ht="10.5" customHeight="1" x14ac:dyDescent="0.25">
      <c r="A60" s="20">
        <v>46024</v>
      </c>
      <c r="B60" s="21" t="str">
        <f t="shared" si="0"/>
        <v>02/01/2026NL300041</v>
      </c>
      <c r="C60" s="22" t="s">
        <v>509</v>
      </c>
      <c r="D60" s="22" t="s">
        <v>17</v>
      </c>
      <c r="E60" s="22" t="s">
        <v>431</v>
      </c>
      <c r="F60" s="21" t="s">
        <v>432</v>
      </c>
      <c r="G60" s="21" t="s">
        <v>433</v>
      </c>
      <c r="H60" s="21" t="s">
        <v>510</v>
      </c>
      <c r="I60" s="21" t="s">
        <v>222</v>
      </c>
      <c r="J60" s="21" t="s">
        <v>449</v>
      </c>
      <c r="K60" s="21" t="s">
        <v>450</v>
      </c>
      <c r="L60" s="23">
        <v>3</v>
      </c>
      <c r="M60" s="24">
        <v>15000</v>
      </c>
      <c r="N60" s="24">
        <v>0</v>
      </c>
      <c r="O60" s="25">
        <v>45000</v>
      </c>
      <c r="P60" s="25">
        <v>0</v>
      </c>
      <c r="Q60" s="24">
        <v>15000</v>
      </c>
      <c r="R60" s="21" t="s">
        <v>506</v>
      </c>
      <c r="S60" s="21" t="s">
        <v>437</v>
      </c>
      <c r="T60" s="21" t="s">
        <v>17</v>
      </c>
      <c r="U60" s="21" t="s">
        <v>507</v>
      </c>
      <c r="V60" s="21" t="s">
        <v>17</v>
      </c>
      <c r="W60" s="21" t="s">
        <v>439</v>
      </c>
      <c r="X60" s="21" t="s">
        <v>439</v>
      </c>
    </row>
    <row r="61" spans="1:24" ht="10.5" customHeight="1" x14ac:dyDescent="0.25">
      <c r="A61" s="20">
        <v>46024</v>
      </c>
      <c r="B61" s="21" t="str">
        <f t="shared" si="0"/>
        <v>02/01/2026NL300090</v>
      </c>
      <c r="C61" s="22" t="s">
        <v>509</v>
      </c>
      <c r="D61" s="22" t="s">
        <v>17</v>
      </c>
      <c r="E61" s="22" t="s">
        <v>431</v>
      </c>
      <c r="F61" s="21" t="s">
        <v>432</v>
      </c>
      <c r="G61" s="21" t="s">
        <v>433</v>
      </c>
      <c r="H61" s="21" t="s">
        <v>510</v>
      </c>
      <c r="I61" s="21" t="s">
        <v>255</v>
      </c>
      <c r="J61" s="21" t="s">
        <v>70</v>
      </c>
      <c r="K61" s="21" t="s">
        <v>442</v>
      </c>
      <c r="L61" s="23">
        <v>2</v>
      </c>
      <c r="M61" s="24">
        <v>145000</v>
      </c>
      <c r="N61" s="24">
        <v>0</v>
      </c>
      <c r="O61" s="25">
        <v>290000</v>
      </c>
      <c r="P61" s="25">
        <v>0</v>
      </c>
      <c r="Q61" s="24">
        <v>145000</v>
      </c>
      <c r="R61" s="21" t="s">
        <v>506</v>
      </c>
      <c r="S61" s="21" t="s">
        <v>437</v>
      </c>
      <c r="T61" s="21" t="s">
        <v>17</v>
      </c>
      <c r="U61" s="21" t="s">
        <v>507</v>
      </c>
      <c r="V61" s="21" t="s">
        <v>17</v>
      </c>
      <c r="W61" s="21" t="s">
        <v>439</v>
      </c>
      <c r="X61" s="21" t="s">
        <v>439</v>
      </c>
    </row>
    <row r="62" spans="1:24" ht="10.5" customHeight="1" x14ac:dyDescent="0.25">
      <c r="A62" s="20">
        <v>46024</v>
      </c>
      <c r="B62" s="21" t="str">
        <f t="shared" si="0"/>
        <v>02/01/2026NL300116</v>
      </c>
      <c r="C62" s="22" t="s">
        <v>509</v>
      </c>
      <c r="D62" s="22" t="s">
        <v>17</v>
      </c>
      <c r="E62" s="22" t="s">
        <v>431</v>
      </c>
      <c r="F62" s="21" t="s">
        <v>432</v>
      </c>
      <c r="G62" s="21" t="s">
        <v>433</v>
      </c>
      <c r="H62" s="21" t="s">
        <v>510</v>
      </c>
      <c r="I62" s="21" t="s">
        <v>315</v>
      </c>
      <c r="J62" s="21" t="s">
        <v>456</v>
      </c>
      <c r="K62" s="21" t="s">
        <v>442</v>
      </c>
      <c r="L62" s="23">
        <v>0.4</v>
      </c>
      <c r="M62" s="24">
        <v>148000</v>
      </c>
      <c r="N62" s="24">
        <v>0</v>
      </c>
      <c r="O62" s="25">
        <v>59200</v>
      </c>
      <c r="P62" s="25">
        <v>0</v>
      </c>
      <c r="Q62" s="24">
        <v>148000</v>
      </c>
      <c r="R62" s="21" t="s">
        <v>506</v>
      </c>
      <c r="S62" s="21" t="s">
        <v>437</v>
      </c>
      <c r="T62" s="21" t="s">
        <v>17</v>
      </c>
      <c r="U62" s="21" t="s">
        <v>507</v>
      </c>
      <c r="V62" s="21" t="s">
        <v>17</v>
      </c>
      <c r="W62" s="21" t="s">
        <v>439</v>
      </c>
      <c r="X62" s="21" t="s">
        <v>439</v>
      </c>
    </row>
    <row r="63" spans="1:24" ht="10.5" customHeight="1" x14ac:dyDescent="0.25">
      <c r="A63" s="20">
        <v>46024</v>
      </c>
      <c r="B63" s="21" t="str">
        <f t="shared" si="0"/>
        <v>02/01/2026NL300025</v>
      </c>
      <c r="C63" s="22" t="s">
        <v>509</v>
      </c>
      <c r="D63" s="22" t="s">
        <v>17</v>
      </c>
      <c r="E63" s="22" t="s">
        <v>431</v>
      </c>
      <c r="F63" s="21" t="s">
        <v>432</v>
      </c>
      <c r="G63" s="21" t="s">
        <v>433</v>
      </c>
      <c r="H63" s="21" t="s">
        <v>510</v>
      </c>
      <c r="I63" s="21" t="s">
        <v>211</v>
      </c>
      <c r="J63" s="21" t="s">
        <v>447</v>
      </c>
      <c r="K63" s="21" t="s">
        <v>442</v>
      </c>
      <c r="L63" s="23">
        <v>0.7</v>
      </c>
      <c r="M63" s="24">
        <v>44000</v>
      </c>
      <c r="N63" s="24">
        <v>0</v>
      </c>
      <c r="O63" s="25">
        <v>30800</v>
      </c>
      <c r="P63" s="25">
        <v>0</v>
      </c>
      <c r="Q63" s="24">
        <v>44000</v>
      </c>
      <c r="R63" s="21" t="s">
        <v>506</v>
      </c>
      <c r="S63" s="21" t="s">
        <v>437</v>
      </c>
      <c r="T63" s="21" t="s">
        <v>17</v>
      </c>
      <c r="U63" s="21" t="s">
        <v>507</v>
      </c>
      <c r="V63" s="21" t="s">
        <v>17</v>
      </c>
      <c r="W63" s="21" t="s">
        <v>439</v>
      </c>
      <c r="X63" s="21" t="s">
        <v>439</v>
      </c>
    </row>
    <row r="64" spans="1:24" ht="10.5" customHeight="1" x14ac:dyDescent="0.25">
      <c r="A64" s="20">
        <v>46024</v>
      </c>
      <c r="B64" s="21" t="str">
        <f t="shared" si="0"/>
        <v>02/01/2026NL300036</v>
      </c>
      <c r="C64" s="22" t="s">
        <v>509</v>
      </c>
      <c r="D64" s="22" t="s">
        <v>17</v>
      </c>
      <c r="E64" s="22" t="s">
        <v>431</v>
      </c>
      <c r="F64" s="21" t="s">
        <v>432</v>
      </c>
      <c r="G64" s="21" t="s">
        <v>433</v>
      </c>
      <c r="H64" s="21" t="s">
        <v>510</v>
      </c>
      <c r="I64" s="21" t="s">
        <v>380</v>
      </c>
      <c r="J64" s="21" t="s">
        <v>96</v>
      </c>
      <c r="K64" s="21" t="s">
        <v>442</v>
      </c>
      <c r="L64" s="23">
        <v>0.4</v>
      </c>
      <c r="M64" s="24">
        <v>47000</v>
      </c>
      <c r="N64" s="24">
        <v>0</v>
      </c>
      <c r="O64" s="25">
        <v>18800</v>
      </c>
      <c r="P64" s="25">
        <v>0</v>
      </c>
      <c r="Q64" s="24">
        <v>47000</v>
      </c>
      <c r="R64" s="21" t="s">
        <v>506</v>
      </c>
      <c r="S64" s="21" t="s">
        <v>437</v>
      </c>
      <c r="T64" s="21" t="s">
        <v>17</v>
      </c>
      <c r="U64" s="21" t="s">
        <v>507</v>
      </c>
      <c r="V64" s="21" t="s">
        <v>17</v>
      </c>
      <c r="W64" s="21" t="s">
        <v>439</v>
      </c>
      <c r="X64" s="21" t="s">
        <v>439</v>
      </c>
    </row>
    <row r="65" spans="1:24" ht="10.5" customHeight="1" x14ac:dyDescent="0.25">
      <c r="A65" s="20">
        <v>46024</v>
      </c>
      <c r="B65" s="21" t="str">
        <f t="shared" si="0"/>
        <v>02/01/2026NL300035</v>
      </c>
      <c r="C65" s="22" t="s">
        <v>509</v>
      </c>
      <c r="D65" s="22" t="s">
        <v>17</v>
      </c>
      <c r="E65" s="22" t="s">
        <v>431</v>
      </c>
      <c r="F65" s="21" t="s">
        <v>432</v>
      </c>
      <c r="G65" s="21" t="s">
        <v>433</v>
      </c>
      <c r="H65" s="21" t="s">
        <v>510</v>
      </c>
      <c r="I65" s="21" t="s">
        <v>383</v>
      </c>
      <c r="J65" s="21" t="s">
        <v>448</v>
      </c>
      <c r="K65" s="21" t="s">
        <v>442</v>
      </c>
      <c r="L65" s="23">
        <v>0.2</v>
      </c>
      <c r="M65" s="24">
        <v>25000</v>
      </c>
      <c r="N65" s="24">
        <v>0</v>
      </c>
      <c r="O65" s="25">
        <v>5000</v>
      </c>
      <c r="P65" s="25">
        <v>0</v>
      </c>
      <c r="Q65" s="24">
        <v>25000</v>
      </c>
      <c r="R65" s="21" t="s">
        <v>506</v>
      </c>
      <c r="S65" s="21" t="s">
        <v>437</v>
      </c>
      <c r="T65" s="21" t="s">
        <v>17</v>
      </c>
      <c r="U65" s="21" t="s">
        <v>507</v>
      </c>
      <c r="V65" s="21" t="s">
        <v>17</v>
      </c>
      <c r="W65" s="21" t="s">
        <v>439</v>
      </c>
      <c r="X65" s="21" t="s">
        <v>439</v>
      </c>
    </row>
    <row r="66" spans="1:24" ht="10.5" customHeight="1" x14ac:dyDescent="0.25">
      <c r="A66" s="20">
        <v>46024</v>
      </c>
      <c r="B66" s="21" t="str">
        <f t="shared" si="0"/>
        <v>02/01/2026NL300101</v>
      </c>
      <c r="C66" s="22" t="s">
        <v>509</v>
      </c>
      <c r="D66" s="22" t="s">
        <v>17</v>
      </c>
      <c r="E66" s="22" t="s">
        <v>431</v>
      </c>
      <c r="F66" s="21" t="s">
        <v>432</v>
      </c>
      <c r="G66" s="21" t="s">
        <v>433</v>
      </c>
      <c r="H66" s="21" t="s">
        <v>510</v>
      </c>
      <c r="I66" s="21" t="s">
        <v>343</v>
      </c>
      <c r="J66" s="21" t="s">
        <v>480</v>
      </c>
      <c r="K66" s="21" t="s">
        <v>442</v>
      </c>
      <c r="L66" s="23">
        <v>0.8</v>
      </c>
      <c r="M66" s="24">
        <v>195000</v>
      </c>
      <c r="N66" s="24">
        <v>0</v>
      </c>
      <c r="O66" s="25">
        <v>156000</v>
      </c>
      <c r="P66" s="25">
        <v>0</v>
      </c>
      <c r="Q66" s="24">
        <v>195000</v>
      </c>
      <c r="R66" s="21" t="s">
        <v>506</v>
      </c>
      <c r="S66" s="21" t="s">
        <v>437</v>
      </c>
      <c r="T66" s="21" t="s">
        <v>17</v>
      </c>
      <c r="U66" s="21" t="s">
        <v>507</v>
      </c>
      <c r="V66" s="21" t="s">
        <v>17</v>
      </c>
      <c r="W66" s="21" t="s">
        <v>439</v>
      </c>
      <c r="X66" s="21" t="s">
        <v>439</v>
      </c>
    </row>
    <row r="67" spans="1:24" ht="10.5" customHeight="1" x14ac:dyDescent="0.25">
      <c r="A67" s="20">
        <v>46024</v>
      </c>
      <c r="B67" s="21" t="str">
        <f t="shared" ref="B67:B130" si="1">"0"&amp;DAY(A67)&amp;"/01/2026"&amp;I67</f>
        <v>02/01/2026NL600004</v>
      </c>
      <c r="C67" s="22" t="s">
        <v>509</v>
      </c>
      <c r="D67" s="22" t="s">
        <v>17</v>
      </c>
      <c r="E67" s="22" t="s">
        <v>431</v>
      </c>
      <c r="F67" s="21" t="s">
        <v>432</v>
      </c>
      <c r="G67" s="21" t="s">
        <v>433</v>
      </c>
      <c r="H67" s="21" t="s">
        <v>510</v>
      </c>
      <c r="I67" s="21" t="s">
        <v>225</v>
      </c>
      <c r="J67" s="21" t="s">
        <v>37</v>
      </c>
      <c r="K67" s="21" t="s">
        <v>442</v>
      </c>
      <c r="L67" s="23">
        <v>22</v>
      </c>
      <c r="M67" s="24">
        <v>18000</v>
      </c>
      <c r="N67" s="24">
        <v>0</v>
      </c>
      <c r="O67" s="25">
        <v>396000</v>
      </c>
      <c r="P67" s="25">
        <v>0</v>
      </c>
      <c r="Q67" s="24">
        <v>18000</v>
      </c>
      <c r="R67" s="21" t="s">
        <v>506</v>
      </c>
      <c r="S67" s="21" t="s">
        <v>437</v>
      </c>
      <c r="T67" s="21" t="s">
        <v>17</v>
      </c>
      <c r="U67" s="21" t="s">
        <v>507</v>
      </c>
      <c r="V67" s="21" t="s">
        <v>17</v>
      </c>
      <c r="W67" s="21" t="s">
        <v>439</v>
      </c>
      <c r="X67" s="21" t="s">
        <v>439</v>
      </c>
    </row>
    <row r="68" spans="1:24" ht="10.5" customHeight="1" x14ac:dyDescent="0.25">
      <c r="A68" s="20">
        <v>46024</v>
      </c>
      <c r="B68" s="21" t="str">
        <f t="shared" si="1"/>
        <v>02/01/2026NL300125</v>
      </c>
      <c r="C68" s="22" t="s">
        <v>509</v>
      </c>
      <c r="D68" s="22" t="s">
        <v>17</v>
      </c>
      <c r="E68" s="22" t="s">
        <v>431</v>
      </c>
      <c r="F68" s="21" t="s">
        <v>432</v>
      </c>
      <c r="G68" s="21" t="s">
        <v>433</v>
      </c>
      <c r="H68" s="21" t="s">
        <v>510</v>
      </c>
      <c r="I68" s="21" t="s">
        <v>337</v>
      </c>
      <c r="J68" s="21" t="s">
        <v>146</v>
      </c>
      <c r="K68" s="21" t="s">
        <v>442</v>
      </c>
      <c r="L68" s="23">
        <v>0.5</v>
      </c>
      <c r="M68" s="24">
        <v>42000</v>
      </c>
      <c r="N68" s="24">
        <v>0</v>
      </c>
      <c r="O68" s="25">
        <v>21000</v>
      </c>
      <c r="P68" s="25">
        <v>0</v>
      </c>
      <c r="Q68" s="24">
        <v>42000</v>
      </c>
      <c r="R68" s="21" t="s">
        <v>506</v>
      </c>
      <c r="S68" s="21" t="s">
        <v>437</v>
      </c>
      <c r="T68" s="21" t="s">
        <v>17</v>
      </c>
      <c r="U68" s="21" t="s">
        <v>507</v>
      </c>
      <c r="V68" s="21" t="s">
        <v>17</v>
      </c>
      <c r="W68" s="21" t="s">
        <v>439</v>
      </c>
      <c r="X68" s="21" t="s">
        <v>439</v>
      </c>
    </row>
    <row r="69" spans="1:24" ht="10.5" customHeight="1" x14ac:dyDescent="0.25">
      <c r="A69" s="20">
        <v>46024</v>
      </c>
      <c r="B69" s="21" t="str">
        <f t="shared" si="1"/>
        <v>02/01/2026NL300029</v>
      </c>
      <c r="C69" s="22" t="s">
        <v>509</v>
      </c>
      <c r="D69" s="22" t="s">
        <v>17</v>
      </c>
      <c r="E69" s="22" t="s">
        <v>431</v>
      </c>
      <c r="F69" s="21" t="s">
        <v>432</v>
      </c>
      <c r="G69" s="21" t="s">
        <v>433</v>
      </c>
      <c r="H69" s="21" t="s">
        <v>510</v>
      </c>
      <c r="I69" s="21" t="s">
        <v>213</v>
      </c>
      <c r="J69" s="21" t="s">
        <v>469</v>
      </c>
      <c r="K69" s="21" t="s">
        <v>442</v>
      </c>
      <c r="L69" s="23">
        <v>0.5</v>
      </c>
      <c r="M69" s="24">
        <v>22000</v>
      </c>
      <c r="N69" s="24">
        <v>0</v>
      </c>
      <c r="O69" s="25">
        <v>11000</v>
      </c>
      <c r="P69" s="25">
        <v>0</v>
      </c>
      <c r="Q69" s="24">
        <v>22000</v>
      </c>
      <c r="R69" s="21" t="s">
        <v>506</v>
      </c>
      <c r="S69" s="21" t="s">
        <v>437</v>
      </c>
      <c r="T69" s="21" t="s">
        <v>17</v>
      </c>
      <c r="U69" s="21" t="s">
        <v>507</v>
      </c>
      <c r="V69" s="21" t="s">
        <v>17</v>
      </c>
      <c r="W69" s="21" t="s">
        <v>439</v>
      </c>
      <c r="X69" s="21" t="s">
        <v>439</v>
      </c>
    </row>
    <row r="70" spans="1:24" ht="10.5" customHeight="1" x14ac:dyDescent="0.25">
      <c r="A70" s="20">
        <v>46024</v>
      </c>
      <c r="B70" s="21" t="str">
        <f t="shared" si="1"/>
        <v>02/01/2026NL100101</v>
      </c>
      <c r="C70" s="22" t="s">
        <v>511</v>
      </c>
      <c r="D70" s="22" t="s">
        <v>17</v>
      </c>
      <c r="E70" s="22" t="s">
        <v>431</v>
      </c>
      <c r="F70" s="21" t="s">
        <v>432</v>
      </c>
      <c r="G70" s="21" t="s">
        <v>433</v>
      </c>
      <c r="H70" s="21" t="s">
        <v>510</v>
      </c>
      <c r="I70" s="21" t="s">
        <v>344</v>
      </c>
      <c r="J70" s="21" t="s">
        <v>107</v>
      </c>
      <c r="K70" s="21" t="s">
        <v>435</v>
      </c>
      <c r="L70" s="23">
        <v>80</v>
      </c>
      <c r="M70" s="24">
        <v>5000</v>
      </c>
      <c r="N70" s="24">
        <v>0</v>
      </c>
      <c r="O70" s="25">
        <v>400000</v>
      </c>
      <c r="P70" s="25">
        <v>0</v>
      </c>
      <c r="Q70" s="24">
        <v>5000</v>
      </c>
      <c r="R70" s="21" t="s">
        <v>506</v>
      </c>
      <c r="S70" s="21" t="s">
        <v>437</v>
      </c>
      <c r="T70" s="21" t="s">
        <v>17</v>
      </c>
      <c r="U70" s="21" t="s">
        <v>507</v>
      </c>
      <c r="V70" s="21" t="s">
        <v>17</v>
      </c>
      <c r="W70" s="21" t="s">
        <v>439</v>
      </c>
      <c r="X70" s="21" t="s">
        <v>439</v>
      </c>
    </row>
    <row r="71" spans="1:24" ht="10.5" customHeight="1" x14ac:dyDescent="0.25">
      <c r="A71" s="20">
        <v>46025</v>
      </c>
      <c r="B71" s="21" t="str">
        <f t="shared" si="1"/>
        <v>03/01/2026NL300007</v>
      </c>
      <c r="C71" s="22" t="s">
        <v>512</v>
      </c>
      <c r="D71" s="22" t="s">
        <v>17</v>
      </c>
      <c r="E71" s="22" t="s">
        <v>431</v>
      </c>
      <c r="F71" s="21" t="s">
        <v>432</v>
      </c>
      <c r="G71" s="21" t="s">
        <v>433</v>
      </c>
      <c r="H71" s="21" t="s">
        <v>513</v>
      </c>
      <c r="I71" s="21" t="s">
        <v>309</v>
      </c>
      <c r="J71" s="21" t="s">
        <v>444</v>
      </c>
      <c r="K71" s="21" t="s">
        <v>442</v>
      </c>
      <c r="L71" s="23">
        <v>3</v>
      </c>
      <c r="M71" s="24">
        <v>30000</v>
      </c>
      <c r="N71" s="24">
        <v>0</v>
      </c>
      <c r="O71" s="25">
        <v>90000</v>
      </c>
      <c r="P71" s="25">
        <v>0</v>
      </c>
      <c r="Q71" s="24">
        <v>30000</v>
      </c>
      <c r="R71" s="21" t="s">
        <v>506</v>
      </c>
      <c r="S71" s="21" t="s">
        <v>437</v>
      </c>
      <c r="T71" s="21" t="s">
        <v>17</v>
      </c>
      <c r="U71" s="21" t="s">
        <v>507</v>
      </c>
      <c r="V71" s="21" t="s">
        <v>17</v>
      </c>
      <c r="W71" s="21" t="s">
        <v>439</v>
      </c>
      <c r="X71" s="21" t="s">
        <v>439</v>
      </c>
    </row>
    <row r="72" spans="1:24" ht="10.5" customHeight="1" x14ac:dyDescent="0.25">
      <c r="A72" s="20">
        <v>46025</v>
      </c>
      <c r="B72" s="21" t="str">
        <f t="shared" si="1"/>
        <v>03/01/2026NL300008</v>
      </c>
      <c r="C72" s="22" t="s">
        <v>512</v>
      </c>
      <c r="D72" s="22" t="s">
        <v>17</v>
      </c>
      <c r="E72" s="22" t="s">
        <v>431</v>
      </c>
      <c r="F72" s="21" t="s">
        <v>432</v>
      </c>
      <c r="G72" s="21" t="s">
        <v>433</v>
      </c>
      <c r="H72" s="21" t="s">
        <v>513</v>
      </c>
      <c r="I72" s="21" t="s">
        <v>320</v>
      </c>
      <c r="J72" s="21" t="s">
        <v>445</v>
      </c>
      <c r="K72" s="21" t="s">
        <v>442</v>
      </c>
      <c r="L72" s="23">
        <v>15</v>
      </c>
      <c r="M72" s="24">
        <v>40000</v>
      </c>
      <c r="N72" s="24">
        <v>0</v>
      </c>
      <c r="O72" s="25">
        <v>600000</v>
      </c>
      <c r="P72" s="25">
        <v>0</v>
      </c>
      <c r="Q72" s="24">
        <v>40000</v>
      </c>
      <c r="R72" s="21" t="s">
        <v>506</v>
      </c>
      <c r="S72" s="21" t="s">
        <v>437</v>
      </c>
      <c r="T72" s="21" t="s">
        <v>17</v>
      </c>
      <c r="U72" s="21" t="s">
        <v>507</v>
      </c>
      <c r="V72" s="21" t="s">
        <v>17</v>
      </c>
      <c r="W72" s="21" t="s">
        <v>439</v>
      </c>
      <c r="X72" s="21" t="s">
        <v>439</v>
      </c>
    </row>
    <row r="73" spans="1:24" ht="10.5" customHeight="1" x14ac:dyDescent="0.25">
      <c r="A73" s="20">
        <v>46025</v>
      </c>
      <c r="B73" s="21" t="str">
        <f t="shared" si="1"/>
        <v>03/01/2026NL300028</v>
      </c>
      <c r="C73" s="22" t="s">
        <v>512</v>
      </c>
      <c r="D73" s="22" t="s">
        <v>17</v>
      </c>
      <c r="E73" s="22" t="s">
        <v>431</v>
      </c>
      <c r="F73" s="21" t="s">
        <v>432</v>
      </c>
      <c r="G73" s="21" t="s">
        <v>433</v>
      </c>
      <c r="H73" s="21" t="s">
        <v>513</v>
      </c>
      <c r="I73" s="21" t="s">
        <v>325</v>
      </c>
      <c r="J73" s="21" t="s">
        <v>27</v>
      </c>
      <c r="K73" s="21" t="s">
        <v>442</v>
      </c>
      <c r="L73" s="23">
        <v>0.4</v>
      </c>
      <c r="M73" s="24">
        <v>75000</v>
      </c>
      <c r="N73" s="24">
        <v>0</v>
      </c>
      <c r="O73" s="25">
        <v>30000</v>
      </c>
      <c r="P73" s="25">
        <v>0</v>
      </c>
      <c r="Q73" s="24">
        <v>75000</v>
      </c>
      <c r="R73" s="21" t="s">
        <v>506</v>
      </c>
      <c r="S73" s="21" t="s">
        <v>437</v>
      </c>
      <c r="T73" s="21" t="s">
        <v>17</v>
      </c>
      <c r="U73" s="21" t="s">
        <v>507</v>
      </c>
      <c r="V73" s="21" t="s">
        <v>17</v>
      </c>
      <c r="W73" s="21" t="s">
        <v>439</v>
      </c>
      <c r="X73" s="21" t="s">
        <v>439</v>
      </c>
    </row>
    <row r="74" spans="1:24" ht="10.5" customHeight="1" x14ac:dyDescent="0.25">
      <c r="A74" s="20">
        <v>46025</v>
      </c>
      <c r="B74" s="21" t="str">
        <f t="shared" si="1"/>
        <v>03/01/2026NL300020</v>
      </c>
      <c r="C74" s="22" t="s">
        <v>512</v>
      </c>
      <c r="D74" s="22" t="s">
        <v>17</v>
      </c>
      <c r="E74" s="22" t="s">
        <v>431</v>
      </c>
      <c r="F74" s="21" t="s">
        <v>432</v>
      </c>
      <c r="G74" s="21" t="s">
        <v>433</v>
      </c>
      <c r="H74" s="21" t="s">
        <v>513</v>
      </c>
      <c r="I74" s="21" t="s">
        <v>326</v>
      </c>
      <c r="J74" s="21" t="s">
        <v>446</v>
      </c>
      <c r="K74" s="21" t="s">
        <v>442</v>
      </c>
      <c r="L74" s="23">
        <v>1</v>
      </c>
      <c r="M74" s="24">
        <v>30000</v>
      </c>
      <c r="N74" s="24">
        <v>0</v>
      </c>
      <c r="O74" s="25">
        <v>30000</v>
      </c>
      <c r="P74" s="25">
        <v>0</v>
      </c>
      <c r="Q74" s="24">
        <v>30000</v>
      </c>
      <c r="R74" s="21" t="s">
        <v>506</v>
      </c>
      <c r="S74" s="21" t="s">
        <v>437</v>
      </c>
      <c r="T74" s="21" t="s">
        <v>17</v>
      </c>
      <c r="U74" s="21" t="s">
        <v>507</v>
      </c>
      <c r="V74" s="21" t="s">
        <v>17</v>
      </c>
      <c r="W74" s="21" t="s">
        <v>439</v>
      </c>
      <c r="X74" s="21" t="s">
        <v>439</v>
      </c>
    </row>
    <row r="75" spans="1:24" ht="10.5" customHeight="1" x14ac:dyDescent="0.25">
      <c r="A75" s="20">
        <v>46025</v>
      </c>
      <c r="B75" s="21" t="str">
        <f t="shared" si="1"/>
        <v>03/01/2026NL300038</v>
      </c>
      <c r="C75" s="22" t="s">
        <v>512</v>
      </c>
      <c r="D75" s="22" t="s">
        <v>17</v>
      </c>
      <c r="E75" s="22" t="s">
        <v>431</v>
      </c>
      <c r="F75" s="21" t="s">
        <v>432</v>
      </c>
      <c r="G75" s="21" t="s">
        <v>433</v>
      </c>
      <c r="H75" s="21" t="s">
        <v>513</v>
      </c>
      <c r="I75" s="21" t="s">
        <v>217</v>
      </c>
      <c r="J75" s="21" t="s">
        <v>35</v>
      </c>
      <c r="K75" s="21" t="s">
        <v>442</v>
      </c>
      <c r="L75" s="23">
        <v>2.5</v>
      </c>
      <c r="M75" s="24">
        <v>32000</v>
      </c>
      <c r="N75" s="24">
        <v>0</v>
      </c>
      <c r="O75" s="25">
        <v>80000</v>
      </c>
      <c r="P75" s="25">
        <v>0</v>
      </c>
      <c r="Q75" s="24">
        <v>32000</v>
      </c>
      <c r="R75" s="21" t="s">
        <v>506</v>
      </c>
      <c r="S75" s="21" t="s">
        <v>437</v>
      </c>
      <c r="T75" s="21" t="s">
        <v>17</v>
      </c>
      <c r="U75" s="21" t="s">
        <v>507</v>
      </c>
      <c r="V75" s="21" t="s">
        <v>17</v>
      </c>
      <c r="W75" s="21" t="s">
        <v>439</v>
      </c>
      <c r="X75" s="21" t="s">
        <v>439</v>
      </c>
    </row>
    <row r="76" spans="1:24" ht="10.5" customHeight="1" x14ac:dyDescent="0.25">
      <c r="A76" s="20">
        <v>46025</v>
      </c>
      <c r="B76" s="21" t="str">
        <f t="shared" si="1"/>
        <v>03/01/2026NL300054</v>
      </c>
      <c r="C76" s="22" t="s">
        <v>512</v>
      </c>
      <c r="D76" s="22" t="s">
        <v>17</v>
      </c>
      <c r="E76" s="22" t="s">
        <v>431</v>
      </c>
      <c r="F76" s="21" t="s">
        <v>432</v>
      </c>
      <c r="G76" s="21" t="s">
        <v>433</v>
      </c>
      <c r="H76" s="21" t="s">
        <v>513</v>
      </c>
      <c r="I76" s="21" t="s">
        <v>216</v>
      </c>
      <c r="J76" s="21" t="s">
        <v>451</v>
      </c>
      <c r="K76" s="21" t="s">
        <v>442</v>
      </c>
      <c r="L76" s="23">
        <v>1.8</v>
      </c>
      <c r="M76" s="24">
        <v>38000</v>
      </c>
      <c r="N76" s="24">
        <v>0</v>
      </c>
      <c r="O76" s="25">
        <v>68400</v>
      </c>
      <c r="P76" s="25">
        <v>0</v>
      </c>
      <c r="Q76" s="24">
        <v>38000</v>
      </c>
      <c r="R76" s="21" t="s">
        <v>506</v>
      </c>
      <c r="S76" s="21" t="s">
        <v>437</v>
      </c>
      <c r="T76" s="21" t="s">
        <v>17</v>
      </c>
      <c r="U76" s="21" t="s">
        <v>507</v>
      </c>
      <c r="V76" s="21" t="s">
        <v>17</v>
      </c>
      <c r="W76" s="21" t="s">
        <v>439</v>
      </c>
      <c r="X76" s="21" t="s">
        <v>439</v>
      </c>
    </row>
    <row r="77" spans="1:24" ht="10.5" customHeight="1" x14ac:dyDescent="0.25">
      <c r="A77" s="20">
        <v>46025</v>
      </c>
      <c r="B77" s="21" t="str">
        <f t="shared" si="1"/>
        <v>03/01/2026NL300058</v>
      </c>
      <c r="C77" s="22" t="s">
        <v>512</v>
      </c>
      <c r="D77" s="22" t="s">
        <v>17</v>
      </c>
      <c r="E77" s="22" t="s">
        <v>431</v>
      </c>
      <c r="F77" s="21" t="s">
        <v>432</v>
      </c>
      <c r="G77" s="21" t="s">
        <v>433</v>
      </c>
      <c r="H77" s="21" t="s">
        <v>513</v>
      </c>
      <c r="I77" s="21" t="s">
        <v>228</v>
      </c>
      <c r="J77" s="21" t="s">
        <v>39</v>
      </c>
      <c r="K77" s="21" t="s">
        <v>442</v>
      </c>
      <c r="L77" s="23">
        <v>2</v>
      </c>
      <c r="M77" s="24">
        <v>55000</v>
      </c>
      <c r="N77" s="24">
        <v>0</v>
      </c>
      <c r="O77" s="25">
        <v>110000</v>
      </c>
      <c r="P77" s="25">
        <v>0</v>
      </c>
      <c r="Q77" s="24">
        <v>55000</v>
      </c>
      <c r="R77" s="21" t="s">
        <v>506</v>
      </c>
      <c r="S77" s="21" t="s">
        <v>437</v>
      </c>
      <c r="T77" s="21" t="s">
        <v>17</v>
      </c>
      <c r="U77" s="21" t="s">
        <v>507</v>
      </c>
      <c r="V77" s="21" t="s">
        <v>17</v>
      </c>
      <c r="W77" s="21" t="s">
        <v>439</v>
      </c>
      <c r="X77" s="21" t="s">
        <v>439</v>
      </c>
    </row>
    <row r="78" spans="1:24" ht="10.5" customHeight="1" x14ac:dyDescent="0.25">
      <c r="A78" s="20">
        <v>46025</v>
      </c>
      <c r="B78" s="21" t="str">
        <f t="shared" si="1"/>
        <v>03/01/2026NL300085</v>
      </c>
      <c r="C78" s="22" t="s">
        <v>512</v>
      </c>
      <c r="D78" s="22" t="s">
        <v>17</v>
      </c>
      <c r="E78" s="22" t="s">
        <v>431</v>
      </c>
      <c r="F78" s="21" t="s">
        <v>432</v>
      </c>
      <c r="G78" s="21" t="s">
        <v>433</v>
      </c>
      <c r="H78" s="21" t="s">
        <v>513</v>
      </c>
      <c r="I78" s="21" t="s">
        <v>263</v>
      </c>
      <c r="J78" s="21" t="s">
        <v>453</v>
      </c>
      <c r="K78" s="21" t="s">
        <v>442</v>
      </c>
      <c r="L78" s="23">
        <v>2</v>
      </c>
      <c r="M78" s="24">
        <v>45000</v>
      </c>
      <c r="N78" s="24">
        <v>0</v>
      </c>
      <c r="O78" s="25">
        <v>90000</v>
      </c>
      <c r="P78" s="25">
        <v>0</v>
      </c>
      <c r="Q78" s="24">
        <v>45000</v>
      </c>
      <c r="R78" s="21" t="s">
        <v>506</v>
      </c>
      <c r="S78" s="21" t="s">
        <v>437</v>
      </c>
      <c r="T78" s="21" t="s">
        <v>17</v>
      </c>
      <c r="U78" s="21" t="s">
        <v>507</v>
      </c>
      <c r="V78" s="21" t="s">
        <v>17</v>
      </c>
      <c r="W78" s="21" t="s">
        <v>439</v>
      </c>
      <c r="X78" s="21" t="s">
        <v>439</v>
      </c>
    </row>
    <row r="79" spans="1:24" ht="10.5" customHeight="1" x14ac:dyDescent="0.25">
      <c r="A79" s="20">
        <v>46025</v>
      </c>
      <c r="B79" s="21" t="str">
        <f t="shared" si="1"/>
        <v>03/01/2026NL300091</v>
      </c>
      <c r="C79" s="22" t="s">
        <v>512</v>
      </c>
      <c r="D79" s="22" t="s">
        <v>17</v>
      </c>
      <c r="E79" s="22" t="s">
        <v>431</v>
      </c>
      <c r="F79" s="21" t="s">
        <v>432</v>
      </c>
      <c r="G79" s="21" t="s">
        <v>433</v>
      </c>
      <c r="H79" s="21" t="s">
        <v>513</v>
      </c>
      <c r="I79" s="21" t="s">
        <v>256</v>
      </c>
      <c r="J79" s="21" t="s">
        <v>72</v>
      </c>
      <c r="K79" s="21" t="s">
        <v>442</v>
      </c>
      <c r="L79" s="23">
        <v>1.9</v>
      </c>
      <c r="M79" s="24">
        <v>47000</v>
      </c>
      <c r="N79" s="24">
        <v>0</v>
      </c>
      <c r="O79" s="25">
        <v>89300</v>
      </c>
      <c r="P79" s="25">
        <v>0</v>
      </c>
      <c r="Q79" s="24">
        <v>47000</v>
      </c>
      <c r="R79" s="21" t="s">
        <v>506</v>
      </c>
      <c r="S79" s="21" t="s">
        <v>437</v>
      </c>
      <c r="T79" s="21" t="s">
        <v>17</v>
      </c>
      <c r="U79" s="21" t="s">
        <v>507</v>
      </c>
      <c r="V79" s="21" t="s">
        <v>17</v>
      </c>
      <c r="W79" s="21" t="s">
        <v>439</v>
      </c>
      <c r="X79" s="21" t="s">
        <v>439</v>
      </c>
    </row>
    <row r="80" spans="1:24" ht="10.5" customHeight="1" x14ac:dyDescent="0.25">
      <c r="A80" s="20">
        <v>46025</v>
      </c>
      <c r="B80" s="21" t="str">
        <f t="shared" si="1"/>
        <v>03/01/2026NL300092</v>
      </c>
      <c r="C80" s="22" t="s">
        <v>512</v>
      </c>
      <c r="D80" s="22" t="s">
        <v>17</v>
      </c>
      <c r="E80" s="22" t="s">
        <v>431</v>
      </c>
      <c r="F80" s="21" t="s">
        <v>432</v>
      </c>
      <c r="G80" s="21" t="s">
        <v>433</v>
      </c>
      <c r="H80" s="21" t="s">
        <v>513</v>
      </c>
      <c r="I80" s="21" t="s">
        <v>329</v>
      </c>
      <c r="J80" s="21" t="s">
        <v>74</v>
      </c>
      <c r="K80" s="21" t="s">
        <v>442</v>
      </c>
      <c r="L80" s="23">
        <v>2.2000000000000002</v>
      </c>
      <c r="M80" s="24">
        <v>90000</v>
      </c>
      <c r="N80" s="24">
        <v>0</v>
      </c>
      <c r="O80" s="25">
        <v>198000</v>
      </c>
      <c r="P80" s="25">
        <v>0</v>
      </c>
      <c r="Q80" s="24">
        <v>90000</v>
      </c>
      <c r="R80" s="21" t="s">
        <v>506</v>
      </c>
      <c r="S80" s="21" t="s">
        <v>437</v>
      </c>
      <c r="T80" s="21" t="s">
        <v>17</v>
      </c>
      <c r="U80" s="21" t="s">
        <v>507</v>
      </c>
      <c r="V80" s="21" t="s">
        <v>17</v>
      </c>
      <c r="W80" s="21" t="s">
        <v>439</v>
      </c>
      <c r="X80" s="21" t="s">
        <v>439</v>
      </c>
    </row>
    <row r="81" spans="1:24" ht="10.5" customHeight="1" x14ac:dyDescent="0.25">
      <c r="A81" s="20">
        <v>46025</v>
      </c>
      <c r="B81" s="21" t="str">
        <f t="shared" si="1"/>
        <v>03/01/2026NL300094</v>
      </c>
      <c r="C81" s="22" t="s">
        <v>512</v>
      </c>
      <c r="D81" s="22" t="s">
        <v>17</v>
      </c>
      <c r="E81" s="22" t="s">
        <v>431</v>
      </c>
      <c r="F81" s="21" t="s">
        <v>432</v>
      </c>
      <c r="G81" s="21" t="s">
        <v>433</v>
      </c>
      <c r="H81" s="21" t="s">
        <v>513</v>
      </c>
      <c r="I81" s="21" t="s">
        <v>257</v>
      </c>
      <c r="J81" s="21" t="s">
        <v>454</v>
      </c>
      <c r="K81" s="21" t="s">
        <v>442</v>
      </c>
      <c r="L81" s="23">
        <v>0.9</v>
      </c>
      <c r="M81" s="24">
        <v>80000</v>
      </c>
      <c r="N81" s="24">
        <v>0</v>
      </c>
      <c r="O81" s="25">
        <v>72000</v>
      </c>
      <c r="P81" s="25">
        <v>0</v>
      </c>
      <c r="Q81" s="24">
        <v>80000</v>
      </c>
      <c r="R81" s="21" t="s">
        <v>506</v>
      </c>
      <c r="S81" s="21" t="s">
        <v>437</v>
      </c>
      <c r="T81" s="21" t="s">
        <v>17</v>
      </c>
      <c r="U81" s="21" t="s">
        <v>507</v>
      </c>
      <c r="V81" s="21" t="s">
        <v>17</v>
      </c>
      <c r="W81" s="21" t="s">
        <v>439</v>
      </c>
      <c r="X81" s="21" t="s">
        <v>439</v>
      </c>
    </row>
    <row r="82" spans="1:24" ht="10.5" customHeight="1" x14ac:dyDescent="0.25">
      <c r="A82" s="20">
        <v>46025</v>
      </c>
      <c r="B82" s="21" t="str">
        <f t="shared" si="1"/>
        <v>03/01/2026NL300096</v>
      </c>
      <c r="C82" s="22" t="s">
        <v>512</v>
      </c>
      <c r="D82" s="22" t="s">
        <v>17</v>
      </c>
      <c r="E82" s="22" t="s">
        <v>431</v>
      </c>
      <c r="F82" s="21" t="s">
        <v>432</v>
      </c>
      <c r="G82" s="21" t="s">
        <v>433</v>
      </c>
      <c r="H82" s="21" t="s">
        <v>513</v>
      </c>
      <c r="I82" s="21" t="s">
        <v>258</v>
      </c>
      <c r="J82" s="21" t="s">
        <v>45</v>
      </c>
      <c r="K82" s="21" t="s">
        <v>442</v>
      </c>
      <c r="L82" s="23">
        <v>4.5</v>
      </c>
      <c r="M82" s="24">
        <v>45000</v>
      </c>
      <c r="N82" s="24">
        <v>0</v>
      </c>
      <c r="O82" s="25">
        <v>202500</v>
      </c>
      <c r="P82" s="25">
        <v>0</v>
      </c>
      <c r="Q82" s="24">
        <v>45000</v>
      </c>
      <c r="R82" s="21" t="s">
        <v>506</v>
      </c>
      <c r="S82" s="21" t="s">
        <v>437</v>
      </c>
      <c r="T82" s="21" t="s">
        <v>17</v>
      </c>
      <c r="U82" s="21" t="s">
        <v>507</v>
      </c>
      <c r="V82" s="21" t="s">
        <v>17</v>
      </c>
      <c r="W82" s="21" t="s">
        <v>439</v>
      </c>
      <c r="X82" s="21" t="s">
        <v>439</v>
      </c>
    </row>
    <row r="83" spans="1:24" ht="10.5" customHeight="1" x14ac:dyDescent="0.25">
      <c r="A83" s="20">
        <v>46025</v>
      </c>
      <c r="B83" s="21" t="str">
        <f t="shared" si="1"/>
        <v>03/01/2026NL300142</v>
      </c>
      <c r="C83" s="22" t="s">
        <v>512</v>
      </c>
      <c r="D83" s="22" t="s">
        <v>17</v>
      </c>
      <c r="E83" s="22" t="s">
        <v>431</v>
      </c>
      <c r="F83" s="21" t="s">
        <v>432</v>
      </c>
      <c r="G83" s="21" t="s">
        <v>433</v>
      </c>
      <c r="H83" s="21" t="s">
        <v>513</v>
      </c>
      <c r="I83" s="21" t="s">
        <v>317</v>
      </c>
      <c r="J83" s="21" t="s">
        <v>441</v>
      </c>
      <c r="K83" s="21" t="s">
        <v>442</v>
      </c>
      <c r="L83" s="23">
        <v>2</v>
      </c>
      <c r="M83" s="24">
        <v>50000</v>
      </c>
      <c r="N83" s="24">
        <v>0</v>
      </c>
      <c r="O83" s="25">
        <v>100000</v>
      </c>
      <c r="P83" s="25">
        <v>0</v>
      </c>
      <c r="Q83" s="24">
        <v>50000</v>
      </c>
      <c r="R83" s="21" t="s">
        <v>506</v>
      </c>
      <c r="S83" s="21" t="s">
        <v>437</v>
      </c>
      <c r="T83" s="21" t="s">
        <v>17</v>
      </c>
      <c r="U83" s="21" t="s">
        <v>507</v>
      </c>
      <c r="V83" s="21" t="s">
        <v>17</v>
      </c>
      <c r="W83" s="21" t="s">
        <v>439</v>
      </c>
      <c r="X83" s="21" t="s">
        <v>439</v>
      </c>
    </row>
    <row r="84" spans="1:24" ht="10.5" customHeight="1" x14ac:dyDescent="0.25">
      <c r="A84" s="20">
        <v>46025</v>
      </c>
      <c r="B84" s="21" t="str">
        <f t="shared" si="1"/>
        <v>03/01/2026NL300137</v>
      </c>
      <c r="C84" s="22" t="s">
        <v>512</v>
      </c>
      <c r="D84" s="22" t="s">
        <v>17</v>
      </c>
      <c r="E84" s="22" t="s">
        <v>431</v>
      </c>
      <c r="F84" s="21" t="s">
        <v>432</v>
      </c>
      <c r="G84" s="21" t="s">
        <v>433</v>
      </c>
      <c r="H84" s="21" t="s">
        <v>513</v>
      </c>
      <c r="I84" s="21" t="s">
        <v>196</v>
      </c>
      <c r="J84" s="21" t="s">
        <v>458</v>
      </c>
      <c r="K84" s="21" t="s">
        <v>442</v>
      </c>
      <c r="L84" s="23">
        <v>3</v>
      </c>
      <c r="M84" s="24">
        <v>52000</v>
      </c>
      <c r="N84" s="24">
        <v>0</v>
      </c>
      <c r="O84" s="25">
        <v>156000</v>
      </c>
      <c r="P84" s="25">
        <v>0</v>
      </c>
      <c r="Q84" s="24">
        <v>52000</v>
      </c>
      <c r="R84" s="21" t="s">
        <v>506</v>
      </c>
      <c r="S84" s="21" t="s">
        <v>437</v>
      </c>
      <c r="T84" s="21" t="s">
        <v>17</v>
      </c>
      <c r="U84" s="21" t="s">
        <v>507</v>
      </c>
      <c r="V84" s="21" t="s">
        <v>17</v>
      </c>
      <c r="W84" s="21" t="s">
        <v>439</v>
      </c>
      <c r="X84" s="21" t="s">
        <v>439</v>
      </c>
    </row>
    <row r="85" spans="1:24" ht="10.5" customHeight="1" x14ac:dyDescent="0.25">
      <c r="A85" s="20">
        <v>46025</v>
      </c>
      <c r="B85" s="21" t="str">
        <f t="shared" si="1"/>
        <v>03/01/2026NL300147</v>
      </c>
      <c r="C85" s="22" t="s">
        <v>512</v>
      </c>
      <c r="D85" s="22" t="s">
        <v>17</v>
      </c>
      <c r="E85" s="22" t="s">
        <v>431</v>
      </c>
      <c r="F85" s="21" t="s">
        <v>432</v>
      </c>
      <c r="G85" s="21" t="s">
        <v>433</v>
      </c>
      <c r="H85" s="21" t="s">
        <v>513</v>
      </c>
      <c r="I85" s="21" t="s">
        <v>300</v>
      </c>
      <c r="J85" s="21" t="s">
        <v>459</v>
      </c>
      <c r="K85" s="21" t="s">
        <v>442</v>
      </c>
      <c r="L85" s="23">
        <v>3</v>
      </c>
      <c r="M85" s="24">
        <v>62000</v>
      </c>
      <c r="N85" s="24">
        <v>0</v>
      </c>
      <c r="O85" s="25">
        <v>186000</v>
      </c>
      <c r="P85" s="25">
        <v>0</v>
      </c>
      <c r="Q85" s="24">
        <v>62000</v>
      </c>
      <c r="R85" s="21" t="s">
        <v>506</v>
      </c>
      <c r="S85" s="21" t="s">
        <v>437</v>
      </c>
      <c r="T85" s="21" t="s">
        <v>17</v>
      </c>
      <c r="U85" s="21" t="s">
        <v>507</v>
      </c>
      <c r="V85" s="21" t="s">
        <v>17</v>
      </c>
      <c r="W85" s="21" t="s">
        <v>439</v>
      </c>
      <c r="X85" s="21" t="s">
        <v>439</v>
      </c>
    </row>
    <row r="86" spans="1:24" ht="10.5" customHeight="1" x14ac:dyDescent="0.25">
      <c r="A86" s="20">
        <v>46025</v>
      </c>
      <c r="B86" s="21" t="str">
        <f t="shared" si="1"/>
        <v>03/01/2026NL300189</v>
      </c>
      <c r="C86" s="22" t="s">
        <v>512</v>
      </c>
      <c r="D86" s="22" t="s">
        <v>17</v>
      </c>
      <c r="E86" s="22" t="s">
        <v>431</v>
      </c>
      <c r="F86" s="21" t="s">
        <v>432</v>
      </c>
      <c r="G86" s="21" t="s">
        <v>433</v>
      </c>
      <c r="H86" s="21" t="s">
        <v>513</v>
      </c>
      <c r="I86" s="21" t="s">
        <v>378</v>
      </c>
      <c r="J86" s="21" t="s">
        <v>19</v>
      </c>
      <c r="K86" s="21" t="s">
        <v>442</v>
      </c>
      <c r="L86" s="23">
        <v>1</v>
      </c>
      <c r="M86" s="24">
        <v>15000</v>
      </c>
      <c r="N86" s="24">
        <v>0</v>
      </c>
      <c r="O86" s="25">
        <v>15000</v>
      </c>
      <c r="P86" s="25">
        <v>0</v>
      </c>
      <c r="Q86" s="24">
        <v>15000</v>
      </c>
      <c r="R86" s="21" t="s">
        <v>506</v>
      </c>
      <c r="S86" s="21" t="s">
        <v>437</v>
      </c>
      <c r="T86" s="21" t="s">
        <v>17</v>
      </c>
      <c r="U86" s="21" t="s">
        <v>507</v>
      </c>
      <c r="V86" s="21" t="s">
        <v>17</v>
      </c>
      <c r="W86" s="21" t="s">
        <v>439</v>
      </c>
      <c r="X86" s="21" t="s">
        <v>439</v>
      </c>
    </row>
    <row r="87" spans="1:24" ht="10.5" customHeight="1" x14ac:dyDescent="0.25">
      <c r="A87" s="20">
        <v>46025</v>
      </c>
      <c r="B87" s="21" t="str">
        <f t="shared" si="1"/>
        <v>03/01/2026NL300119</v>
      </c>
      <c r="C87" s="22" t="s">
        <v>512</v>
      </c>
      <c r="D87" s="22" t="s">
        <v>17</v>
      </c>
      <c r="E87" s="22" t="s">
        <v>431</v>
      </c>
      <c r="F87" s="21" t="s">
        <v>432</v>
      </c>
      <c r="G87" s="21" t="s">
        <v>433</v>
      </c>
      <c r="H87" s="21" t="s">
        <v>513</v>
      </c>
      <c r="I87" s="21" t="s">
        <v>310</v>
      </c>
      <c r="J87" s="21" t="s">
        <v>460</v>
      </c>
      <c r="K87" s="21" t="s">
        <v>442</v>
      </c>
      <c r="L87" s="23">
        <v>1.5</v>
      </c>
      <c r="M87" s="24">
        <v>21000</v>
      </c>
      <c r="N87" s="24">
        <v>0</v>
      </c>
      <c r="O87" s="25">
        <v>31500</v>
      </c>
      <c r="P87" s="25">
        <v>0</v>
      </c>
      <c r="Q87" s="24">
        <v>21000</v>
      </c>
      <c r="R87" s="21" t="s">
        <v>506</v>
      </c>
      <c r="S87" s="21" t="s">
        <v>437</v>
      </c>
      <c r="T87" s="21" t="s">
        <v>17</v>
      </c>
      <c r="U87" s="21" t="s">
        <v>507</v>
      </c>
      <c r="V87" s="21" t="s">
        <v>17</v>
      </c>
      <c r="W87" s="21" t="s">
        <v>439</v>
      </c>
      <c r="X87" s="21" t="s">
        <v>439</v>
      </c>
    </row>
    <row r="88" spans="1:24" ht="10.5" customHeight="1" x14ac:dyDescent="0.25">
      <c r="A88" s="20">
        <v>46025</v>
      </c>
      <c r="B88" s="21" t="str">
        <f t="shared" si="1"/>
        <v>03/01/2026NL300061</v>
      </c>
      <c r="C88" s="22" t="s">
        <v>512</v>
      </c>
      <c r="D88" s="22" t="s">
        <v>17</v>
      </c>
      <c r="E88" s="22" t="s">
        <v>431</v>
      </c>
      <c r="F88" s="21" t="s">
        <v>432</v>
      </c>
      <c r="G88" s="21" t="s">
        <v>433</v>
      </c>
      <c r="H88" s="21" t="s">
        <v>513</v>
      </c>
      <c r="I88" s="21" t="s">
        <v>352</v>
      </c>
      <c r="J88" s="21" t="s">
        <v>477</v>
      </c>
      <c r="K88" s="21" t="s">
        <v>442</v>
      </c>
      <c r="L88" s="23">
        <v>0.4</v>
      </c>
      <c r="M88" s="24">
        <v>38000</v>
      </c>
      <c r="N88" s="24">
        <v>0</v>
      </c>
      <c r="O88" s="25">
        <v>15200</v>
      </c>
      <c r="P88" s="25">
        <v>0</v>
      </c>
      <c r="Q88" s="24">
        <v>38000</v>
      </c>
      <c r="R88" s="21" t="s">
        <v>506</v>
      </c>
      <c r="S88" s="21" t="s">
        <v>437</v>
      </c>
      <c r="T88" s="21" t="s">
        <v>17</v>
      </c>
      <c r="U88" s="21" t="s">
        <v>507</v>
      </c>
      <c r="V88" s="21" t="s">
        <v>17</v>
      </c>
      <c r="W88" s="21" t="s">
        <v>439</v>
      </c>
      <c r="X88" s="21" t="s">
        <v>439</v>
      </c>
    </row>
    <row r="89" spans="1:24" ht="10.5" customHeight="1" x14ac:dyDescent="0.25">
      <c r="A89" s="20">
        <v>46025</v>
      </c>
      <c r="B89" s="21" t="str">
        <f t="shared" si="1"/>
        <v>03/01/2026NL300088</v>
      </c>
      <c r="C89" s="22" t="s">
        <v>512</v>
      </c>
      <c r="D89" s="22" t="s">
        <v>17</v>
      </c>
      <c r="E89" s="22" t="s">
        <v>431</v>
      </c>
      <c r="F89" s="21" t="s">
        <v>432</v>
      </c>
      <c r="G89" s="21" t="s">
        <v>433</v>
      </c>
      <c r="H89" s="21" t="s">
        <v>513</v>
      </c>
      <c r="I89" s="21" t="s">
        <v>254</v>
      </c>
      <c r="J89" s="21" t="s">
        <v>15</v>
      </c>
      <c r="K89" s="21" t="s">
        <v>442</v>
      </c>
      <c r="L89" s="23">
        <v>4</v>
      </c>
      <c r="M89" s="24">
        <v>27000</v>
      </c>
      <c r="N89" s="24">
        <v>0</v>
      </c>
      <c r="O89" s="25">
        <v>108000</v>
      </c>
      <c r="P89" s="25">
        <v>0</v>
      </c>
      <c r="Q89" s="24">
        <v>27000</v>
      </c>
      <c r="R89" s="21" t="s">
        <v>506</v>
      </c>
      <c r="S89" s="21" t="s">
        <v>437</v>
      </c>
      <c r="T89" s="21" t="s">
        <v>17</v>
      </c>
      <c r="U89" s="21" t="s">
        <v>507</v>
      </c>
      <c r="V89" s="21" t="s">
        <v>17</v>
      </c>
      <c r="W89" s="21" t="s">
        <v>439</v>
      </c>
      <c r="X89" s="21" t="s">
        <v>439</v>
      </c>
    </row>
    <row r="90" spans="1:24" ht="10.5" customHeight="1" x14ac:dyDescent="0.25">
      <c r="A90" s="20">
        <v>46025</v>
      </c>
      <c r="B90" s="21" t="str">
        <f t="shared" si="1"/>
        <v>03/01/2026NL300107</v>
      </c>
      <c r="C90" s="22" t="s">
        <v>512</v>
      </c>
      <c r="D90" s="22" t="s">
        <v>17</v>
      </c>
      <c r="E90" s="22" t="s">
        <v>431</v>
      </c>
      <c r="F90" s="21" t="s">
        <v>432</v>
      </c>
      <c r="G90" s="21" t="s">
        <v>433</v>
      </c>
      <c r="H90" s="21" t="s">
        <v>513</v>
      </c>
      <c r="I90" s="21" t="s">
        <v>193</v>
      </c>
      <c r="J90" s="21" t="s">
        <v>455</v>
      </c>
      <c r="K90" s="21" t="s">
        <v>450</v>
      </c>
      <c r="L90" s="23">
        <v>12</v>
      </c>
      <c r="M90" s="24">
        <v>8500</v>
      </c>
      <c r="N90" s="24">
        <v>0</v>
      </c>
      <c r="O90" s="25">
        <v>102000</v>
      </c>
      <c r="P90" s="25">
        <v>0</v>
      </c>
      <c r="Q90" s="24">
        <v>8500</v>
      </c>
      <c r="R90" s="21" t="s">
        <v>506</v>
      </c>
      <c r="S90" s="21" t="s">
        <v>437</v>
      </c>
      <c r="T90" s="21" t="s">
        <v>17</v>
      </c>
      <c r="U90" s="21" t="s">
        <v>507</v>
      </c>
      <c r="V90" s="21" t="s">
        <v>17</v>
      </c>
      <c r="W90" s="21" t="s">
        <v>439</v>
      </c>
      <c r="X90" s="21" t="s">
        <v>439</v>
      </c>
    </row>
    <row r="91" spans="1:24" ht="10.5" customHeight="1" x14ac:dyDescent="0.25">
      <c r="A91" s="20">
        <v>46025</v>
      </c>
      <c r="B91" s="21" t="str">
        <f t="shared" si="1"/>
        <v>03/01/2026NL300041</v>
      </c>
      <c r="C91" s="22" t="s">
        <v>512</v>
      </c>
      <c r="D91" s="22" t="s">
        <v>17</v>
      </c>
      <c r="E91" s="22" t="s">
        <v>431</v>
      </c>
      <c r="F91" s="21" t="s">
        <v>432</v>
      </c>
      <c r="G91" s="21" t="s">
        <v>433</v>
      </c>
      <c r="H91" s="21" t="s">
        <v>513</v>
      </c>
      <c r="I91" s="21" t="s">
        <v>222</v>
      </c>
      <c r="J91" s="21" t="s">
        <v>449</v>
      </c>
      <c r="K91" s="21" t="s">
        <v>450</v>
      </c>
      <c r="L91" s="23">
        <v>6</v>
      </c>
      <c r="M91" s="24">
        <v>15000</v>
      </c>
      <c r="N91" s="24">
        <v>0</v>
      </c>
      <c r="O91" s="25">
        <v>90000</v>
      </c>
      <c r="P91" s="25">
        <v>0</v>
      </c>
      <c r="Q91" s="24">
        <v>15000</v>
      </c>
      <c r="R91" s="21" t="s">
        <v>506</v>
      </c>
      <c r="S91" s="21" t="s">
        <v>437</v>
      </c>
      <c r="T91" s="21" t="s">
        <v>17</v>
      </c>
      <c r="U91" s="21" t="s">
        <v>507</v>
      </c>
      <c r="V91" s="21" t="s">
        <v>17</v>
      </c>
      <c r="W91" s="21" t="s">
        <v>439</v>
      </c>
      <c r="X91" s="21" t="s">
        <v>439</v>
      </c>
    </row>
    <row r="92" spans="1:24" ht="10.5" customHeight="1" x14ac:dyDescent="0.25">
      <c r="A92" s="20">
        <v>46025</v>
      </c>
      <c r="B92" s="21" t="str">
        <f t="shared" si="1"/>
        <v>03/01/2026NL300090</v>
      </c>
      <c r="C92" s="22" t="s">
        <v>512</v>
      </c>
      <c r="D92" s="22" t="s">
        <v>17</v>
      </c>
      <c r="E92" s="22" t="s">
        <v>431</v>
      </c>
      <c r="F92" s="21" t="s">
        <v>432</v>
      </c>
      <c r="G92" s="21" t="s">
        <v>433</v>
      </c>
      <c r="H92" s="21" t="s">
        <v>513</v>
      </c>
      <c r="I92" s="21" t="s">
        <v>255</v>
      </c>
      <c r="J92" s="21" t="s">
        <v>70</v>
      </c>
      <c r="K92" s="21" t="s">
        <v>442</v>
      </c>
      <c r="L92" s="23">
        <v>2</v>
      </c>
      <c r="M92" s="24">
        <v>145000</v>
      </c>
      <c r="N92" s="24">
        <v>0</v>
      </c>
      <c r="O92" s="25">
        <v>290000</v>
      </c>
      <c r="P92" s="25">
        <v>0</v>
      </c>
      <c r="Q92" s="24">
        <v>145000</v>
      </c>
      <c r="R92" s="21" t="s">
        <v>506</v>
      </c>
      <c r="S92" s="21" t="s">
        <v>437</v>
      </c>
      <c r="T92" s="21" t="s">
        <v>17</v>
      </c>
      <c r="U92" s="21" t="s">
        <v>507</v>
      </c>
      <c r="V92" s="21" t="s">
        <v>17</v>
      </c>
      <c r="W92" s="21" t="s">
        <v>439</v>
      </c>
      <c r="X92" s="21" t="s">
        <v>439</v>
      </c>
    </row>
    <row r="93" spans="1:24" ht="10.5" customHeight="1" x14ac:dyDescent="0.25">
      <c r="A93" s="20">
        <v>46025</v>
      </c>
      <c r="B93" s="21" t="str">
        <f t="shared" si="1"/>
        <v>03/01/2026NL300116</v>
      </c>
      <c r="C93" s="22" t="s">
        <v>512</v>
      </c>
      <c r="D93" s="22" t="s">
        <v>17</v>
      </c>
      <c r="E93" s="22" t="s">
        <v>431</v>
      </c>
      <c r="F93" s="21" t="s">
        <v>432</v>
      </c>
      <c r="G93" s="21" t="s">
        <v>433</v>
      </c>
      <c r="H93" s="21" t="s">
        <v>513</v>
      </c>
      <c r="I93" s="21" t="s">
        <v>315</v>
      </c>
      <c r="J93" s="21" t="s">
        <v>456</v>
      </c>
      <c r="K93" s="21" t="s">
        <v>442</v>
      </c>
      <c r="L93" s="23">
        <v>0.4</v>
      </c>
      <c r="M93" s="24">
        <v>148000</v>
      </c>
      <c r="N93" s="24">
        <v>0</v>
      </c>
      <c r="O93" s="25">
        <v>59200</v>
      </c>
      <c r="P93" s="25">
        <v>0</v>
      </c>
      <c r="Q93" s="24">
        <v>148000</v>
      </c>
      <c r="R93" s="21" t="s">
        <v>506</v>
      </c>
      <c r="S93" s="21" t="s">
        <v>437</v>
      </c>
      <c r="T93" s="21" t="s">
        <v>17</v>
      </c>
      <c r="U93" s="21" t="s">
        <v>507</v>
      </c>
      <c r="V93" s="21" t="s">
        <v>17</v>
      </c>
      <c r="W93" s="21" t="s">
        <v>439</v>
      </c>
      <c r="X93" s="21" t="s">
        <v>439</v>
      </c>
    </row>
    <row r="94" spans="1:24" ht="10.5" customHeight="1" x14ac:dyDescent="0.25">
      <c r="A94" s="20">
        <v>46025</v>
      </c>
      <c r="B94" s="21" t="str">
        <f t="shared" si="1"/>
        <v>03/01/2026NL300036</v>
      </c>
      <c r="C94" s="22" t="s">
        <v>512</v>
      </c>
      <c r="D94" s="22" t="s">
        <v>17</v>
      </c>
      <c r="E94" s="22" t="s">
        <v>431</v>
      </c>
      <c r="F94" s="21" t="s">
        <v>432</v>
      </c>
      <c r="G94" s="21" t="s">
        <v>433</v>
      </c>
      <c r="H94" s="21" t="s">
        <v>513</v>
      </c>
      <c r="I94" s="21" t="s">
        <v>380</v>
      </c>
      <c r="J94" s="21" t="s">
        <v>96</v>
      </c>
      <c r="K94" s="21" t="s">
        <v>442</v>
      </c>
      <c r="L94" s="23">
        <v>1.2</v>
      </c>
      <c r="M94" s="24">
        <v>47000</v>
      </c>
      <c r="N94" s="24">
        <v>0</v>
      </c>
      <c r="O94" s="25">
        <v>56400</v>
      </c>
      <c r="P94" s="25">
        <v>0</v>
      </c>
      <c r="Q94" s="24">
        <v>47000</v>
      </c>
      <c r="R94" s="21" t="s">
        <v>506</v>
      </c>
      <c r="S94" s="21" t="s">
        <v>437</v>
      </c>
      <c r="T94" s="21" t="s">
        <v>17</v>
      </c>
      <c r="U94" s="21" t="s">
        <v>507</v>
      </c>
      <c r="V94" s="21" t="s">
        <v>17</v>
      </c>
      <c r="W94" s="21" t="s">
        <v>439</v>
      </c>
      <c r="X94" s="21" t="s">
        <v>439</v>
      </c>
    </row>
    <row r="95" spans="1:24" ht="10.5" customHeight="1" x14ac:dyDescent="0.25">
      <c r="A95" s="20">
        <v>46025</v>
      </c>
      <c r="B95" s="21" t="str">
        <f t="shared" si="1"/>
        <v>03/01/2026NL100279</v>
      </c>
      <c r="C95" s="22" t="s">
        <v>512</v>
      </c>
      <c r="D95" s="22" t="s">
        <v>17</v>
      </c>
      <c r="E95" s="22" t="s">
        <v>431</v>
      </c>
      <c r="F95" s="21" t="s">
        <v>432</v>
      </c>
      <c r="G95" s="21" t="s">
        <v>433</v>
      </c>
      <c r="H95" s="21" t="s">
        <v>513</v>
      </c>
      <c r="I95" s="21" t="s">
        <v>403</v>
      </c>
      <c r="J95" s="21" t="s">
        <v>440</v>
      </c>
      <c r="K95" s="21" t="s">
        <v>108</v>
      </c>
      <c r="L95" s="23">
        <v>38</v>
      </c>
      <c r="M95" s="24">
        <v>9000</v>
      </c>
      <c r="N95" s="24">
        <v>0</v>
      </c>
      <c r="O95" s="25">
        <v>342000</v>
      </c>
      <c r="P95" s="25">
        <v>0</v>
      </c>
      <c r="Q95" s="24">
        <v>9000</v>
      </c>
      <c r="R95" s="21" t="s">
        <v>506</v>
      </c>
      <c r="S95" s="21" t="s">
        <v>437</v>
      </c>
      <c r="T95" s="21" t="s">
        <v>17</v>
      </c>
      <c r="U95" s="21" t="s">
        <v>507</v>
      </c>
      <c r="V95" s="21" t="s">
        <v>17</v>
      </c>
      <c r="W95" s="21" t="s">
        <v>439</v>
      </c>
      <c r="X95" s="21" t="s">
        <v>439</v>
      </c>
    </row>
    <row r="96" spans="1:24" ht="10.5" customHeight="1" x14ac:dyDescent="0.25">
      <c r="A96" s="20">
        <v>46025</v>
      </c>
      <c r="B96" s="21" t="str">
        <f t="shared" si="1"/>
        <v>03/01/2026NL600004</v>
      </c>
      <c r="C96" s="22" t="s">
        <v>512</v>
      </c>
      <c r="D96" s="22" t="s">
        <v>17</v>
      </c>
      <c r="E96" s="22" t="s">
        <v>431</v>
      </c>
      <c r="F96" s="21" t="s">
        <v>432</v>
      </c>
      <c r="G96" s="21" t="s">
        <v>433</v>
      </c>
      <c r="H96" s="21" t="s">
        <v>513</v>
      </c>
      <c r="I96" s="21" t="s">
        <v>225</v>
      </c>
      <c r="J96" s="21" t="s">
        <v>37</v>
      </c>
      <c r="K96" s="21" t="s">
        <v>442</v>
      </c>
      <c r="L96" s="23">
        <v>16</v>
      </c>
      <c r="M96" s="24">
        <v>18000</v>
      </c>
      <c r="N96" s="24">
        <v>0</v>
      </c>
      <c r="O96" s="25">
        <v>288000</v>
      </c>
      <c r="P96" s="25">
        <v>0</v>
      </c>
      <c r="Q96" s="24">
        <v>18000</v>
      </c>
      <c r="R96" s="21" t="s">
        <v>506</v>
      </c>
      <c r="S96" s="21" t="s">
        <v>437</v>
      </c>
      <c r="T96" s="21" t="s">
        <v>17</v>
      </c>
      <c r="U96" s="21" t="s">
        <v>507</v>
      </c>
      <c r="V96" s="21" t="s">
        <v>17</v>
      </c>
      <c r="W96" s="21" t="s">
        <v>439</v>
      </c>
      <c r="X96" s="21" t="s">
        <v>439</v>
      </c>
    </row>
    <row r="97" spans="1:24" ht="10.5" customHeight="1" x14ac:dyDescent="0.25">
      <c r="A97" s="20">
        <v>46025</v>
      </c>
      <c r="B97" s="21" t="str">
        <f t="shared" si="1"/>
        <v>03/01/2026NL300131</v>
      </c>
      <c r="C97" s="22" t="s">
        <v>512</v>
      </c>
      <c r="D97" s="22" t="s">
        <v>17</v>
      </c>
      <c r="E97" s="22" t="s">
        <v>431</v>
      </c>
      <c r="F97" s="21" t="s">
        <v>432</v>
      </c>
      <c r="G97" s="21" t="s">
        <v>433</v>
      </c>
      <c r="H97" s="21" t="s">
        <v>513</v>
      </c>
      <c r="I97" s="21" t="s">
        <v>340</v>
      </c>
      <c r="J97" s="21" t="s">
        <v>88</v>
      </c>
      <c r="K97" s="21" t="s">
        <v>442</v>
      </c>
      <c r="L97" s="23">
        <v>0.1</v>
      </c>
      <c r="M97" s="24">
        <v>220000</v>
      </c>
      <c r="N97" s="24">
        <v>0</v>
      </c>
      <c r="O97" s="25">
        <v>22000</v>
      </c>
      <c r="P97" s="25">
        <v>0</v>
      </c>
      <c r="Q97" s="24">
        <v>220000</v>
      </c>
      <c r="R97" s="21" t="s">
        <v>506</v>
      </c>
      <c r="S97" s="21" t="s">
        <v>437</v>
      </c>
      <c r="T97" s="21" t="s">
        <v>17</v>
      </c>
      <c r="U97" s="21" t="s">
        <v>507</v>
      </c>
      <c r="V97" s="21" t="s">
        <v>17</v>
      </c>
      <c r="W97" s="21" t="s">
        <v>439</v>
      </c>
      <c r="X97" s="21" t="s">
        <v>439</v>
      </c>
    </row>
    <row r="98" spans="1:24" ht="10.5" customHeight="1" x14ac:dyDescent="0.25">
      <c r="A98" s="20">
        <v>46025</v>
      </c>
      <c r="B98" s="21" t="str">
        <f t="shared" si="1"/>
        <v>03/01/2026NL300062</v>
      </c>
      <c r="C98" s="22" t="s">
        <v>512</v>
      </c>
      <c r="D98" s="22" t="s">
        <v>17</v>
      </c>
      <c r="E98" s="22" t="s">
        <v>431</v>
      </c>
      <c r="F98" s="21" t="s">
        <v>432</v>
      </c>
      <c r="G98" s="21" t="s">
        <v>433</v>
      </c>
      <c r="H98" s="21" t="s">
        <v>513</v>
      </c>
      <c r="I98" s="21" t="s">
        <v>236</v>
      </c>
      <c r="J98" s="21" t="s">
        <v>482</v>
      </c>
      <c r="K98" s="21" t="s">
        <v>442</v>
      </c>
      <c r="L98" s="23">
        <v>0.2</v>
      </c>
      <c r="M98" s="24">
        <v>65000</v>
      </c>
      <c r="N98" s="24">
        <v>0</v>
      </c>
      <c r="O98" s="25">
        <v>13000</v>
      </c>
      <c r="P98" s="25">
        <v>0</v>
      </c>
      <c r="Q98" s="24">
        <v>65000</v>
      </c>
      <c r="R98" s="21" t="s">
        <v>506</v>
      </c>
      <c r="S98" s="21" t="s">
        <v>437</v>
      </c>
      <c r="T98" s="21" t="s">
        <v>17</v>
      </c>
      <c r="U98" s="21" t="s">
        <v>507</v>
      </c>
      <c r="V98" s="21" t="s">
        <v>17</v>
      </c>
      <c r="W98" s="21" t="s">
        <v>439</v>
      </c>
      <c r="X98" s="21" t="s">
        <v>439</v>
      </c>
    </row>
    <row r="99" spans="1:24" ht="10.5" customHeight="1" x14ac:dyDescent="0.25">
      <c r="A99" s="20">
        <v>46025</v>
      </c>
      <c r="B99" s="21" t="str">
        <f t="shared" si="1"/>
        <v>03/01/2026NL300030</v>
      </c>
      <c r="C99" s="22" t="s">
        <v>512</v>
      </c>
      <c r="D99" s="22" t="s">
        <v>17</v>
      </c>
      <c r="E99" s="22" t="s">
        <v>431</v>
      </c>
      <c r="F99" s="21" t="s">
        <v>432</v>
      </c>
      <c r="G99" s="21" t="s">
        <v>433</v>
      </c>
      <c r="H99" s="21" t="s">
        <v>513</v>
      </c>
      <c r="I99" s="21" t="s">
        <v>313</v>
      </c>
      <c r="J99" s="21" t="s">
        <v>470</v>
      </c>
      <c r="K99" s="21" t="s">
        <v>442</v>
      </c>
      <c r="L99" s="23">
        <v>0.5</v>
      </c>
      <c r="M99" s="24">
        <v>34000</v>
      </c>
      <c r="N99" s="24">
        <v>0</v>
      </c>
      <c r="O99" s="25">
        <v>17000</v>
      </c>
      <c r="P99" s="25">
        <v>0</v>
      </c>
      <c r="Q99" s="24">
        <v>34000</v>
      </c>
      <c r="R99" s="21" t="s">
        <v>506</v>
      </c>
      <c r="S99" s="21" t="s">
        <v>437</v>
      </c>
      <c r="T99" s="21" t="s">
        <v>17</v>
      </c>
      <c r="U99" s="21" t="s">
        <v>507</v>
      </c>
      <c r="V99" s="21" t="s">
        <v>17</v>
      </c>
      <c r="W99" s="21" t="s">
        <v>439</v>
      </c>
      <c r="X99" s="21" t="s">
        <v>439</v>
      </c>
    </row>
    <row r="100" spans="1:24" ht="10.5" customHeight="1" x14ac:dyDescent="0.25">
      <c r="A100" s="20">
        <v>46025</v>
      </c>
      <c r="B100" s="21" t="str">
        <f t="shared" si="1"/>
        <v>03/01/2026NL300125</v>
      </c>
      <c r="C100" s="22" t="s">
        <v>512</v>
      </c>
      <c r="D100" s="22" t="s">
        <v>17</v>
      </c>
      <c r="E100" s="22" t="s">
        <v>431</v>
      </c>
      <c r="F100" s="21" t="s">
        <v>432</v>
      </c>
      <c r="G100" s="21" t="s">
        <v>433</v>
      </c>
      <c r="H100" s="21" t="s">
        <v>513</v>
      </c>
      <c r="I100" s="21" t="s">
        <v>337</v>
      </c>
      <c r="J100" s="21" t="s">
        <v>146</v>
      </c>
      <c r="K100" s="21" t="s">
        <v>442</v>
      </c>
      <c r="L100" s="23">
        <v>0.5</v>
      </c>
      <c r="M100" s="24">
        <v>42000</v>
      </c>
      <c r="N100" s="24">
        <v>0</v>
      </c>
      <c r="O100" s="25">
        <v>21000</v>
      </c>
      <c r="P100" s="25">
        <v>0</v>
      </c>
      <c r="Q100" s="24">
        <v>42000</v>
      </c>
      <c r="R100" s="21" t="s">
        <v>506</v>
      </c>
      <c r="S100" s="21" t="s">
        <v>437</v>
      </c>
      <c r="T100" s="21" t="s">
        <v>17</v>
      </c>
      <c r="U100" s="21" t="s">
        <v>507</v>
      </c>
      <c r="V100" s="21" t="s">
        <v>17</v>
      </c>
      <c r="W100" s="21" t="s">
        <v>439</v>
      </c>
      <c r="X100" s="21" t="s">
        <v>439</v>
      </c>
    </row>
    <row r="101" spans="1:24" ht="10.5" customHeight="1" x14ac:dyDescent="0.25">
      <c r="A101" s="20">
        <v>46025</v>
      </c>
      <c r="B101" s="21" t="str">
        <f t="shared" si="1"/>
        <v>03/01/2026NL300029</v>
      </c>
      <c r="C101" s="22" t="s">
        <v>512</v>
      </c>
      <c r="D101" s="22" t="s">
        <v>17</v>
      </c>
      <c r="E101" s="22" t="s">
        <v>431</v>
      </c>
      <c r="F101" s="21" t="s">
        <v>432</v>
      </c>
      <c r="G101" s="21" t="s">
        <v>433</v>
      </c>
      <c r="H101" s="21" t="s">
        <v>513</v>
      </c>
      <c r="I101" s="21" t="s">
        <v>213</v>
      </c>
      <c r="J101" s="21" t="s">
        <v>469</v>
      </c>
      <c r="K101" s="21" t="s">
        <v>442</v>
      </c>
      <c r="L101" s="23">
        <v>0.5</v>
      </c>
      <c r="M101" s="24">
        <v>22000</v>
      </c>
      <c r="N101" s="24">
        <v>0</v>
      </c>
      <c r="O101" s="25">
        <v>11000</v>
      </c>
      <c r="P101" s="25">
        <v>0</v>
      </c>
      <c r="Q101" s="24">
        <v>22000</v>
      </c>
      <c r="R101" s="21" t="s">
        <v>506</v>
      </c>
      <c r="S101" s="21" t="s">
        <v>437</v>
      </c>
      <c r="T101" s="21" t="s">
        <v>17</v>
      </c>
      <c r="U101" s="21" t="s">
        <v>507</v>
      </c>
      <c r="V101" s="21" t="s">
        <v>17</v>
      </c>
      <c r="W101" s="21" t="s">
        <v>439</v>
      </c>
      <c r="X101" s="21" t="s">
        <v>439</v>
      </c>
    </row>
    <row r="102" spans="1:24" ht="10.5" customHeight="1" x14ac:dyDescent="0.25">
      <c r="A102" s="20">
        <v>46025</v>
      </c>
      <c r="B102" s="21" t="str">
        <f t="shared" si="1"/>
        <v>03/01/2026NL600067</v>
      </c>
      <c r="C102" s="22" t="s">
        <v>512</v>
      </c>
      <c r="D102" s="22" t="s">
        <v>17</v>
      </c>
      <c r="E102" s="22" t="s">
        <v>431</v>
      </c>
      <c r="F102" s="21" t="s">
        <v>432</v>
      </c>
      <c r="G102" s="21" t="s">
        <v>433</v>
      </c>
      <c r="H102" s="21" t="s">
        <v>513</v>
      </c>
      <c r="I102" s="21" t="s">
        <v>376</v>
      </c>
      <c r="J102" s="21" t="s">
        <v>60</v>
      </c>
      <c r="K102" s="21" t="s">
        <v>442</v>
      </c>
      <c r="L102" s="23">
        <v>0.7</v>
      </c>
      <c r="M102" s="24">
        <v>75000</v>
      </c>
      <c r="N102" s="24">
        <v>0</v>
      </c>
      <c r="O102" s="25">
        <v>52500</v>
      </c>
      <c r="P102" s="25">
        <v>0</v>
      </c>
      <c r="Q102" s="24">
        <v>75000</v>
      </c>
      <c r="R102" s="21" t="s">
        <v>506</v>
      </c>
      <c r="S102" s="21" t="s">
        <v>437</v>
      </c>
      <c r="T102" s="21" t="s">
        <v>17</v>
      </c>
      <c r="U102" s="21" t="s">
        <v>507</v>
      </c>
      <c r="V102" s="21" t="s">
        <v>17</v>
      </c>
      <c r="W102" s="21" t="s">
        <v>439</v>
      </c>
      <c r="X102" s="21" t="s">
        <v>439</v>
      </c>
    </row>
    <row r="103" spans="1:24" ht="10.5" customHeight="1" x14ac:dyDescent="0.25">
      <c r="A103" s="20">
        <v>46026</v>
      </c>
      <c r="B103" s="21" t="str">
        <f t="shared" si="1"/>
        <v>04/01/2026NL300094</v>
      </c>
      <c r="C103" s="22" t="s">
        <v>514</v>
      </c>
      <c r="D103" s="22" t="s">
        <v>17</v>
      </c>
      <c r="E103" s="22" t="s">
        <v>431</v>
      </c>
      <c r="F103" s="21" t="s">
        <v>432</v>
      </c>
      <c r="G103" s="21" t="s">
        <v>433</v>
      </c>
      <c r="H103" s="21" t="s">
        <v>515</v>
      </c>
      <c r="I103" s="21" t="s">
        <v>257</v>
      </c>
      <c r="J103" s="21" t="s">
        <v>454</v>
      </c>
      <c r="K103" s="21" t="s">
        <v>442</v>
      </c>
      <c r="L103" s="23">
        <v>0.9</v>
      </c>
      <c r="M103" s="24">
        <v>80000</v>
      </c>
      <c r="N103" s="24">
        <v>0</v>
      </c>
      <c r="O103" s="25">
        <v>72000</v>
      </c>
      <c r="P103" s="25">
        <v>0</v>
      </c>
      <c r="Q103" s="24">
        <v>80000</v>
      </c>
      <c r="R103" s="21" t="s">
        <v>506</v>
      </c>
      <c r="S103" s="21" t="s">
        <v>437</v>
      </c>
      <c r="T103" s="21" t="s">
        <v>17</v>
      </c>
      <c r="U103" s="21" t="s">
        <v>507</v>
      </c>
      <c r="V103" s="21" t="s">
        <v>17</v>
      </c>
      <c r="W103" s="21" t="s">
        <v>439</v>
      </c>
      <c r="X103" s="21" t="s">
        <v>439</v>
      </c>
    </row>
    <row r="104" spans="1:24" ht="10.5" customHeight="1" x14ac:dyDescent="0.25">
      <c r="A104" s="20">
        <v>46026</v>
      </c>
      <c r="B104" s="21" t="str">
        <f t="shared" si="1"/>
        <v>04/01/2026NL300096</v>
      </c>
      <c r="C104" s="22" t="s">
        <v>514</v>
      </c>
      <c r="D104" s="22" t="s">
        <v>17</v>
      </c>
      <c r="E104" s="22" t="s">
        <v>431</v>
      </c>
      <c r="F104" s="21" t="s">
        <v>432</v>
      </c>
      <c r="G104" s="21" t="s">
        <v>433</v>
      </c>
      <c r="H104" s="21" t="s">
        <v>515</v>
      </c>
      <c r="I104" s="21" t="s">
        <v>258</v>
      </c>
      <c r="J104" s="21" t="s">
        <v>45</v>
      </c>
      <c r="K104" s="21" t="s">
        <v>442</v>
      </c>
      <c r="L104" s="23">
        <v>4</v>
      </c>
      <c r="M104" s="24">
        <v>45000</v>
      </c>
      <c r="N104" s="24">
        <v>0</v>
      </c>
      <c r="O104" s="25">
        <v>180000</v>
      </c>
      <c r="P104" s="25">
        <v>0</v>
      </c>
      <c r="Q104" s="24">
        <v>45000</v>
      </c>
      <c r="R104" s="21" t="s">
        <v>506</v>
      </c>
      <c r="S104" s="21" t="s">
        <v>437</v>
      </c>
      <c r="T104" s="21" t="s">
        <v>17</v>
      </c>
      <c r="U104" s="21" t="s">
        <v>507</v>
      </c>
      <c r="V104" s="21" t="s">
        <v>17</v>
      </c>
      <c r="W104" s="21" t="s">
        <v>439</v>
      </c>
      <c r="X104" s="21" t="s">
        <v>439</v>
      </c>
    </row>
    <row r="105" spans="1:24" ht="10.5" customHeight="1" x14ac:dyDescent="0.25">
      <c r="A105" s="20">
        <v>46026</v>
      </c>
      <c r="B105" s="21" t="str">
        <f t="shared" si="1"/>
        <v>04/01/2026NL300097</v>
      </c>
      <c r="C105" s="22" t="s">
        <v>514</v>
      </c>
      <c r="D105" s="22" t="s">
        <v>17</v>
      </c>
      <c r="E105" s="22" t="s">
        <v>431</v>
      </c>
      <c r="F105" s="21" t="s">
        <v>432</v>
      </c>
      <c r="G105" s="21" t="s">
        <v>433</v>
      </c>
      <c r="H105" s="21" t="s">
        <v>515</v>
      </c>
      <c r="I105" s="21" t="s">
        <v>331</v>
      </c>
      <c r="J105" s="21" t="s">
        <v>443</v>
      </c>
      <c r="K105" s="21" t="s">
        <v>442</v>
      </c>
      <c r="L105" s="23">
        <v>1.3</v>
      </c>
      <c r="M105" s="24">
        <v>90000</v>
      </c>
      <c r="N105" s="24">
        <v>0</v>
      </c>
      <c r="O105" s="25">
        <v>117000</v>
      </c>
      <c r="P105" s="25">
        <v>0</v>
      </c>
      <c r="Q105" s="24">
        <v>90000</v>
      </c>
      <c r="R105" s="21" t="s">
        <v>506</v>
      </c>
      <c r="S105" s="21" t="s">
        <v>437</v>
      </c>
      <c r="T105" s="21" t="s">
        <v>17</v>
      </c>
      <c r="U105" s="21" t="s">
        <v>507</v>
      </c>
      <c r="V105" s="21" t="s">
        <v>17</v>
      </c>
      <c r="W105" s="21" t="s">
        <v>439</v>
      </c>
      <c r="X105" s="21" t="s">
        <v>439</v>
      </c>
    </row>
    <row r="106" spans="1:24" ht="10.5" customHeight="1" x14ac:dyDescent="0.25">
      <c r="A106" s="20">
        <v>46026</v>
      </c>
      <c r="B106" s="21" t="str">
        <f t="shared" si="1"/>
        <v>04/01/2026NL300113</v>
      </c>
      <c r="C106" s="22" t="s">
        <v>514</v>
      </c>
      <c r="D106" s="22" t="s">
        <v>17</v>
      </c>
      <c r="E106" s="22" t="s">
        <v>431</v>
      </c>
      <c r="F106" s="21" t="s">
        <v>432</v>
      </c>
      <c r="G106" s="21" t="s">
        <v>433</v>
      </c>
      <c r="H106" s="21" t="s">
        <v>515</v>
      </c>
      <c r="I106" s="21" t="s">
        <v>271</v>
      </c>
      <c r="J106" s="21" t="s">
        <v>103</v>
      </c>
      <c r="K106" s="21" t="s">
        <v>442</v>
      </c>
      <c r="L106" s="23">
        <v>0.5</v>
      </c>
      <c r="M106" s="24">
        <v>145000</v>
      </c>
      <c r="N106" s="24">
        <v>0</v>
      </c>
      <c r="O106" s="25">
        <v>72500</v>
      </c>
      <c r="P106" s="25">
        <v>0</v>
      </c>
      <c r="Q106" s="24">
        <v>145000</v>
      </c>
      <c r="R106" s="21" t="s">
        <v>506</v>
      </c>
      <c r="S106" s="21" t="s">
        <v>437</v>
      </c>
      <c r="T106" s="21" t="s">
        <v>17</v>
      </c>
      <c r="U106" s="21" t="s">
        <v>507</v>
      </c>
      <c r="V106" s="21" t="s">
        <v>17</v>
      </c>
      <c r="W106" s="21" t="s">
        <v>439</v>
      </c>
      <c r="X106" s="21" t="s">
        <v>439</v>
      </c>
    </row>
    <row r="107" spans="1:24" ht="10.5" customHeight="1" x14ac:dyDescent="0.25">
      <c r="A107" s="20">
        <v>46026</v>
      </c>
      <c r="B107" s="21" t="str">
        <f t="shared" si="1"/>
        <v>04/01/2026NL300142</v>
      </c>
      <c r="C107" s="22" t="s">
        <v>514</v>
      </c>
      <c r="D107" s="22" t="s">
        <v>17</v>
      </c>
      <c r="E107" s="22" t="s">
        <v>431</v>
      </c>
      <c r="F107" s="21" t="s">
        <v>432</v>
      </c>
      <c r="G107" s="21" t="s">
        <v>433</v>
      </c>
      <c r="H107" s="21" t="s">
        <v>515</v>
      </c>
      <c r="I107" s="21" t="s">
        <v>317</v>
      </c>
      <c r="J107" s="21" t="s">
        <v>441</v>
      </c>
      <c r="K107" s="21" t="s">
        <v>442</v>
      </c>
      <c r="L107" s="23">
        <v>1.5</v>
      </c>
      <c r="M107" s="24">
        <v>50000</v>
      </c>
      <c r="N107" s="24">
        <v>0</v>
      </c>
      <c r="O107" s="25">
        <v>75000</v>
      </c>
      <c r="P107" s="25">
        <v>0</v>
      </c>
      <c r="Q107" s="24">
        <v>50000</v>
      </c>
      <c r="R107" s="21" t="s">
        <v>506</v>
      </c>
      <c r="S107" s="21" t="s">
        <v>437</v>
      </c>
      <c r="T107" s="21" t="s">
        <v>17</v>
      </c>
      <c r="U107" s="21" t="s">
        <v>507</v>
      </c>
      <c r="V107" s="21" t="s">
        <v>17</v>
      </c>
      <c r="W107" s="21" t="s">
        <v>439</v>
      </c>
      <c r="X107" s="21" t="s">
        <v>439</v>
      </c>
    </row>
    <row r="108" spans="1:24" ht="10.5" customHeight="1" x14ac:dyDescent="0.25">
      <c r="A108" s="20">
        <v>46026</v>
      </c>
      <c r="B108" s="21" t="str">
        <f t="shared" si="1"/>
        <v>04/01/2026NL300132</v>
      </c>
      <c r="C108" s="22" t="s">
        <v>514</v>
      </c>
      <c r="D108" s="22" t="s">
        <v>17</v>
      </c>
      <c r="E108" s="22" t="s">
        <v>431</v>
      </c>
      <c r="F108" s="21" t="s">
        <v>432</v>
      </c>
      <c r="G108" s="21" t="s">
        <v>433</v>
      </c>
      <c r="H108" s="21" t="s">
        <v>515</v>
      </c>
      <c r="I108" s="21" t="s">
        <v>285</v>
      </c>
      <c r="J108" s="21" t="s">
        <v>82</v>
      </c>
      <c r="K108" s="21" t="s">
        <v>442</v>
      </c>
      <c r="L108" s="23">
        <v>0.5</v>
      </c>
      <c r="M108" s="24">
        <v>12000</v>
      </c>
      <c r="N108" s="24">
        <v>0</v>
      </c>
      <c r="O108" s="25">
        <v>6000</v>
      </c>
      <c r="P108" s="25">
        <v>0</v>
      </c>
      <c r="Q108" s="24">
        <v>12000</v>
      </c>
      <c r="R108" s="21" t="s">
        <v>506</v>
      </c>
      <c r="S108" s="21" t="s">
        <v>437</v>
      </c>
      <c r="T108" s="21" t="s">
        <v>17</v>
      </c>
      <c r="U108" s="21" t="s">
        <v>507</v>
      </c>
      <c r="V108" s="21" t="s">
        <v>17</v>
      </c>
      <c r="W108" s="21" t="s">
        <v>439</v>
      </c>
      <c r="X108" s="21" t="s">
        <v>439</v>
      </c>
    </row>
    <row r="109" spans="1:24" ht="10.5" customHeight="1" x14ac:dyDescent="0.25">
      <c r="A109" s="20">
        <v>46026</v>
      </c>
      <c r="B109" s="21" t="str">
        <f t="shared" si="1"/>
        <v>04/01/2026NL300137</v>
      </c>
      <c r="C109" s="22" t="s">
        <v>514</v>
      </c>
      <c r="D109" s="22" t="s">
        <v>17</v>
      </c>
      <c r="E109" s="22" t="s">
        <v>431</v>
      </c>
      <c r="F109" s="21" t="s">
        <v>432</v>
      </c>
      <c r="G109" s="21" t="s">
        <v>433</v>
      </c>
      <c r="H109" s="21" t="s">
        <v>515</v>
      </c>
      <c r="I109" s="21" t="s">
        <v>196</v>
      </c>
      <c r="J109" s="21" t="s">
        <v>458</v>
      </c>
      <c r="K109" s="21" t="s">
        <v>442</v>
      </c>
      <c r="L109" s="23">
        <v>2</v>
      </c>
      <c r="M109" s="24">
        <v>52000</v>
      </c>
      <c r="N109" s="24">
        <v>0</v>
      </c>
      <c r="O109" s="25">
        <v>104000</v>
      </c>
      <c r="P109" s="25">
        <v>0</v>
      </c>
      <c r="Q109" s="24">
        <v>52000</v>
      </c>
      <c r="R109" s="21" t="s">
        <v>506</v>
      </c>
      <c r="S109" s="21" t="s">
        <v>437</v>
      </c>
      <c r="T109" s="21" t="s">
        <v>17</v>
      </c>
      <c r="U109" s="21" t="s">
        <v>507</v>
      </c>
      <c r="V109" s="21" t="s">
        <v>17</v>
      </c>
      <c r="W109" s="21" t="s">
        <v>439</v>
      </c>
      <c r="X109" s="21" t="s">
        <v>439</v>
      </c>
    </row>
    <row r="110" spans="1:24" ht="10.5" customHeight="1" x14ac:dyDescent="0.25">
      <c r="A110" s="20">
        <v>46026</v>
      </c>
      <c r="B110" s="21" t="str">
        <f t="shared" si="1"/>
        <v>04/01/2026NL300147</v>
      </c>
      <c r="C110" s="22" t="s">
        <v>514</v>
      </c>
      <c r="D110" s="22" t="s">
        <v>17</v>
      </c>
      <c r="E110" s="22" t="s">
        <v>431</v>
      </c>
      <c r="F110" s="21" t="s">
        <v>432</v>
      </c>
      <c r="G110" s="21" t="s">
        <v>433</v>
      </c>
      <c r="H110" s="21" t="s">
        <v>515</v>
      </c>
      <c r="I110" s="21" t="s">
        <v>300</v>
      </c>
      <c r="J110" s="21" t="s">
        <v>459</v>
      </c>
      <c r="K110" s="21" t="s">
        <v>442</v>
      </c>
      <c r="L110" s="23">
        <v>3</v>
      </c>
      <c r="M110" s="24">
        <v>62000</v>
      </c>
      <c r="N110" s="24">
        <v>0</v>
      </c>
      <c r="O110" s="25">
        <v>186000</v>
      </c>
      <c r="P110" s="25">
        <v>0</v>
      </c>
      <c r="Q110" s="24">
        <v>62000</v>
      </c>
      <c r="R110" s="21" t="s">
        <v>506</v>
      </c>
      <c r="S110" s="21" t="s">
        <v>437</v>
      </c>
      <c r="T110" s="21" t="s">
        <v>17</v>
      </c>
      <c r="U110" s="21" t="s">
        <v>507</v>
      </c>
      <c r="V110" s="21" t="s">
        <v>17</v>
      </c>
      <c r="W110" s="21" t="s">
        <v>439</v>
      </c>
      <c r="X110" s="21" t="s">
        <v>439</v>
      </c>
    </row>
    <row r="111" spans="1:24" ht="10.5" customHeight="1" x14ac:dyDescent="0.25">
      <c r="A111" s="20">
        <v>46026</v>
      </c>
      <c r="B111" s="21" t="str">
        <f t="shared" si="1"/>
        <v>04/01/2026NL300119</v>
      </c>
      <c r="C111" s="22" t="s">
        <v>514</v>
      </c>
      <c r="D111" s="22" t="s">
        <v>17</v>
      </c>
      <c r="E111" s="22" t="s">
        <v>431</v>
      </c>
      <c r="F111" s="21" t="s">
        <v>432</v>
      </c>
      <c r="G111" s="21" t="s">
        <v>433</v>
      </c>
      <c r="H111" s="21" t="s">
        <v>515</v>
      </c>
      <c r="I111" s="21" t="s">
        <v>310</v>
      </c>
      <c r="J111" s="21" t="s">
        <v>460</v>
      </c>
      <c r="K111" s="21" t="s">
        <v>442</v>
      </c>
      <c r="L111" s="23">
        <v>1</v>
      </c>
      <c r="M111" s="24">
        <v>21000</v>
      </c>
      <c r="N111" s="24">
        <v>0</v>
      </c>
      <c r="O111" s="25">
        <v>21000</v>
      </c>
      <c r="P111" s="25">
        <v>0</v>
      </c>
      <c r="Q111" s="24">
        <v>21000</v>
      </c>
      <c r="R111" s="21" t="s">
        <v>506</v>
      </c>
      <c r="S111" s="21" t="s">
        <v>437</v>
      </c>
      <c r="T111" s="21" t="s">
        <v>17</v>
      </c>
      <c r="U111" s="21" t="s">
        <v>507</v>
      </c>
      <c r="V111" s="21" t="s">
        <v>17</v>
      </c>
      <c r="W111" s="21" t="s">
        <v>439</v>
      </c>
      <c r="X111" s="21" t="s">
        <v>439</v>
      </c>
    </row>
    <row r="112" spans="1:24" ht="10.5" customHeight="1" x14ac:dyDescent="0.25">
      <c r="A112" s="20">
        <v>46026</v>
      </c>
      <c r="B112" s="21" t="str">
        <f t="shared" si="1"/>
        <v>04/01/2026NL300088</v>
      </c>
      <c r="C112" s="22" t="s">
        <v>514</v>
      </c>
      <c r="D112" s="22" t="s">
        <v>17</v>
      </c>
      <c r="E112" s="22" t="s">
        <v>431</v>
      </c>
      <c r="F112" s="21" t="s">
        <v>432</v>
      </c>
      <c r="G112" s="21" t="s">
        <v>433</v>
      </c>
      <c r="H112" s="21" t="s">
        <v>515</v>
      </c>
      <c r="I112" s="21" t="s">
        <v>254</v>
      </c>
      <c r="J112" s="21" t="s">
        <v>15</v>
      </c>
      <c r="K112" s="21" t="s">
        <v>442</v>
      </c>
      <c r="L112" s="23">
        <v>3</v>
      </c>
      <c r="M112" s="24">
        <v>27000</v>
      </c>
      <c r="N112" s="24">
        <v>0</v>
      </c>
      <c r="O112" s="25">
        <v>81000</v>
      </c>
      <c r="P112" s="25">
        <v>0</v>
      </c>
      <c r="Q112" s="24">
        <v>27000</v>
      </c>
      <c r="R112" s="21" t="s">
        <v>506</v>
      </c>
      <c r="S112" s="21" t="s">
        <v>437</v>
      </c>
      <c r="T112" s="21" t="s">
        <v>17</v>
      </c>
      <c r="U112" s="21" t="s">
        <v>507</v>
      </c>
      <c r="V112" s="21" t="s">
        <v>17</v>
      </c>
      <c r="W112" s="21" t="s">
        <v>439</v>
      </c>
      <c r="X112" s="21" t="s">
        <v>439</v>
      </c>
    </row>
    <row r="113" spans="1:24" ht="10.5" customHeight="1" x14ac:dyDescent="0.25">
      <c r="A113" s="20">
        <v>46026</v>
      </c>
      <c r="B113" s="21" t="str">
        <f t="shared" si="1"/>
        <v>04/01/2026NL300107</v>
      </c>
      <c r="C113" s="22" t="s">
        <v>514</v>
      </c>
      <c r="D113" s="22" t="s">
        <v>17</v>
      </c>
      <c r="E113" s="22" t="s">
        <v>431</v>
      </c>
      <c r="F113" s="21" t="s">
        <v>432</v>
      </c>
      <c r="G113" s="21" t="s">
        <v>433</v>
      </c>
      <c r="H113" s="21" t="s">
        <v>515</v>
      </c>
      <c r="I113" s="21" t="s">
        <v>193</v>
      </c>
      <c r="J113" s="21" t="s">
        <v>455</v>
      </c>
      <c r="K113" s="21" t="s">
        <v>450</v>
      </c>
      <c r="L113" s="23">
        <v>5</v>
      </c>
      <c r="M113" s="24">
        <v>8500</v>
      </c>
      <c r="N113" s="24">
        <v>0</v>
      </c>
      <c r="O113" s="25">
        <v>42500</v>
      </c>
      <c r="P113" s="25">
        <v>0</v>
      </c>
      <c r="Q113" s="24">
        <v>8500</v>
      </c>
      <c r="R113" s="21" t="s">
        <v>506</v>
      </c>
      <c r="S113" s="21" t="s">
        <v>437</v>
      </c>
      <c r="T113" s="21" t="s">
        <v>17</v>
      </c>
      <c r="U113" s="21" t="s">
        <v>507</v>
      </c>
      <c r="V113" s="21" t="s">
        <v>17</v>
      </c>
      <c r="W113" s="21" t="s">
        <v>439</v>
      </c>
      <c r="X113" s="21" t="s">
        <v>439</v>
      </c>
    </row>
    <row r="114" spans="1:24" ht="10.5" customHeight="1" x14ac:dyDescent="0.25">
      <c r="A114" s="20">
        <v>46026</v>
      </c>
      <c r="B114" s="21" t="str">
        <f t="shared" si="1"/>
        <v>04/01/2026NL300041</v>
      </c>
      <c r="C114" s="22" t="s">
        <v>514</v>
      </c>
      <c r="D114" s="22" t="s">
        <v>17</v>
      </c>
      <c r="E114" s="22" t="s">
        <v>431</v>
      </c>
      <c r="F114" s="21" t="s">
        <v>432</v>
      </c>
      <c r="G114" s="21" t="s">
        <v>433</v>
      </c>
      <c r="H114" s="21" t="s">
        <v>515</v>
      </c>
      <c r="I114" s="21" t="s">
        <v>222</v>
      </c>
      <c r="J114" s="21" t="s">
        <v>449</v>
      </c>
      <c r="K114" s="21" t="s">
        <v>450</v>
      </c>
      <c r="L114" s="23">
        <v>6</v>
      </c>
      <c r="M114" s="24">
        <v>15000</v>
      </c>
      <c r="N114" s="24">
        <v>0</v>
      </c>
      <c r="O114" s="25">
        <v>90000</v>
      </c>
      <c r="P114" s="25">
        <v>0</v>
      </c>
      <c r="Q114" s="24">
        <v>15000</v>
      </c>
      <c r="R114" s="21" t="s">
        <v>506</v>
      </c>
      <c r="S114" s="21" t="s">
        <v>437</v>
      </c>
      <c r="T114" s="21" t="s">
        <v>17</v>
      </c>
      <c r="U114" s="21" t="s">
        <v>507</v>
      </c>
      <c r="V114" s="21" t="s">
        <v>17</v>
      </c>
      <c r="W114" s="21" t="s">
        <v>439</v>
      </c>
      <c r="X114" s="21" t="s">
        <v>439</v>
      </c>
    </row>
    <row r="115" spans="1:24" ht="10.5" customHeight="1" x14ac:dyDescent="0.25">
      <c r="A115" s="20">
        <v>46026</v>
      </c>
      <c r="B115" s="21" t="str">
        <f t="shared" si="1"/>
        <v>04/01/2026NL300055</v>
      </c>
      <c r="C115" s="22" t="s">
        <v>514</v>
      </c>
      <c r="D115" s="22" t="s">
        <v>17</v>
      </c>
      <c r="E115" s="22" t="s">
        <v>431</v>
      </c>
      <c r="F115" s="21" t="s">
        <v>432</v>
      </c>
      <c r="G115" s="21" t="s">
        <v>433</v>
      </c>
      <c r="H115" s="21" t="s">
        <v>515</v>
      </c>
      <c r="I115" s="21" t="s">
        <v>230</v>
      </c>
      <c r="J115" s="21" t="s">
        <v>452</v>
      </c>
      <c r="K115" s="21" t="s">
        <v>442</v>
      </c>
      <c r="L115" s="23">
        <v>0.5</v>
      </c>
      <c r="M115" s="24">
        <v>80000</v>
      </c>
      <c r="N115" s="24">
        <v>0</v>
      </c>
      <c r="O115" s="25">
        <v>40000</v>
      </c>
      <c r="P115" s="25">
        <v>0</v>
      </c>
      <c r="Q115" s="24">
        <v>80000</v>
      </c>
      <c r="R115" s="21" t="s">
        <v>506</v>
      </c>
      <c r="S115" s="21" t="s">
        <v>437</v>
      </c>
      <c r="T115" s="21" t="s">
        <v>17</v>
      </c>
      <c r="U115" s="21" t="s">
        <v>507</v>
      </c>
      <c r="V115" s="21" t="s">
        <v>17</v>
      </c>
      <c r="W115" s="21" t="s">
        <v>439</v>
      </c>
      <c r="X115" s="21" t="s">
        <v>439</v>
      </c>
    </row>
    <row r="116" spans="1:24" ht="10.5" customHeight="1" x14ac:dyDescent="0.25">
      <c r="A116" s="20">
        <v>46026</v>
      </c>
      <c r="B116" s="21" t="str">
        <f t="shared" si="1"/>
        <v>04/01/2026NL300090</v>
      </c>
      <c r="C116" s="22" t="s">
        <v>514</v>
      </c>
      <c r="D116" s="22" t="s">
        <v>17</v>
      </c>
      <c r="E116" s="22" t="s">
        <v>431</v>
      </c>
      <c r="F116" s="21" t="s">
        <v>432</v>
      </c>
      <c r="G116" s="21" t="s">
        <v>433</v>
      </c>
      <c r="H116" s="21" t="s">
        <v>515</v>
      </c>
      <c r="I116" s="21" t="s">
        <v>255</v>
      </c>
      <c r="J116" s="21" t="s">
        <v>70</v>
      </c>
      <c r="K116" s="21" t="s">
        <v>442</v>
      </c>
      <c r="L116" s="23">
        <v>1.5</v>
      </c>
      <c r="M116" s="24">
        <v>145000</v>
      </c>
      <c r="N116" s="24">
        <v>0</v>
      </c>
      <c r="O116" s="25">
        <v>217500</v>
      </c>
      <c r="P116" s="25">
        <v>0</v>
      </c>
      <c r="Q116" s="24">
        <v>145000</v>
      </c>
      <c r="R116" s="21" t="s">
        <v>506</v>
      </c>
      <c r="S116" s="21" t="s">
        <v>437</v>
      </c>
      <c r="T116" s="21" t="s">
        <v>17</v>
      </c>
      <c r="U116" s="21" t="s">
        <v>507</v>
      </c>
      <c r="V116" s="21" t="s">
        <v>17</v>
      </c>
      <c r="W116" s="21" t="s">
        <v>439</v>
      </c>
      <c r="X116" s="21" t="s">
        <v>439</v>
      </c>
    </row>
    <row r="117" spans="1:24" ht="10.5" customHeight="1" x14ac:dyDescent="0.25">
      <c r="A117" s="20">
        <v>46026</v>
      </c>
      <c r="B117" s="21" t="str">
        <f t="shared" si="1"/>
        <v>04/01/2026NL300116</v>
      </c>
      <c r="C117" s="22" t="s">
        <v>514</v>
      </c>
      <c r="D117" s="22" t="s">
        <v>17</v>
      </c>
      <c r="E117" s="22" t="s">
        <v>431</v>
      </c>
      <c r="F117" s="21" t="s">
        <v>432</v>
      </c>
      <c r="G117" s="21" t="s">
        <v>433</v>
      </c>
      <c r="H117" s="21" t="s">
        <v>515</v>
      </c>
      <c r="I117" s="21" t="s">
        <v>315</v>
      </c>
      <c r="J117" s="21" t="s">
        <v>456</v>
      </c>
      <c r="K117" s="21" t="s">
        <v>442</v>
      </c>
      <c r="L117" s="23">
        <v>0.4</v>
      </c>
      <c r="M117" s="24">
        <v>148000</v>
      </c>
      <c r="N117" s="24">
        <v>0</v>
      </c>
      <c r="O117" s="25">
        <v>59200</v>
      </c>
      <c r="P117" s="25">
        <v>0</v>
      </c>
      <c r="Q117" s="24">
        <v>148000</v>
      </c>
      <c r="R117" s="21" t="s">
        <v>506</v>
      </c>
      <c r="S117" s="21" t="s">
        <v>437</v>
      </c>
      <c r="T117" s="21" t="s">
        <v>17</v>
      </c>
      <c r="U117" s="21" t="s">
        <v>507</v>
      </c>
      <c r="V117" s="21" t="s">
        <v>17</v>
      </c>
      <c r="W117" s="21" t="s">
        <v>439</v>
      </c>
      <c r="X117" s="21" t="s">
        <v>439</v>
      </c>
    </row>
    <row r="118" spans="1:24" ht="10.5" customHeight="1" x14ac:dyDescent="0.25">
      <c r="A118" s="20">
        <v>46026</v>
      </c>
      <c r="B118" s="21" t="str">
        <f t="shared" si="1"/>
        <v>04/01/2026NL300025</v>
      </c>
      <c r="C118" s="22" t="s">
        <v>514</v>
      </c>
      <c r="D118" s="22" t="s">
        <v>17</v>
      </c>
      <c r="E118" s="22" t="s">
        <v>431</v>
      </c>
      <c r="F118" s="21" t="s">
        <v>432</v>
      </c>
      <c r="G118" s="21" t="s">
        <v>433</v>
      </c>
      <c r="H118" s="21" t="s">
        <v>515</v>
      </c>
      <c r="I118" s="21" t="s">
        <v>211</v>
      </c>
      <c r="J118" s="21" t="s">
        <v>447</v>
      </c>
      <c r="K118" s="21" t="s">
        <v>442</v>
      </c>
      <c r="L118" s="23">
        <v>0.5</v>
      </c>
      <c r="M118" s="24">
        <v>44000</v>
      </c>
      <c r="N118" s="24">
        <v>0</v>
      </c>
      <c r="O118" s="25">
        <v>22000</v>
      </c>
      <c r="P118" s="25">
        <v>0</v>
      </c>
      <c r="Q118" s="24">
        <v>44000</v>
      </c>
      <c r="R118" s="21" t="s">
        <v>506</v>
      </c>
      <c r="S118" s="21" t="s">
        <v>437</v>
      </c>
      <c r="T118" s="21" t="s">
        <v>17</v>
      </c>
      <c r="U118" s="21" t="s">
        <v>507</v>
      </c>
      <c r="V118" s="21" t="s">
        <v>17</v>
      </c>
      <c r="W118" s="21" t="s">
        <v>439</v>
      </c>
      <c r="X118" s="21" t="s">
        <v>439</v>
      </c>
    </row>
    <row r="119" spans="1:24" ht="10.5" customHeight="1" x14ac:dyDescent="0.25">
      <c r="A119" s="20">
        <v>46026</v>
      </c>
      <c r="B119" s="21" t="str">
        <f t="shared" si="1"/>
        <v>04/01/2026NL300035</v>
      </c>
      <c r="C119" s="22" t="s">
        <v>514</v>
      </c>
      <c r="D119" s="22" t="s">
        <v>17</v>
      </c>
      <c r="E119" s="22" t="s">
        <v>431</v>
      </c>
      <c r="F119" s="21" t="s">
        <v>432</v>
      </c>
      <c r="G119" s="21" t="s">
        <v>433</v>
      </c>
      <c r="H119" s="21" t="s">
        <v>515</v>
      </c>
      <c r="I119" s="21" t="s">
        <v>383</v>
      </c>
      <c r="J119" s="21" t="s">
        <v>448</v>
      </c>
      <c r="K119" s="21" t="s">
        <v>442</v>
      </c>
      <c r="L119" s="23">
        <v>0.2</v>
      </c>
      <c r="M119" s="24">
        <v>25000</v>
      </c>
      <c r="N119" s="24">
        <v>0</v>
      </c>
      <c r="O119" s="25">
        <v>5000</v>
      </c>
      <c r="P119" s="25">
        <v>0</v>
      </c>
      <c r="Q119" s="24">
        <v>25000</v>
      </c>
      <c r="R119" s="21" t="s">
        <v>506</v>
      </c>
      <c r="S119" s="21" t="s">
        <v>437</v>
      </c>
      <c r="T119" s="21" t="s">
        <v>17</v>
      </c>
      <c r="U119" s="21" t="s">
        <v>507</v>
      </c>
      <c r="V119" s="21" t="s">
        <v>17</v>
      </c>
      <c r="W119" s="21" t="s">
        <v>439</v>
      </c>
      <c r="X119" s="21" t="s">
        <v>439</v>
      </c>
    </row>
    <row r="120" spans="1:24" ht="10.5" customHeight="1" x14ac:dyDescent="0.25">
      <c r="A120" s="20">
        <v>46026</v>
      </c>
      <c r="B120" s="21" t="str">
        <f t="shared" si="1"/>
        <v>04/01/2026NL300073</v>
      </c>
      <c r="C120" s="22" t="s">
        <v>514</v>
      </c>
      <c r="D120" s="22" t="s">
        <v>17</v>
      </c>
      <c r="E120" s="22" t="s">
        <v>431</v>
      </c>
      <c r="F120" s="21" t="s">
        <v>432</v>
      </c>
      <c r="G120" s="21" t="s">
        <v>433</v>
      </c>
      <c r="H120" s="21" t="s">
        <v>515</v>
      </c>
      <c r="I120" s="21" t="s">
        <v>241</v>
      </c>
      <c r="J120" s="21" t="s">
        <v>43</v>
      </c>
      <c r="K120" s="21" t="s">
        <v>442</v>
      </c>
      <c r="L120" s="23">
        <v>0.1</v>
      </c>
      <c r="M120" s="24">
        <v>42000</v>
      </c>
      <c r="N120" s="24">
        <v>0</v>
      </c>
      <c r="O120" s="25">
        <v>4200</v>
      </c>
      <c r="P120" s="25">
        <v>0</v>
      </c>
      <c r="Q120" s="24">
        <v>42000</v>
      </c>
      <c r="R120" s="21" t="s">
        <v>506</v>
      </c>
      <c r="S120" s="21" t="s">
        <v>437</v>
      </c>
      <c r="T120" s="21" t="s">
        <v>17</v>
      </c>
      <c r="U120" s="21" t="s">
        <v>507</v>
      </c>
      <c r="V120" s="21" t="s">
        <v>17</v>
      </c>
      <c r="W120" s="21" t="s">
        <v>439</v>
      </c>
      <c r="X120" s="21" t="s">
        <v>439</v>
      </c>
    </row>
    <row r="121" spans="1:24" ht="10.5" customHeight="1" x14ac:dyDescent="0.25">
      <c r="A121" s="20">
        <v>46026</v>
      </c>
      <c r="B121" s="21" t="str">
        <f t="shared" si="1"/>
        <v>04/01/2026NL300121</v>
      </c>
      <c r="C121" s="22" t="s">
        <v>514</v>
      </c>
      <c r="D121" s="22" t="s">
        <v>17</v>
      </c>
      <c r="E121" s="22" t="s">
        <v>431</v>
      </c>
      <c r="F121" s="21" t="s">
        <v>432</v>
      </c>
      <c r="G121" s="21" t="s">
        <v>433</v>
      </c>
      <c r="H121" s="21" t="s">
        <v>515</v>
      </c>
      <c r="I121" s="21" t="s">
        <v>281</v>
      </c>
      <c r="J121" s="21" t="s">
        <v>51</v>
      </c>
      <c r="K121" s="21" t="s">
        <v>442</v>
      </c>
      <c r="L121" s="23">
        <v>0.3</v>
      </c>
      <c r="M121" s="24">
        <v>22000</v>
      </c>
      <c r="N121" s="24">
        <v>0</v>
      </c>
      <c r="O121" s="25">
        <v>6600</v>
      </c>
      <c r="P121" s="25">
        <v>0</v>
      </c>
      <c r="Q121" s="24">
        <v>22000</v>
      </c>
      <c r="R121" s="21" t="s">
        <v>506</v>
      </c>
      <c r="S121" s="21" t="s">
        <v>437</v>
      </c>
      <c r="T121" s="21" t="s">
        <v>17</v>
      </c>
      <c r="U121" s="21" t="s">
        <v>507</v>
      </c>
      <c r="V121" s="21" t="s">
        <v>17</v>
      </c>
      <c r="W121" s="21" t="s">
        <v>439</v>
      </c>
      <c r="X121" s="21" t="s">
        <v>439</v>
      </c>
    </row>
    <row r="122" spans="1:24" ht="10.5" customHeight="1" x14ac:dyDescent="0.25">
      <c r="A122" s="20">
        <v>46026</v>
      </c>
      <c r="B122" s="21" t="str">
        <f t="shared" si="1"/>
        <v>04/01/2026NL100101</v>
      </c>
      <c r="C122" s="22" t="s">
        <v>514</v>
      </c>
      <c r="D122" s="22" t="s">
        <v>17</v>
      </c>
      <c r="E122" s="22" t="s">
        <v>431</v>
      </c>
      <c r="F122" s="21" t="s">
        <v>432</v>
      </c>
      <c r="G122" s="21" t="s">
        <v>433</v>
      </c>
      <c r="H122" s="21" t="s">
        <v>515</v>
      </c>
      <c r="I122" s="21" t="s">
        <v>344</v>
      </c>
      <c r="J122" s="21" t="s">
        <v>107</v>
      </c>
      <c r="K122" s="21" t="s">
        <v>435</v>
      </c>
      <c r="L122" s="23">
        <v>40</v>
      </c>
      <c r="M122" s="24">
        <v>5000</v>
      </c>
      <c r="N122" s="24">
        <v>0</v>
      </c>
      <c r="O122" s="25">
        <v>200000</v>
      </c>
      <c r="P122" s="25">
        <v>0</v>
      </c>
      <c r="Q122" s="24">
        <v>5000</v>
      </c>
      <c r="R122" s="21" t="s">
        <v>506</v>
      </c>
      <c r="S122" s="21" t="s">
        <v>437</v>
      </c>
      <c r="T122" s="21" t="s">
        <v>17</v>
      </c>
      <c r="U122" s="21" t="s">
        <v>507</v>
      </c>
      <c r="V122" s="21" t="s">
        <v>17</v>
      </c>
      <c r="W122" s="21" t="s">
        <v>439</v>
      </c>
      <c r="X122" s="21" t="s">
        <v>439</v>
      </c>
    </row>
    <row r="123" spans="1:24" ht="10.5" customHeight="1" x14ac:dyDescent="0.25">
      <c r="A123" s="20">
        <v>46026</v>
      </c>
      <c r="B123" s="21" t="str">
        <f t="shared" si="1"/>
        <v>04/01/2026NL300131</v>
      </c>
      <c r="C123" s="22" t="s">
        <v>514</v>
      </c>
      <c r="D123" s="22" t="s">
        <v>17</v>
      </c>
      <c r="E123" s="22" t="s">
        <v>431</v>
      </c>
      <c r="F123" s="21" t="s">
        <v>432</v>
      </c>
      <c r="G123" s="21" t="s">
        <v>433</v>
      </c>
      <c r="H123" s="21" t="s">
        <v>515</v>
      </c>
      <c r="I123" s="21" t="s">
        <v>340</v>
      </c>
      <c r="J123" s="21" t="s">
        <v>88</v>
      </c>
      <c r="K123" s="21" t="s">
        <v>442</v>
      </c>
      <c r="L123" s="23">
        <v>0.2</v>
      </c>
      <c r="M123" s="24">
        <v>220000</v>
      </c>
      <c r="N123" s="24">
        <v>0</v>
      </c>
      <c r="O123" s="25">
        <v>44000</v>
      </c>
      <c r="P123" s="25">
        <v>0</v>
      </c>
      <c r="Q123" s="24">
        <v>220000</v>
      </c>
      <c r="R123" s="21" t="s">
        <v>506</v>
      </c>
      <c r="S123" s="21" t="s">
        <v>437</v>
      </c>
      <c r="T123" s="21" t="s">
        <v>17</v>
      </c>
      <c r="U123" s="21" t="s">
        <v>507</v>
      </c>
      <c r="V123" s="21" t="s">
        <v>17</v>
      </c>
      <c r="W123" s="21" t="s">
        <v>439</v>
      </c>
      <c r="X123" s="21" t="s">
        <v>439</v>
      </c>
    </row>
    <row r="124" spans="1:24" ht="10.5" customHeight="1" x14ac:dyDescent="0.25">
      <c r="A124" s="20">
        <v>46026</v>
      </c>
      <c r="B124" s="21" t="str">
        <f t="shared" si="1"/>
        <v>04/01/2026NL300062</v>
      </c>
      <c r="C124" s="22" t="s">
        <v>514</v>
      </c>
      <c r="D124" s="22" t="s">
        <v>17</v>
      </c>
      <c r="E124" s="22" t="s">
        <v>431</v>
      </c>
      <c r="F124" s="21" t="s">
        <v>432</v>
      </c>
      <c r="G124" s="21" t="s">
        <v>433</v>
      </c>
      <c r="H124" s="21" t="s">
        <v>515</v>
      </c>
      <c r="I124" s="21" t="s">
        <v>236</v>
      </c>
      <c r="J124" s="21" t="s">
        <v>482</v>
      </c>
      <c r="K124" s="21" t="s">
        <v>442</v>
      </c>
      <c r="L124" s="23">
        <v>0.5</v>
      </c>
      <c r="M124" s="24">
        <v>65000</v>
      </c>
      <c r="N124" s="24">
        <v>0</v>
      </c>
      <c r="O124" s="25">
        <v>32500</v>
      </c>
      <c r="P124" s="25">
        <v>0</v>
      </c>
      <c r="Q124" s="24">
        <v>65000</v>
      </c>
      <c r="R124" s="21" t="s">
        <v>506</v>
      </c>
      <c r="S124" s="21" t="s">
        <v>437</v>
      </c>
      <c r="T124" s="21" t="s">
        <v>17</v>
      </c>
      <c r="U124" s="21" t="s">
        <v>507</v>
      </c>
      <c r="V124" s="21" t="s">
        <v>17</v>
      </c>
      <c r="W124" s="21" t="s">
        <v>439</v>
      </c>
      <c r="X124" s="21" t="s">
        <v>439</v>
      </c>
    </row>
    <row r="125" spans="1:24" ht="10.5" customHeight="1" x14ac:dyDescent="0.25">
      <c r="A125" s="20">
        <v>46026</v>
      </c>
      <c r="B125" s="21" t="str">
        <f t="shared" si="1"/>
        <v>04/01/2026NL300125</v>
      </c>
      <c r="C125" s="22" t="s">
        <v>514</v>
      </c>
      <c r="D125" s="22" t="s">
        <v>17</v>
      </c>
      <c r="E125" s="22" t="s">
        <v>431</v>
      </c>
      <c r="F125" s="21" t="s">
        <v>432</v>
      </c>
      <c r="G125" s="21" t="s">
        <v>433</v>
      </c>
      <c r="H125" s="21" t="s">
        <v>515</v>
      </c>
      <c r="I125" s="21" t="s">
        <v>337</v>
      </c>
      <c r="J125" s="21" t="s">
        <v>146</v>
      </c>
      <c r="K125" s="21" t="s">
        <v>442</v>
      </c>
      <c r="L125" s="23">
        <v>0.5</v>
      </c>
      <c r="M125" s="24">
        <v>42000</v>
      </c>
      <c r="N125" s="24">
        <v>0</v>
      </c>
      <c r="O125" s="25">
        <v>21000</v>
      </c>
      <c r="P125" s="25">
        <v>0</v>
      </c>
      <c r="Q125" s="24">
        <v>42000</v>
      </c>
      <c r="R125" s="21" t="s">
        <v>506</v>
      </c>
      <c r="S125" s="21" t="s">
        <v>437</v>
      </c>
      <c r="T125" s="21" t="s">
        <v>17</v>
      </c>
      <c r="U125" s="21" t="s">
        <v>507</v>
      </c>
      <c r="V125" s="21" t="s">
        <v>17</v>
      </c>
      <c r="W125" s="21" t="s">
        <v>439</v>
      </c>
      <c r="X125" s="21" t="s">
        <v>439</v>
      </c>
    </row>
    <row r="126" spans="1:24" ht="10.5" customHeight="1" x14ac:dyDescent="0.25">
      <c r="A126" s="20">
        <v>46026</v>
      </c>
      <c r="B126" s="21" t="str">
        <f t="shared" si="1"/>
        <v>04/01/2026NL300029</v>
      </c>
      <c r="C126" s="22" t="s">
        <v>514</v>
      </c>
      <c r="D126" s="22" t="s">
        <v>17</v>
      </c>
      <c r="E126" s="22" t="s">
        <v>431</v>
      </c>
      <c r="F126" s="21" t="s">
        <v>432</v>
      </c>
      <c r="G126" s="21" t="s">
        <v>433</v>
      </c>
      <c r="H126" s="21" t="s">
        <v>515</v>
      </c>
      <c r="I126" s="21" t="s">
        <v>213</v>
      </c>
      <c r="J126" s="21" t="s">
        <v>469</v>
      </c>
      <c r="K126" s="21" t="s">
        <v>442</v>
      </c>
      <c r="L126" s="23">
        <v>0.5</v>
      </c>
      <c r="M126" s="24">
        <v>22000</v>
      </c>
      <c r="N126" s="24">
        <v>0</v>
      </c>
      <c r="O126" s="25">
        <v>11000</v>
      </c>
      <c r="P126" s="25">
        <v>0</v>
      </c>
      <c r="Q126" s="24">
        <v>22000</v>
      </c>
      <c r="R126" s="21" t="s">
        <v>506</v>
      </c>
      <c r="S126" s="21" t="s">
        <v>437</v>
      </c>
      <c r="T126" s="21" t="s">
        <v>17</v>
      </c>
      <c r="U126" s="21" t="s">
        <v>507</v>
      </c>
      <c r="V126" s="21" t="s">
        <v>17</v>
      </c>
      <c r="W126" s="21" t="s">
        <v>439</v>
      </c>
      <c r="X126" s="21" t="s">
        <v>439</v>
      </c>
    </row>
    <row r="127" spans="1:24" ht="10.5" customHeight="1" x14ac:dyDescent="0.25">
      <c r="A127" s="20">
        <v>46026</v>
      </c>
      <c r="B127" s="21" t="str">
        <f t="shared" si="1"/>
        <v>04/01/2026NL300184</v>
      </c>
      <c r="C127" s="22" t="s">
        <v>514</v>
      </c>
      <c r="D127" s="22" t="s">
        <v>17</v>
      </c>
      <c r="E127" s="22" t="s">
        <v>431</v>
      </c>
      <c r="F127" s="21" t="s">
        <v>432</v>
      </c>
      <c r="G127" s="21" t="s">
        <v>433</v>
      </c>
      <c r="H127" s="21" t="s">
        <v>515</v>
      </c>
      <c r="I127" s="21" t="s">
        <v>368</v>
      </c>
      <c r="J127" s="21" t="s">
        <v>462</v>
      </c>
      <c r="K127" s="21" t="s">
        <v>442</v>
      </c>
      <c r="L127" s="23">
        <v>0.5</v>
      </c>
      <c r="M127" s="24">
        <v>18000</v>
      </c>
      <c r="N127" s="24">
        <v>0</v>
      </c>
      <c r="O127" s="25">
        <v>9000</v>
      </c>
      <c r="P127" s="25">
        <v>0</v>
      </c>
      <c r="Q127" s="24">
        <v>18000</v>
      </c>
      <c r="R127" s="21" t="s">
        <v>506</v>
      </c>
      <c r="S127" s="21" t="s">
        <v>437</v>
      </c>
      <c r="T127" s="21" t="s">
        <v>17</v>
      </c>
      <c r="U127" s="21" t="s">
        <v>507</v>
      </c>
      <c r="V127" s="21" t="s">
        <v>17</v>
      </c>
      <c r="W127" s="21" t="s">
        <v>439</v>
      </c>
      <c r="X127" s="21" t="s">
        <v>439</v>
      </c>
    </row>
    <row r="128" spans="1:24" ht="10.5" customHeight="1" x14ac:dyDescent="0.25">
      <c r="A128" s="20">
        <v>46026</v>
      </c>
      <c r="B128" s="21" t="str">
        <f t="shared" si="1"/>
        <v>04/01/2026NL300007</v>
      </c>
      <c r="C128" s="22" t="s">
        <v>514</v>
      </c>
      <c r="D128" s="22" t="s">
        <v>17</v>
      </c>
      <c r="E128" s="22" t="s">
        <v>431</v>
      </c>
      <c r="F128" s="21" t="s">
        <v>432</v>
      </c>
      <c r="G128" s="21" t="s">
        <v>433</v>
      </c>
      <c r="H128" s="21" t="s">
        <v>515</v>
      </c>
      <c r="I128" s="21" t="s">
        <v>309</v>
      </c>
      <c r="J128" s="21" t="s">
        <v>444</v>
      </c>
      <c r="K128" s="21" t="s">
        <v>442</v>
      </c>
      <c r="L128" s="23">
        <v>1</v>
      </c>
      <c r="M128" s="24">
        <v>30000</v>
      </c>
      <c r="N128" s="24">
        <v>0</v>
      </c>
      <c r="O128" s="25">
        <v>30000</v>
      </c>
      <c r="P128" s="25">
        <v>0</v>
      </c>
      <c r="Q128" s="24">
        <v>30000</v>
      </c>
      <c r="R128" s="21" t="s">
        <v>506</v>
      </c>
      <c r="S128" s="21" t="s">
        <v>437</v>
      </c>
      <c r="T128" s="21" t="s">
        <v>17</v>
      </c>
      <c r="U128" s="21" t="s">
        <v>507</v>
      </c>
      <c r="V128" s="21" t="s">
        <v>17</v>
      </c>
      <c r="W128" s="21" t="s">
        <v>439</v>
      </c>
      <c r="X128" s="21" t="s">
        <v>439</v>
      </c>
    </row>
    <row r="129" spans="1:24" ht="10.5" customHeight="1" x14ac:dyDescent="0.25">
      <c r="A129" s="20">
        <v>46026</v>
      </c>
      <c r="B129" s="21" t="str">
        <f t="shared" si="1"/>
        <v>04/01/2026NL300008</v>
      </c>
      <c r="C129" s="22" t="s">
        <v>514</v>
      </c>
      <c r="D129" s="22" t="s">
        <v>17</v>
      </c>
      <c r="E129" s="22" t="s">
        <v>431</v>
      </c>
      <c r="F129" s="21" t="s">
        <v>432</v>
      </c>
      <c r="G129" s="21" t="s">
        <v>433</v>
      </c>
      <c r="H129" s="21" t="s">
        <v>515</v>
      </c>
      <c r="I129" s="21" t="s">
        <v>320</v>
      </c>
      <c r="J129" s="21" t="s">
        <v>445</v>
      </c>
      <c r="K129" s="21" t="s">
        <v>442</v>
      </c>
      <c r="L129" s="23">
        <v>10</v>
      </c>
      <c r="M129" s="24">
        <v>40000</v>
      </c>
      <c r="N129" s="24">
        <v>0</v>
      </c>
      <c r="O129" s="25">
        <v>400000</v>
      </c>
      <c r="P129" s="25">
        <v>0</v>
      </c>
      <c r="Q129" s="24">
        <v>40000</v>
      </c>
      <c r="R129" s="21" t="s">
        <v>506</v>
      </c>
      <c r="S129" s="21" t="s">
        <v>437</v>
      </c>
      <c r="T129" s="21" t="s">
        <v>17</v>
      </c>
      <c r="U129" s="21" t="s">
        <v>507</v>
      </c>
      <c r="V129" s="21" t="s">
        <v>17</v>
      </c>
      <c r="W129" s="21" t="s">
        <v>439</v>
      </c>
      <c r="X129" s="21" t="s">
        <v>439</v>
      </c>
    </row>
    <row r="130" spans="1:24" ht="10.5" customHeight="1" x14ac:dyDescent="0.25">
      <c r="A130" s="20">
        <v>46026</v>
      </c>
      <c r="B130" s="21" t="str">
        <f t="shared" si="1"/>
        <v>04/01/2026NL300020</v>
      </c>
      <c r="C130" s="22" t="s">
        <v>514</v>
      </c>
      <c r="D130" s="22" t="s">
        <v>17</v>
      </c>
      <c r="E130" s="22" t="s">
        <v>431</v>
      </c>
      <c r="F130" s="21" t="s">
        <v>432</v>
      </c>
      <c r="G130" s="21" t="s">
        <v>433</v>
      </c>
      <c r="H130" s="21" t="s">
        <v>515</v>
      </c>
      <c r="I130" s="21" t="s">
        <v>326</v>
      </c>
      <c r="J130" s="21" t="s">
        <v>446</v>
      </c>
      <c r="K130" s="21" t="s">
        <v>442</v>
      </c>
      <c r="L130" s="23">
        <v>1</v>
      </c>
      <c r="M130" s="24">
        <v>30000</v>
      </c>
      <c r="N130" s="24">
        <v>0</v>
      </c>
      <c r="O130" s="25">
        <v>30000</v>
      </c>
      <c r="P130" s="25">
        <v>0</v>
      </c>
      <c r="Q130" s="24">
        <v>30000</v>
      </c>
      <c r="R130" s="21" t="s">
        <v>506</v>
      </c>
      <c r="S130" s="21" t="s">
        <v>437</v>
      </c>
      <c r="T130" s="21" t="s">
        <v>17</v>
      </c>
      <c r="U130" s="21" t="s">
        <v>507</v>
      </c>
      <c r="V130" s="21" t="s">
        <v>17</v>
      </c>
      <c r="W130" s="21" t="s">
        <v>439</v>
      </c>
      <c r="X130" s="21" t="s">
        <v>439</v>
      </c>
    </row>
    <row r="131" spans="1:24" ht="10.5" customHeight="1" x14ac:dyDescent="0.25">
      <c r="A131" s="20">
        <v>46026</v>
      </c>
      <c r="B131" s="21" t="str">
        <f t="shared" ref="B131:B194" si="2">"0"&amp;DAY(A131)&amp;"/01/2026"&amp;I131</f>
        <v>04/01/2026NL300038</v>
      </c>
      <c r="C131" s="22" t="s">
        <v>514</v>
      </c>
      <c r="D131" s="22" t="s">
        <v>17</v>
      </c>
      <c r="E131" s="22" t="s">
        <v>431</v>
      </c>
      <c r="F131" s="21" t="s">
        <v>432</v>
      </c>
      <c r="G131" s="21" t="s">
        <v>433</v>
      </c>
      <c r="H131" s="21" t="s">
        <v>515</v>
      </c>
      <c r="I131" s="21" t="s">
        <v>217</v>
      </c>
      <c r="J131" s="21" t="s">
        <v>35</v>
      </c>
      <c r="K131" s="21" t="s">
        <v>442</v>
      </c>
      <c r="L131" s="23">
        <v>2</v>
      </c>
      <c r="M131" s="24">
        <v>32000</v>
      </c>
      <c r="N131" s="24">
        <v>0</v>
      </c>
      <c r="O131" s="25">
        <v>64000</v>
      </c>
      <c r="P131" s="25">
        <v>0</v>
      </c>
      <c r="Q131" s="24">
        <v>32000</v>
      </c>
      <c r="R131" s="21" t="s">
        <v>506</v>
      </c>
      <c r="S131" s="21" t="s">
        <v>437</v>
      </c>
      <c r="T131" s="21" t="s">
        <v>17</v>
      </c>
      <c r="U131" s="21" t="s">
        <v>507</v>
      </c>
      <c r="V131" s="21" t="s">
        <v>17</v>
      </c>
      <c r="W131" s="21" t="s">
        <v>439</v>
      </c>
      <c r="X131" s="21" t="s">
        <v>439</v>
      </c>
    </row>
    <row r="132" spans="1:24" ht="10.5" customHeight="1" x14ac:dyDescent="0.25">
      <c r="A132" s="20">
        <v>46026</v>
      </c>
      <c r="B132" s="21" t="str">
        <f t="shared" si="2"/>
        <v>04/01/2026NL300054</v>
      </c>
      <c r="C132" s="22" t="s">
        <v>514</v>
      </c>
      <c r="D132" s="22" t="s">
        <v>17</v>
      </c>
      <c r="E132" s="22" t="s">
        <v>431</v>
      </c>
      <c r="F132" s="21" t="s">
        <v>432</v>
      </c>
      <c r="G132" s="21" t="s">
        <v>433</v>
      </c>
      <c r="H132" s="21" t="s">
        <v>515</v>
      </c>
      <c r="I132" s="21" t="s">
        <v>216</v>
      </c>
      <c r="J132" s="21" t="s">
        <v>451</v>
      </c>
      <c r="K132" s="21" t="s">
        <v>442</v>
      </c>
      <c r="L132" s="23">
        <v>1.3</v>
      </c>
      <c r="M132" s="24">
        <v>38000</v>
      </c>
      <c r="N132" s="24">
        <v>0</v>
      </c>
      <c r="O132" s="25">
        <v>49400</v>
      </c>
      <c r="P132" s="25">
        <v>0</v>
      </c>
      <c r="Q132" s="24">
        <v>38000</v>
      </c>
      <c r="R132" s="21" t="s">
        <v>506</v>
      </c>
      <c r="S132" s="21" t="s">
        <v>437</v>
      </c>
      <c r="T132" s="21" t="s">
        <v>17</v>
      </c>
      <c r="U132" s="21" t="s">
        <v>507</v>
      </c>
      <c r="V132" s="21" t="s">
        <v>17</v>
      </c>
      <c r="W132" s="21" t="s">
        <v>439</v>
      </c>
      <c r="X132" s="21" t="s">
        <v>439</v>
      </c>
    </row>
    <row r="133" spans="1:24" ht="10.5" customHeight="1" x14ac:dyDescent="0.25">
      <c r="A133" s="20">
        <v>46026</v>
      </c>
      <c r="B133" s="21" t="str">
        <f t="shared" si="2"/>
        <v>04/01/2026NL300058</v>
      </c>
      <c r="C133" s="22" t="s">
        <v>514</v>
      </c>
      <c r="D133" s="22" t="s">
        <v>17</v>
      </c>
      <c r="E133" s="22" t="s">
        <v>431</v>
      </c>
      <c r="F133" s="21" t="s">
        <v>432</v>
      </c>
      <c r="G133" s="21" t="s">
        <v>433</v>
      </c>
      <c r="H133" s="21" t="s">
        <v>515</v>
      </c>
      <c r="I133" s="21" t="s">
        <v>228</v>
      </c>
      <c r="J133" s="21" t="s">
        <v>39</v>
      </c>
      <c r="K133" s="21" t="s">
        <v>442</v>
      </c>
      <c r="L133" s="23">
        <v>2</v>
      </c>
      <c r="M133" s="24">
        <v>55000</v>
      </c>
      <c r="N133" s="24">
        <v>0</v>
      </c>
      <c r="O133" s="25">
        <v>110000</v>
      </c>
      <c r="P133" s="25">
        <v>0</v>
      </c>
      <c r="Q133" s="24">
        <v>55000</v>
      </c>
      <c r="R133" s="21" t="s">
        <v>506</v>
      </c>
      <c r="S133" s="21" t="s">
        <v>437</v>
      </c>
      <c r="T133" s="21" t="s">
        <v>17</v>
      </c>
      <c r="U133" s="21" t="s">
        <v>507</v>
      </c>
      <c r="V133" s="21" t="s">
        <v>17</v>
      </c>
      <c r="W133" s="21" t="s">
        <v>439</v>
      </c>
      <c r="X133" s="21" t="s">
        <v>439</v>
      </c>
    </row>
    <row r="134" spans="1:24" ht="10.5" customHeight="1" x14ac:dyDescent="0.25">
      <c r="A134" s="20">
        <v>46026</v>
      </c>
      <c r="B134" s="21" t="str">
        <f t="shared" si="2"/>
        <v>04/01/2026NL300085</v>
      </c>
      <c r="C134" s="22" t="s">
        <v>514</v>
      </c>
      <c r="D134" s="22" t="s">
        <v>17</v>
      </c>
      <c r="E134" s="22" t="s">
        <v>431</v>
      </c>
      <c r="F134" s="21" t="s">
        <v>432</v>
      </c>
      <c r="G134" s="21" t="s">
        <v>433</v>
      </c>
      <c r="H134" s="21" t="s">
        <v>515</v>
      </c>
      <c r="I134" s="21" t="s">
        <v>263</v>
      </c>
      <c r="J134" s="21" t="s">
        <v>453</v>
      </c>
      <c r="K134" s="21" t="s">
        <v>442</v>
      </c>
      <c r="L134" s="23">
        <v>1.5</v>
      </c>
      <c r="M134" s="24">
        <v>45000</v>
      </c>
      <c r="N134" s="24">
        <v>0</v>
      </c>
      <c r="O134" s="25">
        <v>67500</v>
      </c>
      <c r="P134" s="25">
        <v>0</v>
      </c>
      <c r="Q134" s="24">
        <v>45000</v>
      </c>
      <c r="R134" s="21" t="s">
        <v>506</v>
      </c>
      <c r="S134" s="21" t="s">
        <v>437</v>
      </c>
      <c r="T134" s="21" t="s">
        <v>17</v>
      </c>
      <c r="U134" s="21" t="s">
        <v>507</v>
      </c>
      <c r="V134" s="21" t="s">
        <v>17</v>
      </c>
      <c r="W134" s="21" t="s">
        <v>439</v>
      </c>
      <c r="X134" s="21" t="s">
        <v>439</v>
      </c>
    </row>
    <row r="135" spans="1:24" ht="10.5" customHeight="1" x14ac:dyDescent="0.25">
      <c r="A135" s="20">
        <v>46026</v>
      </c>
      <c r="B135" s="21" t="str">
        <f t="shared" si="2"/>
        <v>04/01/2026NL300091</v>
      </c>
      <c r="C135" s="22" t="s">
        <v>514</v>
      </c>
      <c r="D135" s="22" t="s">
        <v>17</v>
      </c>
      <c r="E135" s="22" t="s">
        <v>431</v>
      </c>
      <c r="F135" s="21" t="s">
        <v>432</v>
      </c>
      <c r="G135" s="21" t="s">
        <v>433</v>
      </c>
      <c r="H135" s="21" t="s">
        <v>515</v>
      </c>
      <c r="I135" s="21" t="s">
        <v>256</v>
      </c>
      <c r="J135" s="21" t="s">
        <v>72</v>
      </c>
      <c r="K135" s="21" t="s">
        <v>442</v>
      </c>
      <c r="L135" s="23">
        <v>1.8</v>
      </c>
      <c r="M135" s="24">
        <v>47000</v>
      </c>
      <c r="N135" s="24">
        <v>0</v>
      </c>
      <c r="O135" s="25">
        <v>84600</v>
      </c>
      <c r="P135" s="25">
        <v>0</v>
      </c>
      <c r="Q135" s="24">
        <v>47000</v>
      </c>
      <c r="R135" s="21" t="s">
        <v>506</v>
      </c>
      <c r="S135" s="21" t="s">
        <v>437</v>
      </c>
      <c r="T135" s="21" t="s">
        <v>17</v>
      </c>
      <c r="U135" s="21" t="s">
        <v>507</v>
      </c>
      <c r="V135" s="21" t="s">
        <v>17</v>
      </c>
      <c r="W135" s="21" t="s">
        <v>439</v>
      </c>
      <c r="X135" s="21" t="s">
        <v>439</v>
      </c>
    </row>
    <row r="136" spans="1:24" ht="10.5" customHeight="1" x14ac:dyDescent="0.25">
      <c r="A136" s="20">
        <v>46026</v>
      </c>
      <c r="B136" s="21" t="str">
        <f t="shared" si="2"/>
        <v>04/01/2026NL300092</v>
      </c>
      <c r="C136" s="22" t="s">
        <v>514</v>
      </c>
      <c r="D136" s="22" t="s">
        <v>17</v>
      </c>
      <c r="E136" s="22" t="s">
        <v>431</v>
      </c>
      <c r="F136" s="21" t="s">
        <v>432</v>
      </c>
      <c r="G136" s="21" t="s">
        <v>433</v>
      </c>
      <c r="H136" s="21" t="s">
        <v>515</v>
      </c>
      <c r="I136" s="21" t="s">
        <v>329</v>
      </c>
      <c r="J136" s="21" t="s">
        <v>74</v>
      </c>
      <c r="K136" s="21" t="s">
        <v>442</v>
      </c>
      <c r="L136" s="23">
        <v>1.6</v>
      </c>
      <c r="M136" s="24">
        <v>90000</v>
      </c>
      <c r="N136" s="24">
        <v>0</v>
      </c>
      <c r="O136" s="25">
        <v>144000</v>
      </c>
      <c r="P136" s="25">
        <v>0</v>
      </c>
      <c r="Q136" s="24">
        <v>90000</v>
      </c>
      <c r="R136" s="21" t="s">
        <v>506</v>
      </c>
      <c r="S136" s="21" t="s">
        <v>437</v>
      </c>
      <c r="T136" s="21" t="s">
        <v>17</v>
      </c>
      <c r="U136" s="21" t="s">
        <v>507</v>
      </c>
      <c r="V136" s="21" t="s">
        <v>17</v>
      </c>
      <c r="W136" s="21" t="s">
        <v>439</v>
      </c>
      <c r="X136" s="21" t="s">
        <v>439</v>
      </c>
    </row>
    <row r="137" spans="1:24" ht="10.5" customHeight="1" x14ac:dyDescent="0.25">
      <c r="A137" s="20">
        <v>46027</v>
      </c>
      <c r="B137" s="21" t="str">
        <f t="shared" si="2"/>
        <v>05/01/2026NL600004</v>
      </c>
      <c r="C137" s="22" t="s">
        <v>516</v>
      </c>
      <c r="D137" s="22" t="s">
        <v>17</v>
      </c>
      <c r="E137" s="22" t="s">
        <v>431</v>
      </c>
      <c r="F137" s="21" t="s">
        <v>432</v>
      </c>
      <c r="G137" s="21" t="s">
        <v>433</v>
      </c>
      <c r="H137" s="21" t="s">
        <v>517</v>
      </c>
      <c r="I137" s="21" t="s">
        <v>225</v>
      </c>
      <c r="J137" s="21" t="s">
        <v>37</v>
      </c>
      <c r="K137" s="21" t="s">
        <v>442</v>
      </c>
      <c r="L137" s="23">
        <v>14</v>
      </c>
      <c r="M137" s="24">
        <v>18000</v>
      </c>
      <c r="N137" s="24">
        <v>0</v>
      </c>
      <c r="O137" s="25">
        <v>252000</v>
      </c>
      <c r="P137" s="25">
        <v>0</v>
      </c>
      <c r="Q137" s="24">
        <v>18000</v>
      </c>
      <c r="R137" s="21" t="s">
        <v>506</v>
      </c>
      <c r="S137" s="21" t="s">
        <v>437</v>
      </c>
      <c r="T137" s="21" t="s">
        <v>17</v>
      </c>
      <c r="U137" s="21" t="s">
        <v>507</v>
      </c>
      <c r="V137" s="21" t="s">
        <v>17</v>
      </c>
      <c r="W137" s="21" t="s">
        <v>439</v>
      </c>
      <c r="X137" s="21" t="s">
        <v>439</v>
      </c>
    </row>
    <row r="138" spans="1:24" ht="10.5" customHeight="1" x14ac:dyDescent="0.25">
      <c r="A138" s="20">
        <v>46027</v>
      </c>
      <c r="B138" s="21" t="str">
        <f t="shared" si="2"/>
        <v>05/01/2026NL300062</v>
      </c>
      <c r="C138" s="22" t="s">
        <v>516</v>
      </c>
      <c r="D138" s="22" t="s">
        <v>17</v>
      </c>
      <c r="E138" s="22" t="s">
        <v>431</v>
      </c>
      <c r="F138" s="21" t="s">
        <v>432</v>
      </c>
      <c r="G138" s="21" t="s">
        <v>433</v>
      </c>
      <c r="H138" s="21" t="s">
        <v>517</v>
      </c>
      <c r="I138" s="21" t="s">
        <v>236</v>
      </c>
      <c r="J138" s="21" t="s">
        <v>482</v>
      </c>
      <c r="K138" s="21" t="s">
        <v>442</v>
      </c>
      <c r="L138" s="23">
        <v>0.2</v>
      </c>
      <c r="M138" s="24">
        <v>65000</v>
      </c>
      <c r="N138" s="24">
        <v>0</v>
      </c>
      <c r="O138" s="25">
        <v>13000</v>
      </c>
      <c r="P138" s="25">
        <v>0</v>
      </c>
      <c r="Q138" s="24">
        <v>65000</v>
      </c>
      <c r="R138" s="21" t="s">
        <v>506</v>
      </c>
      <c r="S138" s="21" t="s">
        <v>437</v>
      </c>
      <c r="T138" s="21" t="s">
        <v>17</v>
      </c>
      <c r="U138" s="21" t="s">
        <v>507</v>
      </c>
      <c r="V138" s="21" t="s">
        <v>17</v>
      </c>
      <c r="W138" s="21" t="s">
        <v>439</v>
      </c>
      <c r="X138" s="21" t="s">
        <v>439</v>
      </c>
    </row>
    <row r="139" spans="1:24" ht="10.5" customHeight="1" x14ac:dyDescent="0.25">
      <c r="A139" s="20">
        <v>46027</v>
      </c>
      <c r="B139" s="21" t="str">
        <f t="shared" si="2"/>
        <v>05/01/2026NL300030</v>
      </c>
      <c r="C139" s="22" t="s">
        <v>516</v>
      </c>
      <c r="D139" s="22" t="s">
        <v>17</v>
      </c>
      <c r="E139" s="22" t="s">
        <v>431</v>
      </c>
      <c r="F139" s="21" t="s">
        <v>432</v>
      </c>
      <c r="G139" s="21" t="s">
        <v>433</v>
      </c>
      <c r="H139" s="21" t="s">
        <v>517</v>
      </c>
      <c r="I139" s="21" t="s">
        <v>313</v>
      </c>
      <c r="J139" s="21" t="s">
        <v>470</v>
      </c>
      <c r="K139" s="21" t="s">
        <v>442</v>
      </c>
      <c r="L139" s="23">
        <v>0.4</v>
      </c>
      <c r="M139" s="24">
        <v>34000</v>
      </c>
      <c r="N139" s="24">
        <v>0</v>
      </c>
      <c r="O139" s="25">
        <v>13600</v>
      </c>
      <c r="P139" s="25">
        <v>0</v>
      </c>
      <c r="Q139" s="24">
        <v>34000</v>
      </c>
      <c r="R139" s="21" t="s">
        <v>506</v>
      </c>
      <c r="S139" s="21" t="s">
        <v>437</v>
      </c>
      <c r="T139" s="21" t="s">
        <v>17</v>
      </c>
      <c r="U139" s="21" t="s">
        <v>507</v>
      </c>
      <c r="V139" s="21" t="s">
        <v>17</v>
      </c>
      <c r="W139" s="21" t="s">
        <v>439</v>
      </c>
      <c r="X139" s="21" t="s">
        <v>439</v>
      </c>
    </row>
    <row r="140" spans="1:24" ht="10.5" customHeight="1" x14ac:dyDescent="0.25">
      <c r="A140" s="20">
        <v>46027</v>
      </c>
      <c r="B140" s="21" t="str">
        <f t="shared" si="2"/>
        <v>05/01/2026NL300029</v>
      </c>
      <c r="C140" s="22" t="s">
        <v>516</v>
      </c>
      <c r="D140" s="22" t="s">
        <v>17</v>
      </c>
      <c r="E140" s="22" t="s">
        <v>431</v>
      </c>
      <c r="F140" s="21" t="s">
        <v>432</v>
      </c>
      <c r="G140" s="21" t="s">
        <v>433</v>
      </c>
      <c r="H140" s="21" t="s">
        <v>517</v>
      </c>
      <c r="I140" s="21" t="s">
        <v>213</v>
      </c>
      <c r="J140" s="21" t="s">
        <v>469</v>
      </c>
      <c r="K140" s="21" t="s">
        <v>442</v>
      </c>
      <c r="L140" s="23">
        <v>0.5</v>
      </c>
      <c r="M140" s="24">
        <v>22000</v>
      </c>
      <c r="N140" s="24">
        <v>0</v>
      </c>
      <c r="O140" s="25">
        <v>11000</v>
      </c>
      <c r="P140" s="25">
        <v>0</v>
      </c>
      <c r="Q140" s="24">
        <v>22000</v>
      </c>
      <c r="R140" s="21" t="s">
        <v>506</v>
      </c>
      <c r="S140" s="21" t="s">
        <v>437</v>
      </c>
      <c r="T140" s="21" t="s">
        <v>17</v>
      </c>
      <c r="U140" s="21" t="s">
        <v>507</v>
      </c>
      <c r="V140" s="21" t="s">
        <v>17</v>
      </c>
      <c r="W140" s="21" t="s">
        <v>439</v>
      </c>
      <c r="X140" s="21" t="s">
        <v>439</v>
      </c>
    </row>
    <row r="141" spans="1:24" ht="10.5" customHeight="1" x14ac:dyDescent="0.25">
      <c r="A141" s="20">
        <v>46027</v>
      </c>
      <c r="B141" s="21" t="str">
        <f t="shared" si="2"/>
        <v>05/01/2026NL600067</v>
      </c>
      <c r="C141" s="22" t="s">
        <v>516</v>
      </c>
      <c r="D141" s="22" t="s">
        <v>17</v>
      </c>
      <c r="E141" s="22" t="s">
        <v>431</v>
      </c>
      <c r="F141" s="21" t="s">
        <v>432</v>
      </c>
      <c r="G141" s="21" t="s">
        <v>433</v>
      </c>
      <c r="H141" s="21" t="s">
        <v>517</v>
      </c>
      <c r="I141" s="21" t="s">
        <v>376</v>
      </c>
      <c r="J141" s="21" t="s">
        <v>60</v>
      </c>
      <c r="K141" s="21" t="s">
        <v>442</v>
      </c>
      <c r="L141" s="23">
        <v>0.6</v>
      </c>
      <c r="M141" s="24">
        <v>75000</v>
      </c>
      <c r="N141" s="24">
        <v>0</v>
      </c>
      <c r="O141" s="25">
        <v>45000</v>
      </c>
      <c r="P141" s="25">
        <v>0</v>
      </c>
      <c r="Q141" s="24">
        <v>75000</v>
      </c>
      <c r="R141" s="21" t="s">
        <v>506</v>
      </c>
      <c r="S141" s="21" t="s">
        <v>437</v>
      </c>
      <c r="T141" s="21" t="s">
        <v>17</v>
      </c>
      <c r="U141" s="21" t="s">
        <v>507</v>
      </c>
      <c r="V141" s="21" t="s">
        <v>17</v>
      </c>
      <c r="W141" s="21" t="s">
        <v>439</v>
      </c>
      <c r="X141" s="21" t="s">
        <v>439</v>
      </c>
    </row>
    <row r="142" spans="1:24" ht="10.5" customHeight="1" x14ac:dyDescent="0.25">
      <c r="A142" s="20">
        <v>46027</v>
      </c>
      <c r="B142" s="21" t="str">
        <f t="shared" si="2"/>
        <v>05/01/2026NL300007</v>
      </c>
      <c r="C142" s="22" t="s">
        <v>516</v>
      </c>
      <c r="D142" s="22" t="s">
        <v>17</v>
      </c>
      <c r="E142" s="22" t="s">
        <v>431</v>
      </c>
      <c r="F142" s="21" t="s">
        <v>432</v>
      </c>
      <c r="G142" s="21" t="s">
        <v>433</v>
      </c>
      <c r="H142" s="21" t="s">
        <v>517</v>
      </c>
      <c r="I142" s="21" t="s">
        <v>309</v>
      </c>
      <c r="J142" s="21" t="s">
        <v>444</v>
      </c>
      <c r="K142" s="21" t="s">
        <v>442</v>
      </c>
      <c r="L142" s="23">
        <v>1</v>
      </c>
      <c r="M142" s="24">
        <v>30000</v>
      </c>
      <c r="N142" s="24">
        <v>0</v>
      </c>
      <c r="O142" s="25">
        <v>30000</v>
      </c>
      <c r="P142" s="25">
        <v>0</v>
      </c>
      <c r="Q142" s="24">
        <v>30000</v>
      </c>
      <c r="R142" s="21" t="s">
        <v>506</v>
      </c>
      <c r="S142" s="21" t="s">
        <v>437</v>
      </c>
      <c r="T142" s="21" t="s">
        <v>17</v>
      </c>
      <c r="U142" s="21" t="s">
        <v>507</v>
      </c>
      <c r="V142" s="21" t="s">
        <v>17</v>
      </c>
      <c r="W142" s="21" t="s">
        <v>439</v>
      </c>
      <c r="X142" s="21" t="s">
        <v>439</v>
      </c>
    </row>
    <row r="143" spans="1:24" ht="10.5" customHeight="1" x14ac:dyDescent="0.25">
      <c r="A143" s="20">
        <v>46027</v>
      </c>
      <c r="B143" s="21" t="str">
        <f t="shared" si="2"/>
        <v>05/01/2026NL300008</v>
      </c>
      <c r="C143" s="22" t="s">
        <v>516</v>
      </c>
      <c r="D143" s="22" t="s">
        <v>17</v>
      </c>
      <c r="E143" s="22" t="s">
        <v>431</v>
      </c>
      <c r="F143" s="21" t="s">
        <v>432</v>
      </c>
      <c r="G143" s="21" t="s">
        <v>433</v>
      </c>
      <c r="H143" s="21" t="s">
        <v>517</v>
      </c>
      <c r="I143" s="21" t="s">
        <v>320</v>
      </c>
      <c r="J143" s="21" t="s">
        <v>445</v>
      </c>
      <c r="K143" s="21" t="s">
        <v>442</v>
      </c>
      <c r="L143" s="23">
        <v>4</v>
      </c>
      <c r="M143" s="24">
        <v>40000</v>
      </c>
      <c r="N143" s="24">
        <v>0</v>
      </c>
      <c r="O143" s="25">
        <v>160000</v>
      </c>
      <c r="P143" s="25">
        <v>0</v>
      </c>
      <c r="Q143" s="24">
        <v>40000</v>
      </c>
      <c r="R143" s="21" t="s">
        <v>506</v>
      </c>
      <c r="S143" s="21" t="s">
        <v>437</v>
      </c>
      <c r="T143" s="21" t="s">
        <v>17</v>
      </c>
      <c r="U143" s="21" t="s">
        <v>507</v>
      </c>
      <c r="V143" s="21" t="s">
        <v>17</v>
      </c>
      <c r="W143" s="21" t="s">
        <v>439</v>
      </c>
      <c r="X143" s="21" t="s">
        <v>439</v>
      </c>
    </row>
    <row r="144" spans="1:24" ht="10.5" customHeight="1" x14ac:dyDescent="0.25">
      <c r="A144" s="20">
        <v>46027</v>
      </c>
      <c r="B144" s="21" t="str">
        <f t="shared" si="2"/>
        <v>05/01/2026NL300028</v>
      </c>
      <c r="C144" s="22" t="s">
        <v>516</v>
      </c>
      <c r="D144" s="22" t="s">
        <v>17</v>
      </c>
      <c r="E144" s="22" t="s">
        <v>431</v>
      </c>
      <c r="F144" s="21" t="s">
        <v>432</v>
      </c>
      <c r="G144" s="21" t="s">
        <v>433</v>
      </c>
      <c r="H144" s="21" t="s">
        <v>517</v>
      </c>
      <c r="I144" s="21" t="s">
        <v>325</v>
      </c>
      <c r="J144" s="21" t="s">
        <v>27</v>
      </c>
      <c r="K144" s="21" t="s">
        <v>442</v>
      </c>
      <c r="L144" s="23">
        <v>0.4</v>
      </c>
      <c r="M144" s="24">
        <v>75000</v>
      </c>
      <c r="N144" s="24">
        <v>0</v>
      </c>
      <c r="O144" s="25">
        <v>30000</v>
      </c>
      <c r="P144" s="25">
        <v>0</v>
      </c>
      <c r="Q144" s="24">
        <v>75000</v>
      </c>
      <c r="R144" s="21" t="s">
        <v>506</v>
      </c>
      <c r="S144" s="21" t="s">
        <v>437</v>
      </c>
      <c r="T144" s="21" t="s">
        <v>17</v>
      </c>
      <c r="U144" s="21" t="s">
        <v>507</v>
      </c>
      <c r="V144" s="21" t="s">
        <v>17</v>
      </c>
      <c r="W144" s="21" t="s">
        <v>439</v>
      </c>
      <c r="X144" s="21" t="s">
        <v>439</v>
      </c>
    </row>
    <row r="145" spans="1:24" ht="10.5" customHeight="1" x14ac:dyDescent="0.25">
      <c r="A145" s="20">
        <v>46027</v>
      </c>
      <c r="B145" s="21" t="str">
        <f t="shared" si="2"/>
        <v>05/01/2026NL300020</v>
      </c>
      <c r="C145" s="22" t="s">
        <v>516</v>
      </c>
      <c r="D145" s="22" t="s">
        <v>17</v>
      </c>
      <c r="E145" s="22" t="s">
        <v>431</v>
      </c>
      <c r="F145" s="21" t="s">
        <v>432</v>
      </c>
      <c r="G145" s="21" t="s">
        <v>433</v>
      </c>
      <c r="H145" s="21" t="s">
        <v>517</v>
      </c>
      <c r="I145" s="21" t="s">
        <v>326</v>
      </c>
      <c r="J145" s="21" t="s">
        <v>446</v>
      </c>
      <c r="K145" s="21" t="s">
        <v>442</v>
      </c>
      <c r="L145" s="23">
        <v>1.5</v>
      </c>
      <c r="M145" s="24">
        <v>30000</v>
      </c>
      <c r="N145" s="24">
        <v>0</v>
      </c>
      <c r="O145" s="25">
        <v>45000</v>
      </c>
      <c r="P145" s="25">
        <v>0</v>
      </c>
      <c r="Q145" s="24">
        <v>30000</v>
      </c>
      <c r="R145" s="21" t="s">
        <v>506</v>
      </c>
      <c r="S145" s="21" t="s">
        <v>437</v>
      </c>
      <c r="T145" s="21" t="s">
        <v>17</v>
      </c>
      <c r="U145" s="21" t="s">
        <v>507</v>
      </c>
      <c r="V145" s="21" t="s">
        <v>17</v>
      </c>
      <c r="W145" s="21" t="s">
        <v>439</v>
      </c>
      <c r="X145" s="21" t="s">
        <v>439</v>
      </c>
    </row>
    <row r="146" spans="1:24" ht="10.5" customHeight="1" x14ac:dyDescent="0.25">
      <c r="A146" s="20">
        <v>46027</v>
      </c>
      <c r="B146" s="21" t="str">
        <f t="shared" si="2"/>
        <v>05/01/2026NL300038</v>
      </c>
      <c r="C146" s="22" t="s">
        <v>516</v>
      </c>
      <c r="D146" s="22" t="s">
        <v>17</v>
      </c>
      <c r="E146" s="22" t="s">
        <v>431</v>
      </c>
      <c r="F146" s="21" t="s">
        <v>432</v>
      </c>
      <c r="G146" s="21" t="s">
        <v>433</v>
      </c>
      <c r="H146" s="21" t="s">
        <v>517</v>
      </c>
      <c r="I146" s="21" t="s">
        <v>217</v>
      </c>
      <c r="J146" s="21" t="s">
        <v>35</v>
      </c>
      <c r="K146" s="21" t="s">
        <v>442</v>
      </c>
      <c r="L146" s="23">
        <v>1.5</v>
      </c>
      <c r="M146" s="24">
        <v>32000</v>
      </c>
      <c r="N146" s="24">
        <v>0</v>
      </c>
      <c r="O146" s="25">
        <v>48000</v>
      </c>
      <c r="P146" s="25">
        <v>0</v>
      </c>
      <c r="Q146" s="24">
        <v>32000</v>
      </c>
      <c r="R146" s="21" t="s">
        <v>506</v>
      </c>
      <c r="S146" s="21" t="s">
        <v>437</v>
      </c>
      <c r="T146" s="21" t="s">
        <v>17</v>
      </c>
      <c r="U146" s="21" t="s">
        <v>507</v>
      </c>
      <c r="V146" s="21" t="s">
        <v>17</v>
      </c>
      <c r="W146" s="21" t="s">
        <v>439</v>
      </c>
      <c r="X146" s="21" t="s">
        <v>439</v>
      </c>
    </row>
    <row r="147" spans="1:24" ht="10.5" customHeight="1" x14ac:dyDescent="0.25">
      <c r="A147" s="20">
        <v>46027</v>
      </c>
      <c r="B147" s="21" t="str">
        <f t="shared" si="2"/>
        <v>05/01/2026NL300054</v>
      </c>
      <c r="C147" s="22" t="s">
        <v>516</v>
      </c>
      <c r="D147" s="22" t="s">
        <v>17</v>
      </c>
      <c r="E147" s="22" t="s">
        <v>431</v>
      </c>
      <c r="F147" s="21" t="s">
        <v>432</v>
      </c>
      <c r="G147" s="21" t="s">
        <v>433</v>
      </c>
      <c r="H147" s="21" t="s">
        <v>517</v>
      </c>
      <c r="I147" s="21" t="s">
        <v>216</v>
      </c>
      <c r="J147" s="21" t="s">
        <v>451</v>
      </c>
      <c r="K147" s="21" t="s">
        <v>442</v>
      </c>
      <c r="L147" s="23">
        <v>0.7</v>
      </c>
      <c r="M147" s="24">
        <v>38000</v>
      </c>
      <c r="N147" s="24">
        <v>0</v>
      </c>
      <c r="O147" s="25">
        <v>26600</v>
      </c>
      <c r="P147" s="25">
        <v>0</v>
      </c>
      <c r="Q147" s="24">
        <v>38000</v>
      </c>
      <c r="R147" s="21" t="s">
        <v>506</v>
      </c>
      <c r="S147" s="21" t="s">
        <v>437</v>
      </c>
      <c r="T147" s="21" t="s">
        <v>17</v>
      </c>
      <c r="U147" s="21" t="s">
        <v>507</v>
      </c>
      <c r="V147" s="21" t="s">
        <v>17</v>
      </c>
      <c r="W147" s="21" t="s">
        <v>439</v>
      </c>
      <c r="X147" s="21" t="s">
        <v>439</v>
      </c>
    </row>
    <row r="148" spans="1:24" ht="10.5" customHeight="1" x14ac:dyDescent="0.25">
      <c r="A148" s="20">
        <v>46027</v>
      </c>
      <c r="B148" s="21" t="str">
        <f t="shared" si="2"/>
        <v>05/01/2026NL300058</v>
      </c>
      <c r="C148" s="22" t="s">
        <v>516</v>
      </c>
      <c r="D148" s="22" t="s">
        <v>17</v>
      </c>
      <c r="E148" s="22" t="s">
        <v>431</v>
      </c>
      <c r="F148" s="21" t="s">
        <v>432</v>
      </c>
      <c r="G148" s="21" t="s">
        <v>433</v>
      </c>
      <c r="H148" s="21" t="s">
        <v>517</v>
      </c>
      <c r="I148" s="21" t="s">
        <v>228</v>
      </c>
      <c r="J148" s="21" t="s">
        <v>39</v>
      </c>
      <c r="K148" s="21" t="s">
        <v>442</v>
      </c>
      <c r="L148" s="23">
        <v>1.5</v>
      </c>
      <c r="M148" s="24">
        <v>55000</v>
      </c>
      <c r="N148" s="24">
        <v>0</v>
      </c>
      <c r="O148" s="25">
        <v>82500</v>
      </c>
      <c r="P148" s="25">
        <v>0</v>
      </c>
      <c r="Q148" s="24">
        <v>55000</v>
      </c>
      <c r="R148" s="21" t="s">
        <v>506</v>
      </c>
      <c r="S148" s="21" t="s">
        <v>437</v>
      </c>
      <c r="T148" s="21" t="s">
        <v>17</v>
      </c>
      <c r="U148" s="21" t="s">
        <v>507</v>
      </c>
      <c r="V148" s="21" t="s">
        <v>17</v>
      </c>
      <c r="W148" s="21" t="s">
        <v>439</v>
      </c>
      <c r="X148" s="21" t="s">
        <v>439</v>
      </c>
    </row>
    <row r="149" spans="1:24" ht="10.5" customHeight="1" x14ac:dyDescent="0.25">
      <c r="A149" s="20">
        <v>46027</v>
      </c>
      <c r="B149" s="21" t="str">
        <f t="shared" si="2"/>
        <v>05/01/2026NL300085</v>
      </c>
      <c r="C149" s="22" t="s">
        <v>516</v>
      </c>
      <c r="D149" s="22" t="s">
        <v>17</v>
      </c>
      <c r="E149" s="22" t="s">
        <v>431</v>
      </c>
      <c r="F149" s="21" t="s">
        <v>432</v>
      </c>
      <c r="G149" s="21" t="s">
        <v>433</v>
      </c>
      <c r="H149" s="21" t="s">
        <v>517</v>
      </c>
      <c r="I149" s="21" t="s">
        <v>263</v>
      </c>
      <c r="J149" s="21" t="s">
        <v>453</v>
      </c>
      <c r="K149" s="21" t="s">
        <v>442</v>
      </c>
      <c r="L149" s="23">
        <v>1.5</v>
      </c>
      <c r="M149" s="24">
        <v>45000</v>
      </c>
      <c r="N149" s="24">
        <v>0</v>
      </c>
      <c r="O149" s="25">
        <v>67500</v>
      </c>
      <c r="P149" s="25">
        <v>0</v>
      </c>
      <c r="Q149" s="24">
        <v>45000</v>
      </c>
      <c r="R149" s="21" t="s">
        <v>506</v>
      </c>
      <c r="S149" s="21" t="s">
        <v>437</v>
      </c>
      <c r="T149" s="21" t="s">
        <v>17</v>
      </c>
      <c r="U149" s="21" t="s">
        <v>507</v>
      </c>
      <c r="V149" s="21" t="s">
        <v>17</v>
      </c>
      <c r="W149" s="21" t="s">
        <v>439</v>
      </c>
      <c r="X149" s="21" t="s">
        <v>439</v>
      </c>
    </row>
    <row r="150" spans="1:24" ht="10.5" customHeight="1" x14ac:dyDescent="0.25">
      <c r="A150" s="20">
        <v>46027</v>
      </c>
      <c r="B150" s="21" t="str">
        <f t="shared" si="2"/>
        <v>05/01/2026NL300091</v>
      </c>
      <c r="C150" s="22" t="s">
        <v>516</v>
      </c>
      <c r="D150" s="22" t="s">
        <v>17</v>
      </c>
      <c r="E150" s="22" t="s">
        <v>431</v>
      </c>
      <c r="F150" s="21" t="s">
        <v>432</v>
      </c>
      <c r="G150" s="21" t="s">
        <v>433</v>
      </c>
      <c r="H150" s="21" t="s">
        <v>517</v>
      </c>
      <c r="I150" s="21" t="s">
        <v>256</v>
      </c>
      <c r="J150" s="21" t="s">
        <v>72</v>
      </c>
      <c r="K150" s="21" t="s">
        <v>442</v>
      </c>
      <c r="L150" s="23">
        <v>0.9</v>
      </c>
      <c r="M150" s="24">
        <v>47000</v>
      </c>
      <c r="N150" s="24">
        <v>0</v>
      </c>
      <c r="O150" s="25">
        <v>42300</v>
      </c>
      <c r="P150" s="25">
        <v>0</v>
      </c>
      <c r="Q150" s="24">
        <v>47000</v>
      </c>
      <c r="R150" s="21" t="s">
        <v>506</v>
      </c>
      <c r="S150" s="21" t="s">
        <v>437</v>
      </c>
      <c r="T150" s="21" t="s">
        <v>17</v>
      </c>
      <c r="U150" s="21" t="s">
        <v>507</v>
      </c>
      <c r="V150" s="21" t="s">
        <v>17</v>
      </c>
      <c r="W150" s="21" t="s">
        <v>439</v>
      </c>
      <c r="X150" s="21" t="s">
        <v>439</v>
      </c>
    </row>
    <row r="151" spans="1:24" ht="10.5" customHeight="1" x14ac:dyDescent="0.25">
      <c r="A151" s="20">
        <v>46027</v>
      </c>
      <c r="B151" s="21" t="str">
        <f t="shared" si="2"/>
        <v>05/01/2026NL300092</v>
      </c>
      <c r="C151" s="22" t="s">
        <v>516</v>
      </c>
      <c r="D151" s="22" t="s">
        <v>17</v>
      </c>
      <c r="E151" s="22" t="s">
        <v>431</v>
      </c>
      <c r="F151" s="21" t="s">
        <v>432</v>
      </c>
      <c r="G151" s="21" t="s">
        <v>433</v>
      </c>
      <c r="H151" s="21" t="s">
        <v>517</v>
      </c>
      <c r="I151" s="21" t="s">
        <v>329</v>
      </c>
      <c r="J151" s="21" t="s">
        <v>74</v>
      </c>
      <c r="K151" s="21" t="s">
        <v>442</v>
      </c>
      <c r="L151" s="23">
        <v>1.4</v>
      </c>
      <c r="M151" s="24">
        <v>90000</v>
      </c>
      <c r="N151" s="24">
        <v>0</v>
      </c>
      <c r="O151" s="25">
        <v>126000</v>
      </c>
      <c r="P151" s="25">
        <v>0</v>
      </c>
      <c r="Q151" s="24">
        <v>90000</v>
      </c>
      <c r="R151" s="21" t="s">
        <v>506</v>
      </c>
      <c r="S151" s="21" t="s">
        <v>437</v>
      </c>
      <c r="T151" s="21" t="s">
        <v>17</v>
      </c>
      <c r="U151" s="21" t="s">
        <v>507</v>
      </c>
      <c r="V151" s="21" t="s">
        <v>17</v>
      </c>
      <c r="W151" s="21" t="s">
        <v>439</v>
      </c>
      <c r="X151" s="21" t="s">
        <v>439</v>
      </c>
    </row>
    <row r="152" spans="1:24" ht="10.5" customHeight="1" x14ac:dyDescent="0.25">
      <c r="A152" s="20">
        <v>46027</v>
      </c>
      <c r="B152" s="21" t="str">
        <f t="shared" si="2"/>
        <v>05/01/2026NL300094</v>
      </c>
      <c r="C152" s="22" t="s">
        <v>516</v>
      </c>
      <c r="D152" s="22" t="s">
        <v>17</v>
      </c>
      <c r="E152" s="22" t="s">
        <v>431</v>
      </c>
      <c r="F152" s="21" t="s">
        <v>432</v>
      </c>
      <c r="G152" s="21" t="s">
        <v>433</v>
      </c>
      <c r="H152" s="21" t="s">
        <v>517</v>
      </c>
      <c r="I152" s="21" t="s">
        <v>257</v>
      </c>
      <c r="J152" s="21" t="s">
        <v>454</v>
      </c>
      <c r="K152" s="21" t="s">
        <v>442</v>
      </c>
      <c r="L152" s="23">
        <v>0.7</v>
      </c>
      <c r="M152" s="24">
        <v>80000</v>
      </c>
      <c r="N152" s="24">
        <v>0</v>
      </c>
      <c r="O152" s="25">
        <v>56000</v>
      </c>
      <c r="P152" s="25">
        <v>0</v>
      </c>
      <c r="Q152" s="24">
        <v>80000</v>
      </c>
      <c r="R152" s="21" t="s">
        <v>506</v>
      </c>
      <c r="S152" s="21" t="s">
        <v>437</v>
      </c>
      <c r="T152" s="21" t="s">
        <v>17</v>
      </c>
      <c r="U152" s="21" t="s">
        <v>507</v>
      </c>
      <c r="V152" s="21" t="s">
        <v>17</v>
      </c>
      <c r="W152" s="21" t="s">
        <v>439</v>
      </c>
      <c r="X152" s="21" t="s">
        <v>439</v>
      </c>
    </row>
    <row r="153" spans="1:24" ht="10.5" customHeight="1" x14ac:dyDescent="0.25">
      <c r="A153" s="20">
        <v>46027</v>
      </c>
      <c r="B153" s="21" t="str">
        <f t="shared" si="2"/>
        <v>05/01/2026NL300096</v>
      </c>
      <c r="C153" s="22" t="s">
        <v>516</v>
      </c>
      <c r="D153" s="22" t="s">
        <v>17</v>
      </c>
      <c r="E153" s="22" t="s">
        <v>431</v>
      </c>
      <c r="F153" s="21" t="s">
        <v>432</v>
      </c>
      <c r="G153" s="21" t="s">
        <v>433</v>
      </c>
      <c r="H153" s="21" t="s">
        <v>517</v>
      </c>
      <c r="I153" s="21" t="s">
        <v>258</v>
      </c>
      <c r="J153" s="21" t="s">
        <v>45</v>
      </c>
      <c r="K153" s="21" t="s">
        <v>442</v>
      </c>
      <c r="L153" s="23">
        <v>3</v>
      </c>
      <c r="M153" s="24">
        <v>45000</v>
      </c>
      <c r="N153" s="24">
        <v>0</v>
      </c>
      <c r="O153" s="25">
        <v>135000</v>
      </c>
      <c r="P153" s="25">
        <v>0</v>
      </c>
      <c r="Q153" s="24">
        <v>45000</v>
      </c>
      <c r="R153" s="21" t="s">
        <v>506</v>
      </c>
      <c r="S153" s="21" t="s">
        <v>437</v>
      </c>
      <c r="T153" s="21" t="s">
        <v>17</v>
      </c>
      <c r="U153" s="21" t="s">
        <v>507</v>
      </c>
      <c r="V153" s="21" t="s">
        <v>17</v>
      </c>
      <c r="W153" s="21" t="s">
        <v>439</v>
      </c>
      <c r="X153" s="21" t="s">
        <v>439</v>
      </c>
    </row>
    <row r="154" spans="1:24" ht="10.5" customHeight="1" x14ac:dyDescent="0.25">
      <c r="A154" s="20">
        <v>46027</v>
      </c>
      <c r="B154" s="21" t="str">
        <f t="shared" si="2"/>
        <v>05/01/2026NL300097</v>
      </c>
      <c r="C154" s="22" t="s">
        <v>516</v>
      </c>
      <c r="D154" s="22" t="s">
        <v>17</v>
      </c>
      <c r="E154" s="22" t="s">
        <v>431</v>
      </c>
      <c r="F154" s="21" t="s">
        <v>432</v>
      </c>
      <c r="G154" s="21" t="s">
        <v>433</v>
      </c>
      <c r="H154" s="21" t="s">
        <v>517</v>
      </c>
      <c r="I154" s="21" t="s">
        <v>331</v>
      </c>
      <c r="J154" s="21" t="s">
        <v>443</v>
      </c>
      <c r="K154" s="21" t="s">
        <v>442</v>
      </c>
      <c r="L154" s="23">
        <v>0.4</v>
      </c>
      <c r="M154" s="24">
        <v>90000</v>
      </c>
      <c r="N154" s="24">
        <v>0</v>
      </c>
      <c r="O154" s="25">
        <v>36000</v>
      </c>
      <c r="P154" s="25">
        <v>0</v>
      </c>
      <c r="Q154" s="24">
        <v>90000</v>
      </c>
      <c r="R154" s="21" t="s">
        <v>506</v>
      </c>
      <c r="S154" s="21" t="s">
        <v>437</v>
      </c>
      <c r="T154" s="21" t="s">
        <v>17</v>
      </c>
      <c r="U154" s="21" t="s">
        <v>507</v>
      </c>
      <c r="V154" s="21" t="s">
        <v>17</v>
      </c>
      <c r="W154" s="21" t="s">
        <v>439</v>
      </c>
      <c r="X154" s="21" t="s">
        <v>439</v>
      </c>
    </row>
    <row r="155" spans="1:24" ht="10.5" customHeight="1" x14ac:dyDescent="0.25">
      <c r="A155" s="20">
        <v>46027</v>
      </c>
      <c r="B155" s="21" t="str">
        <f t="shared" si="2"/>
        <v>05/01/2026NL300098</v>
      </c>
      <c r="C155" s="22" t="s">
        <v>516</v>
      </c>
      <c r="D155" s="22" t="s">
        <v>17</v>
      </c>
      <c r="E155" s="22" t="s">
        <v>431</v>
      </c>
      <c r="F155" s="21" t="s">
        <v>432</v>
      </c>
      <c r="G155" s="21" t="s">
        <v>433</v>
      </c>
      <c r="H155" s="21" t="s">
        <v>517</v>
      </c>
      <c r="I155" s="21" t="s">
        <v>330</v>
      </c>
      <c r="J155" s="21" t="s">
        <v>468</v>
      </c>
      <c r="K155" s="21" t="s">
        <v>442</v>
      </c>
      <c r="L155" s="23">
        <v>0.3</v>
      </c>
      <c r="M155" s="24">
        <v>95000</v>
      </c>
      <c r="N155" s="24">
        <v>0</v>
      </c>
      <c r="O155" s="25">
        <v>28500</v>
      </c>
      <c r="P155" s="25">
        <v>0</v>
      </c>
      <c r="Q155" s="24">
        <v>95000</v>
      </c>
      <c r="R155" s="21" t="s">
        <v>506</v>
      </c>
      <c r="S155" s="21" t="s">
        <v>437</v>
      </c>
      <c r="T155" s="21" t="s">
        <v>17</v>
      </c>
      <c r="U155" s="21" t="s">
        <v>507</v>
      </c>
      <c r="V155" s="21" t="s">
        <v>17</v>
      </c>
      <c r="W155" s="21" t="s">
        <v>439</v>
      </c>
      <c r="X155" s="21" t="s">
        <v>439</v>
      </c>
    </row>
    <row r="156" spans="1:24" ht="10.5" customHeight="1" x14ac:dyDescent="0.25">
      <c r="A156" s="20">
        <v>46027</v>
      </c>
      <c r="B156" s="21" t="str">
        <f t="shared" si="2"/>
        <v>05/01/2026NL300113</v>
      </c>
      <c r="C156" s="22" t="s">
        <v>516</v>
      </c>
      <c r="D156" s="22" t="s">
        <v>17</v>
      </c>
      <c r="E156" s="22" t="s">
        <v>431</v>
      </c>
      <c r="F156" s="21" t="s">
        <v>432</v>
      </c>
      <c r="G156" s="21" t="s">
        <v>433</v>
      </c>
      <c r="H156" s="21" t="s">
        <v>517</v>
      </c>
      <c r="I156" s="21" t="s">
        <v>271</v>
      </c>
      <c r="J156" s="21" t="s">
        <v>103</v>
      </c>
      <c r="K156" s="21" t="s">
        <v>442</v>
      </c>
      <c r="L156" s="23">
        <v>0.4</v>
      </c>
      <c r="M156" s="24">
        <v>145000</v>
      </c>
      <c r="N156" s="24">
        <v>0</v>
      </c>
      <c r="O156" s="25">
        <v>58000</v>
      </c>
      <c r="P156" s="25">
        <v>0</v>
      </c>
      <c r="Q156" s="24">
        <v>145000</v>
      </c>
      <c r="R156" s="21" t="s">
        <v>506</v>
      </c>
      <c r="S156" s="21" t="s">
        <v>437</v>
      </c>
      <c r="T156" s="21" t="s">
        <v>17</v>
      </c>
      <c r="U156" s="21" t="s">
        <v>507</v>
      </c>
      <c r="V156" s="21" t="s">
        <v>17</v>
      </c>
      <c r="W156" s="21" t="s">
        <v>439</v>
      </c>
      <c r="X156" s="21" t="s">
        <v>439</v>
      </c>
    </row>
    <row r="157" spans="1:24" ht="10.5" customHeight="1" x14ac:dyDescent="0.25">
      <c r="A157" s="20">
        <v>46027</v>
      </c>
      <c r="B157" s="21" t="str">
        <f t="shared" si="2"/>
        <v>05/01/2026NL300137</v>
      </c>
      <c r="C157" s="22" t="s">
        <v>516</v>
      </c>
      <c r="D157" s="22" t="s">
        <v>17</v>
      </c>
      <c r="E157" s="22" t="s">
        <v>431</v>
      </c>
      <c r="F157" s="21" t="s">
        <v>432</v>
      </c>
      <c r="G157" s="21" t="s">
        <v>433</v>
      </c>
      <c r="H157" s="21" t="s">
        <v>517</v>
      </c>
      <c r="I157" s="21" t="s">
        <v>196</v>
      </c>
      <c r="J157" s="21" t="s">
        <v>458</v>
      </c>
      <c r="K157" s="21" t="s">
        <v>442</v>
      </c>
      <c r="L157" s="23">
        <v>1.5</v>
      </c>
      <c r="M157" s="24">
        <v>52000</v>
      </c>
      <c r="N157" s="24">
        <v>0</v>
      </c>
      <c r="O157" s="25">
        <v>78000</v>
      </c>
      <c r="P157" s="25">
        <v>0</v>
      </c>
      <c r="Q157" s="24">
        <v>52000</v>
      </c>
      <c r="R157" s="21" t="s">
        <v>506</v>
      </c>
      <c r="S157" s="21" t="s">
        <v>437</v>
      </c>
      <c r="T157" s="21" t="s">
        <v>17</v>
      </c>
      <c r="U157" s="21" t="s">
        <v>507</v>
      </c>
      <c r="V157" s="21" t="s">
        <v>17</v>
      </c>
      <c r="W157" s="21" t="s">
        <v>439</v>
      </c>
      <c r="X157" s="21" t="s">
        <v>439</v>
      </c>
    </row>
    <row r="158" spans="1:24" ht="10.5" customHeight="1" x14ac:dyDescent="0.25">
      <c r="A158" s="20">
        <v>46027</v>
      </c>
      <c r="B158" s="21" t="str">
        <f t="shared" si="2"/>
        <v>05/01/2026NL300147</v>
      </c>
      <c r="C158" s="22" t="s">
        <v>516</v>
      </c>
      <c r="D158" s="22" t="s">
        <v>17</v>
      </c>
      <c r="E158" s="22" t="s">
        <v>431</v>
      </c>
      <c r="F158" s="21" t="s">
        <v>432</v>
      </c>
      <c r="G158" s="21" t="s">
        <v>433</v>
      </c>
      <c r="H158" s="21" t="s">
        <v>517</v>
      </c>
      <c r="I158" s="21" t="s">
        <v>300</v>
      </c>
      <c r="J158" s="21" t="s">
        <v>459</v>
      </c>
      <c r="K158" s="21" t="s">
        <v>442</v>
      </c>
      <c r="L158" s="23">
        <v>2</v>
      </c>
      <c r="M158" s="24">
        <v>62000</v>
      </c>
      <c r="N158" s="24">
        <v>0</v>
      </c>
      <c r="O158" s="25">
        <v>124000</v>
      </c>
      <c r="P158" s="25">
        <v>0</v>
      </c>
      <c r="Q158" s="24">
        <v>62000</v>
      </c>
      <c r="R158" s="21" t="s">
        <v>506</v>
      </c>
      <c r="S158" s="21" t="s">
        <v>437</v>
      </c>
      <c r="T158" s="21" t="s">
        <v>17</v>
      </c>
      <c r="U158" s="21" t="s">
        <v>507</v>
      </c>
      <c r="V158" s="21" t="s">
        <v>17</v>
      </c>
      <c r="W158" s="21" t="s">
        <v>439</v>
      </c>
      <c r="X158" s="21" t="s">
        <v>439</v>
      </c>
    </row>
    <row r="159" spans="1:24" ht="10.5" customHeight="1" x14ac:dyDescent="0.25">
      <c r="A159" s="20">
        <v>46027</v>
      </c>
      <c r="B159" s="21" t="str">
        <f t="shared" si="2"/>
        <v>05/01/2026NL300189</v>
      </c>
      <c r="C159" s="22" t="s">
        <v>516</v>
      </c>
      <c r="D159" s="22" t="s">
        <v>17</v>
      </c>
      <c r="E159" s="22" t="s">
        <v>431</v>
      </c>
      <c r="F159" s="21" t="s">
        <v>432</v>
      </c>
      <c r="G159" s="21" t="s">
        <v>433</v>
      </c>
      <c r="H159" s="21" t="s">
        <v>517</v>
      </c>
      <c r="I159" s="21" t="s">
        <v>378</v>
      </c>
      <c r="J159" s="21" t="s">
        <v>19</v>
      </c>
      <c r="K159" s="21" t="s">
        <v>442</v>
      </c>
      <c r="L159" s="23">
        <v>1.5</v>
      </c>
      <c r="M159" s="24">
        <v>15000</v>
      </c>
      <c r="N159" s="24">
        <v>0</v>
      </c>
      <c r="O159" s="25">
        <v>22500</v>
      </c>
      <c r="P159" s="25">
        <v>0</v>
      </c>
      <c r="Q159" s="24">
        <v>15000</v>
      </c>
      <c r="R159" s="21" t="s">
        <v>506</v>
      </c>
      <c r="S159" s="21" t="s">
        <v>437</v>
      </c>
      <c r="T159" s="21" t="s">
        <v>17</v>
      </c>
      <c r="U159" s="21" t="s">
        <v>507</v>
      </c>
      <c r="V159" s="21" t="s">
        <v>17</v>
      </c>
      <c r="W159" s="21" t="s">
        <v>439</v>
      </c>
      <c r="X159" s="21" t="s">
        <v>439</v>
      </c>
    </row>
    <row r="160" spans="1:24" ht="10.5" customHeight="1" x14ac:dyDescent="0.25">
      <c r="A160" s="20">
        <v>46027</v>
      </c>
      <c r="B160" s="21" t="str">
        <f t="shared" si="2"/>
        <v>05/01/2026NL300119</v>
      </c>
      <c r="C160" s="22" t="s">
        <v>516</v>
      </c>
      <c r="D160" s="22" t="s">
        <v>17</v>
      </c>
      <c r="E160" s="22" t="s">
        <v>431</v>
      </c>
      <c r="F160" s="21" t="s">
        <v>432</v>
      </c>
      <c r="G160" s="21" t="s">
        <v>433</v>
      </c>
      <c r="H160" s="21" t="s">
        <v>517</v>
      </c>
      <c r="I160" s="21" t="s">
        <v>310</v>
      </c>
      <c r="J160" s="21" t="s">
        <v>460</v>
      </c>
      <c r="K160" s="21" t="s">
        <v>442</v>
      </c>
      <c r="L160" s="23">
        <v>1</v>
      </c>
      <c r="M160" s="24">
        <v>21000</v>
      </c>
      <c r="N160" s="24">
        <v>0</v>
      </c>
      <c r="O160" s="25">
        <v>21000</v>
      </c>
      <c r="P160" s="25">
        <v>0</v>
      </c>
      <c r="Q160" s="24">
        <v>21000</v>
      </c>
      <c r="R160" s="21" t="s">
        <v>506</v>
      </c>
      <c r="S160" s="21" t="s">
        <v>437</v>
      </c>
      <c r="T160" s="21" t="s">
        <v>17</v>
      </c>
      <c r="U160" s="21" t="s">
        <v>507</v>
      </c>
      <c r="V160" s="21" t="s">
        <v>17</v>
      </c>
      <c r="W160" s="21" t="s">
        <v>439</v>
      </c>
      <c r="X160" s="21" t="s">
        <v>439</v>
      </c>
    </row>
    <row r="161" spans="1:24" ht="10.5" customHeight="1" x14ac:dyDescent="0.25">
      <c r="A161" s="20">
        <v>46027</v>
      </c>
      <c r="B161" s="21" t="str">
        <f t="shared" si="2"/>
        <v>05/01/2026NL300088</v>
      </c>
      <c r="C161" s="22" t="s">
        <v>516</v>
      </c>
      <c r="D161" s="22" t="s">
        <v>17</v>
      </c>
      <c r="E161" s="22" t="s">
        <v>431</v>
      </c>
      <c r="F161" s="21" t="s">
        <v>432</v>
      </c>
      <c r="G161" s="21" t="s">
        <v>433</v>
      </c>
      <c r="H161" s="21" t="s">
        <v>517</v>
      </c>
      <c r="I161" s="21" t="s">
        <v>254</v>
      </c>
      <c r="J161" s="21" t="s">
        <v>15</v>
      </c>
      <c r="K161" s="21" t="s">
        <v>442</v>
      </c>
      <c r="L161" s="23">
        <v>2</v>
      </c>
      <c r="M161" s="24">
        <v>27000</v>
      </c>
      <c r="N161" s="24">
        <v>0</v>
      </c>
      <c r="O161" s="25">
        <v>54000</v>
      </c>
      <c r="P161" s="25">
        <v>0</v>
      </c>
      <c r="Q161" s="24">
        <v>27000</v>
      </c>
      <c r="R161" s="21" t="s">
        <v>506</v>
      </c>
      <c r="S161" s="21" t="s">
        <v>437</v>
      </c>
      <c r="T161" s="21" t="s">
        <v>17</v>
      </c>
      <c r="U161" s="21" t="s">
        <v>507</v>
      </c>
      <c r="V161" s="21" t="s">
        <v>17</v>
      </c>
      <c r="W161" s="21" t="s">
        <v>439</v>
      </c>
      <c r="X161" s="21" t="s">
        <v>439</v>
      </c>
    </row>
    <row r="162" spans="1:24" ht="10.5" customHeight="1" x14ac:dyDescent="0.25">
      <c r="A162" s="20">
        <v>46027</v>
      </c>
      <c r="B162" s="21" t="str">
        <f t="shared" si="2"/>
        <v>05/01/2026NL300126</v>
      </c>
      <c r="C162" s="22" t="s">
        <v>516</v>
      </c>
      <c r="D162" s="22" t="s">
        <v>17</v>
      </c>
      <c r="E162" s="22" t="s">
        <v>431</v>
      </c>
      <c r="F162" s="21" t="s">
        <v>432</v>
      </c>
      <c r="G162" s="21" t="s">
        <v>433</v>
      </c>
      <c r="H162" s="21" t="s">
        <v>517</v>
      </c>
      <c r="I162" s="21" t="s">
        <v>264</v>
      </c>
      <c r="J162" s="21" t="s">
        <v>457</v>
      </c>
      <c r="K162" s="21" t="s">
        <v>442</v>
      </c>
      <c r="L162" s="23">
        <v>0.3</v>
      </c>
      <c r="M162" s="24">
        <v>70000</v>
      </c>
      <c r="N162" s="24">
        <v>0</v>
      </c>
      <c r="O162" s="25">
        <v>21000</v>
      </c>
      <c r="P162" s="25">
        <v>0</v>
      </c>
      <c r="Q162" s="24">
        <v>70000</v>
      </c>
      <c r="R162" s="21" t="s">
        <v>506</v>
      </c>
      <c r="S162" s="21" t="s">
        <v>437</v>
      </c>
      <c r="T162" s="21" t="s">
        <v>17</v>
      </c>
      <c r="U162" s="21" t="s">
        <v>507</v>
      </c>
      <c r="V162" s="21" t="s">
        <v>17</v>
      </c>
      <c r="W162" s="21" t="s">
        <v>439</v>
      </c>
      <c r="X162" s="21" t="s">
        <v>439</v>
      </c>
    </row>
    <row r="163" spans="1:24" ht="10.5" customHeight="1" x14ac:dyDescent="0.25">
      <c r="A163" s="20">
        <v>46027</v>
      </c>
      <c r="B163" s="21" t="str">
        <f t="shared" si="2"/>
        <v>05/01/2026NL300139</v>
      </c>
      <c r="C163" s="22" t="s">
        <v>516</v>
      </c>
      <c r="D163" s="22" t="s">
        <v>17</v>
      </c>
      <c r="E163" s="22" t="s">
        <v>431</v>
      </c>
      <c r="F163" s="21" t="s">
        <v>432</v>
      </c>
      <c r="G163" s="21" t="s">
        <v>433</v>
      </c>
      <c r="H163" s="21" t="s">
        <v>517</v>
      </c>
      <c r="I163" s="21" t="s">
        <v>348</v>
      </c>
      <c r="J163" s="21" t="s">
        <v>84</v>
      </c>
      <c r="K163" s="21" t="s">
        <v>442</v>
      </c>
      <c r="L163" s="23">
        <v>0.3</v>
      </c>
      <c r="M163" s="24">
        <v>42000</v>
      </c>
      <c r="N163" s="24">
        <v>0</v>
      </c>
      <c r="O163" s="25">
        <v>12600</v>
      </c>
      <c r="P163" s="25">
        <v>0</v>
      </c>
      <c r="Q163" s="24">
        <v>42000</v>
      </c>
      <c r="R163" s="21" t="s">
        <v>506</v>
      </c>
      <c r="S163" s="21" t="s">
        <v>437</v>
      </c>
      <c r="T163" s="21" t="s">
        <v>17</v>
      </c>
      <c r="U163" s="21" t="s">
        <v>507</v>
      </c>
      <c r="V163" s="21" t="s">
        <v>17</v>
      </c>
      <c r="W163" s="21" t="s">
        <v>439</v>
      </c>
      <c r="X163" s="21" t="s">
        <v>439</v>
      </c>
    </row>
    <row r="164" spans="1:24" ht="10.5" customHeight="1" x14ac:dyDescent="0.25">
      <c r="A164" s="20">
        <v>46027</v>
      </c>
      <c r="B164" s="21" t="str">
        <f t="shared" si="2"/>
        <v>05/01/2026NL300041</v>
      </c>
      <c r="C164" s="22" t="s">
        <v>516</v>
      </c>
      <c r="D164" s="22" t="s">
        <v>17</v>
      </c>
      <c r="E164" s="22" t="s">
        <v>431</v>
      </c>
      <c r="F164" s="21" t="s">
        <v>432</v>
      </c>
      <c r="G164" s="21" t="s">
        <v>433</v>
      </c>
      <c r="H164" s="21" t="s">
        <v>517</v>
      </c>
      <c r="I164" s="21" t="s">
        <v>222</v>
      </c>
      <c r="J164" s="21" t="s">
        <v>449</v>
      </c>
      <c r="K164" s="21" t="s">
        <v>450</v>
      </c>
      <c r="L164" s="23">
        <v>3</v>
      </c>
      <c r="M164" s="24">
        <v>15000</v>
      </c>
      <c r="N164" s="24">
        <v>0</v>
      </c>
      <c r="O164" s="25">
        <v>45000</v>
      </c>
      <c r="P164" s="25">
        <v>0</v>
      </c>
      <c r="Q164" s="24">
        <v>15000</v>
      </c>
      <c r="R164" s="21" t="s">
        <v>506</v>
      </c>
      <c r="S164" s="21" t="s">
        <v>437</v>
      </c>
      <c r="T164" s="21" t="s">
        <v>17</v>
      </c>
      <c r="U164" s="21" t="s">
        <v>507</v>
      </c>
      <c r="V164" s="21" t="s">
        <v>17</v>
      </c>
      <c r="W164" s="21" t="s">
        <v>439</v>
      </c>
      <c r="X164" s="21" t="s">
        <v>439</v>
      </c>
    </row>
    <row r="165" spans="1:24" ht="10.5" customHeight="1" x14ac:dyDescent="0.25">
      <c r="A165" s="20">
        <v>46027</v>
      </c>
      <c r="B165" s="21" t="str">
        <f t="shared" si="2"/>
        <v>05/01/2026NL300090</v>
      </c>
      <c r="C165" s="22" t="s">
        <v>516</v>
      </c>
      <c r="D165" s="22" t="s">
        <v>17</v>
      </c>
      <c r="E165" s="22" t="s">
        <v>431</v>
      </c>
      <c r="F165" s="21" t="s">
        <v>432</v>
      </c>
      <c r="G165" s="21" t="s">
        <v>433</v>
      </c>
      <c r="H165" s="21" t="s">
        <v>517</v>
      </c>
      <c r="I165" s="21" t="s">
        <v>255</v>
      </c>
      <c r="J165" s="21" t="s">
        <v>70</v>
      </c>
      <c r="K165" s="21" t="s">
        <v>442</v>
      </c>
      <c r="L165" s="23">
        <v>1.5</v>
      </c>
      <c r="M165" s="24">
        <v>145000</v>
      </c>
      <c r="N165" s="24">
        <v>0</v>
      </c>
      <c r="O165" s="25">
        <v>217500</v>
      </c>
      <c r="P165" s="25">
        <v>0</v>
      </c>
      <c r="Q165" s="24">
        <v>145000</v>
      </c>
      <c r="R165" s="21" t="s">
        <v>506</v>
      </c>
      <c r="S165" s="21" t="s">
        <v>437</v>
      </c>
      <c r="T165" s="21" t="s">
        <v>17</v>
      </c>
      <c r="U165" s="21" t="s">
        <v>507</v>
      </c>
      <c r="V165" s="21" t="s">
        <v>17</v>
      </c>
      <c r="W165" s="21" t="s">
        <v>439</v>
      </c>
      <c r="X165" s="21" t="s">
        <v>439</v>
      </c>
    </row>
    <row r="166" spans="1:24" ht="10.5" customHeight="1" x14ac:dyDescent="0.25">
      <c r="A166" s="20">
        <v>46027</v>
      </c>
      <c r="B166" s="21" t="str">
        <f t="shared" si="2"/>
        <v>05/01/2026NL300116</v>
      </c>
      <c r="C166" s="22" t="s">
        <v>516</v>
      </c>
      <c r="D166" s="22" t="s">
        <v>17</v>
      </c>
      <c r="E166" s="22" t="s">
        <v>431</v>
      </c>
      <c r="F166" s="21" t="s">
        <v>432</v>
      </c>
      <c r="G166" s="21" t="s">
        <v>433</v>
      </c>
      <c r="H166" s="21" t="s">
        <v>517</v>
      </c>
      <c r="I166" s="21" t="s">
        <v>315</v>
      </c>
      <c r="J166" s="21" t="s">
        <v>456</v>
      </c>
      <c r="K166" s="21" t="s">
        <v>442</v>
      </c>
      <c r="L166" s="23">
        <v>0.4</v>
      </c>
      <c r="M166" s="24">
        <v>148000</v>
      </c>
      <c r="N166" s="24">
        <v>0</v>
      </c>
      <c r="O166" s="25">
        <v>59200</v>
      </c>
      <c r="P166" s="25">
        <v>0</v>
      </c>
      <c r="Q166" s="24">
        <v>148000</v>
      </c>
      <c r="R166" s="21" t="s">
        <v>506</v>
      </c>
      <c r="S166" s="21" t="s">
        <v>437</v>
      </c>
      <c r="T166" s="21" t="s">
        <v>17</v>
      </c>
      <c r="U166" s="21" t="s">
        <v>507</v>
      </c>
      <c r="V166" s="21" t="s">
        <v>17</v>
      </c>
      <c r="W166" s="21" t="s">
        <v>439</v>
      </c>
      <c r="X166" s="21" t="s">
        <v>439</v>
      </c>
    </row>
    <row r="167" spans="1:24" ht="10.5" customHeight="1" x14ac:dyDescent="0.25">
      <c r="A167" s="20">
        <v>46027</v>
      </c>
      <c r="B167" s="21" t="str">
        <f t="shared" si="2"/>
        <v>05/01/2026NL300004</v>
      </c>
      <c r="C167" s="22" t="s">
        <v>516</v>
      </c>
      <c r="D167" s="22" t="s">
        <v>17</v>
      </c>
      <c r="E167" s="22" t="s">
        <v>431</v>
      </c>
      <c r="F167" s="21" t="s">
        <v>432</v>
      </c>
      <c r="G167" s="21" t="s">
        <v>433</v>
      </c>
      <c r="H167" s="21" t="s">
        <v>517</v>
      </c>
      <c r="I167" s="21" t="s">
        <v>192</v>
      </c>
      <c r="J167" s="21" t="s">
        <v>21</v>
      </c>
      <c r="K167" s="21" t="s">
        <v>442</v>
      </c>
      <c r="L167" s="23">
        <v>2</v>
      </c>
      <c r="M167" s="24">
        <v>19000</v>
      </c>
      <c r="N167" s="24">
        <v>0</v>
      </c>
      <c r="O167" s="25">
        <v>38000</v>
      </c>
      <c r="P167" s="25">
        <v>0</v>
      </c>
      <c r="Q167" s="24">
        <v>19000</v>
      </c>
      <c r="R167" s="21" t="s">
        <v>506</v>
      </c>
      <c r="S167" s="21" t="s">
        <v>437</v>
      </c>
      <c r="T167" s="21" t="s">
        <v>17</v>
      </c>
      <c r="U167" s="21" t="s">
        <v>507</v>
      </c>
      <c r="V167" s="21" t="s">
        <v>17</v>
      </c>
      <c r="W167" s="21" t="s">
        <v>439</v>
      </c>
      <c r="X167" s="21" t="s">
        <v>439</v>
      </c>
    </row>
    <row r="168" spans="1:24" ht="10.5" customHeight="1" x14ac:dyDescent="0.25">
      <c r="A168" s="20">
        <v>46027</v>
      </c>
      <c r="B168" s="21" t="str">
        <f t="shared" si="2"/>
        <v>05/01/2026NL300025</v>
      </c>
      <c r="C168" s="22" t="s">
        <v>516</v>
      </c>
      <c r="D168" s="22" t="s">
        <v>17</v>
      </c>
      <c r="E168" s="22" t="s">
        <v>431</v>
      </c>
      <c r="F168" s="21" t="s">
        <v>432</v>
      </c>
      <c r="G168" s="21" t="s">
        <v>433</v>
      </c>
      <c r="H168" s="21" t="s">
        <v>517</v>
      </c>
      <c r="I168" s="21" t="s">
        <v>211</v>
      </c>
      <c r="J168" s="21" t="s">
        <v>447</v>
      </c>
      <c r="K168" s="21" t="s">
        <v>442</v>
      </c>
      <c r="L168" s="23">
        <v>1</v>
      </c>
      <c r="M168" s="24">
        <v>44000</v>
      </c>
      <c r="N168" s="24">
        <v>0</v>
      </c>
      <c r="O168" s="25">
        <v>44000</v>
      </c>
      <c r="P168" s="25">
        <v>0</v>
      </c>
      <c r="Q168" s="24">
        <v>44000</v>
      </c>
      <c r="R168" s="21" t="s">
        <v>506</v>
      </c>
      <c r="S168" s="21" t="s">
        <v>437</v>
      </c>
      <c r="T168" s="21" t="s">
        <v>17</v>
      </c>
      <c r="U168" s="21" t="s">
        <v>507</v>
      </c>
      <c r="V168" s="21" t="s">
        <v>17</v>
      </c>
      <c r="W168" s="21" t="s">
        <v>439</v>
      </c>
      <c r="X168" s="21" t="s">
        <v>439</v>
      </c>
    </row>
    <row r="169" spans="1:24" ht="10.5" customHeight="1" x14ac:dyDescent="0.25">
      <c r="A169" s="20">
        <v>46027</v>
      </c>
      <c r="B169" s="21" t="str">
        <f t="shared" si="2"/>
        <v>05/01/2026NL300036</v>
      </c>
      <c r="C169" s="22" t="s">
        <v>516</v>
      </c>
      <c r="D169" s="22" t="s">
        <v>17</v>
      </c>
      <c r="E169" s="22" t="s">
        <v>431</v>
      </c>
      <c r="F169" s="21" t="s">
        <v>432</v>
      </c>
      <c r="G169" s="21" t="s">
        <v>433</v>
      </c>
      <c r="H169" s="21" t="s">
        <v>517</v>
      </c>
      <c r="I169" s="21" t="s">
        <v>380</v>
      </c>
      <c r="J169" s="21" t="s">
        <v>96</v>
      </c>
      <c r="K169" s="21" t="s">
        <v>442</v>
      </c>
      <c r="L169" s="23">
        <v>0.4</v>
      </c>
      <c r="M169" s="24">
        <v>47000</v>
      </c>
      <c r="N169" s="24">
        <v>0</v>
      </c>
      <c r="O169" s="25">
        <v>18800</v>
      </c>
      <c r="P169" s="25">
        <v>0</v>
      </c>
      <c r="Q169" s="24">
        <v>47000</v>
      </c>
      <c r="R169" s="21" t="s">
        <v>506</v>
      </c>
      <c r="S169" s="21" t="s">
        <v>437</v>
      </c>
      <c r="T169" s="21" t="s">
        <v>17</v>
      </c>
      <c r="U169" s="21" t="s">
        <v>507</v>
      </c>
      <c r="V169" s="21" t="s">
        <v>17</v>
      </c>
      <c r="W169" s="21" t="s">
        <v>439</v>
      </c>
      <c r="X169" s="21" t="s">
        <v>439</v>
      </c>
    </row>
    <row r="170" spans="1:24" ht="10.5" customHeight="1" x14ac:dyDescent="0.25">
      <c r="A170" s="20">
        <v>46027</v>
      </c>
      <c r="B170" s="21" t="str">
        <f t="shared" si="2"/>
        <v>05/01/2026NL300070</v>
      </c>
      <c r="C170" s="22" t="s">
        <v>516</v>
      </c>
      <c r="D170" s="22" t="s">
        <v>17</v>
      </c>
      <c r="E170" s="22" t="s">
        <v>431</v>
      </c>
      <c r="F170" s="21" t="s">
        <v>432</v>
      </c>
      <c r="G170" s="21" t="s">
        <v>433</v>
      </c>
      <c r="H170" s="21" t="s">
        <v>517</v>
      </c>
      <c r="I170" s="21" t="s">
        <v>345</v>
      </c>
      <c r="J170" s="21" t="s">
        <v>465</v>
      </c>
      <c r="K170" s="21" t="s">
        <v>442</v>
      </c>
      <c r="L170" s="23">
        <v>0.5</v>
      </c>
      <c r="M170" s="24">
        <v>23000</v>
      </c>
      <c r="N170" s="24">
        <v>0</v>
      </c>
      <c r="O170" s="25">
        <v>11500</v>
      </c>
      <c r="P170" s="25">
        <v>0</v>
      </c>
      <c r="Q170" s="24">
        <v>23000</v>
      </c>
      <c r="R170" s="21" t="s">
        <v>506</v>
      </c>
      <c r="S170" s="21" t="s">
        <v>437</v>
      </c>
      <c r="T170" s="21" t="s">
        <v>17</v>
      </c>
      <c r="U170" s="21" t="s">
        <v>507</v>
      </c>
      <c r="V170" s="21" t="s">
        <v>17</v>
      </c>
      <c r="W170" s="21" t="s">
        <v>439</v>
      </c>
      <c r="X170" s="21" t="s">
        <v>439</v>
      </c>
    </row>
    <row r="171" spans="1:24" ht="10.5" customHeight="1" x14ac:dyDescent="0.25">
      <c r="A171" s="20">
        <v>46027</v>
      </c>
      <c r="B171" s="21" t="str">
        <f t="shared" si="2"/>
        <v>05/01/2026NL300073</v>
      </c>
      <c r="C171" s="22" t="s">
        <v>516</v>
      </c>
      <c r="D171" s="22" t="s">
        <v>17</v>
      </c>
      <c r="E171" s="22" t="s">
        <v>431</v>
      </c>
      <c r="F171" s="21" t="s">
        <v>432</v>
      </c>
      <c r="G171" s="21" t="s">
        <v>433</v>
      </c>
      <c r="H171" s="21" t="s">
        <v>517</v>
      </c>
      <c r="I171" s="21" t="s">
        <v>241</v>
      </c>
      <c r="J171" s="21" t="s">
        <v>43</v>
      </c>
      <c r="K171" s="21" t="s">
        <v>442</v>
      </c>
      <c r="L171" s="23">
        <v>0.5</v>
      </c>
      <c r="M171" s="24">
        <v>42000</v>
      </c>
      <c r="N171" s="24">
        <v>0</v>
      </c>
      <c r="O171" s="25">
        <v>21000</v>
      </c>
      <c r="P171" s="25">
        <v>0</v>
      </c>
      <c r="Q171" s="24">
        <v>42000</v>
      </c>
      <c r="R171" s="21" t="s">
        <v>506</v>
      </c>
      <c r="S171" s="21" t="s">
        <v>437</v>
      </c>
      <c r="T171" s="21" t="s">
        <v>17</v>
      </c>
      <c r="U171" s="21" t="s">
        <v>507</v>
      </c>
      <c r="V171" s="21" t="s">
        <v>17</v>
      </c>
      <c r="W171" s="21" t="s">
        <v>439</v>
      </c>
      <c r="X171" s="21" t="s">
        <v>439</v>
      </c>
    </row>
    <row r="172" spans="1:24" ht="10.5" customHeight="1" x14ac:dyDescent="0.25">
      <c r="A172" s="20">
        <v>46027</v>
      </c>
      <c r="B172" s="21" t="str">
        <f t="shared" si="2"/>
        <v>05/01/2026NL300121</v>
      </c>
      <c r="C172" s="22" t="s">
        <v>516</v>
      </c>
      <c r="D172" s="22" t="s">
        <v>17</v>
      </c>
      <c r="E172" s="22" t="s">
        <v>431</v>
      </c>
      <c r="F172" s="21" t="s">
        <v>432</v>
      </c>
      <c r="G172" s="21" t="s">
        <v>433</v>
      </c>
      <c r="H172" s="21" t="s">
        <v>517</v>
      </c>
      <c r="I172" s="21" t="s">
        <v>281</v>
      </c>
      <c r="J172" s="21" t="s">
        <v>51</v>
      </c>
      <c r="K172" s="21" t="s">
        <v>442</v>
      </c>
      <c r="L172" s="23">
        <v>0.1</v>
      </c>
      <c r="M172" s="24">
        <v>22000</v>
      </c>
      <c r="N172" s="24">
        <v>0</v>
      </c>
      <c r="O172" s="25">
        <v>2200</v>
      </c>
      <c r="P172" s="25">
        <v>0</v>
      </c>
      <c r="Q172" s="24">
        <v>22000</v>
      </c>
      <c r="R172" s="21" t="s">
        <v>506</v>
      </c>
      <c r="S172" s="21" t="s">
        <v>437</v>
      </c>
      <c r="T172" s="21" t="s">
        <v>17</v>
      </c>
      <c r="U172" s="21" t="s">
        <v>507</v>
      </c>
      <c r="V172" s="21" t="s">
        <v>17</v>
      </c>
      <c r="W172" s="21" t="s">
        <v>439</v>
      </c>
      <c r="X172" s="21" t="s">
        <v>439</v>
      </c>
    </row>
    <row r="173" spans="1:24" ht="10.5" customHeight="1" x14ac:dyDescent="0.25">
      <c r="A173" s="20">
        <v>46027</v>
      </c>
      <c r="B173" s="21" t="str">
        <f t="shared" si="2"/>
        <v>05/01/2026NL100101</v>
      </c>
      <c r="C173" s="22" t="s">
        <v>516</v>
      </c>
      <c r="D173" s="22" t="s">
        <v>17</v>
      </c>
      <c r="E173" s="22" t="s">
        <v>431</v>
      </c>
      <c r="F173" s="21" t="s">
        <v>432</v>
      </c>
      <c r="G173" s="21" t="s">
        <v>433</v>
      </c>
      <c r="H173" s="21" t="s">
        <v>517</v>
      </c>
      <c r="I173" s="21" t="s">
        <v>344</v>
      </c>
      <c r="J173" s="21" t="s">
        <v>107</v>
      </c>
      <c r="K173" s="21" t="s">
        <v>435</v>
      </c>
      <c r="L173" s="23">
        <v>25</v>
      </c>
      <c r="M173" s="24">
        <v>5000</v>
      </c>
      <c r="N173" s="24">
        <v>0</v>
      </c>
      <c r="O173" s="25">
        <v>125000</v>
      </c>
      <c r="P173" s="25">
        <v>0</v>
      </c>
      <c r="Q173" s="24">
        <v>5000</v>
      </c>
      <c r="R173" s="21" t="s">
        <v>506</v>
      </c>
      <c r="S173" s="21" t="s">
        <v>437</v>
      </c>
      <c r="T173" s="21" t="s">
        <v>17</v>
      </c>
      <c r="U173" s="21" t="s">
        <v>507</v>
      </c>
      <c r="V173" s="21" t="s">
        <v>17</v>
      </c>
      <c r="W173" s="21" t="s">
        <v>439</v>
      </c>
      <c r="X173" s="21" t="s">
        <v>439</v>
      </c>
    </row>
    <row r="174" spans="1:24" ht="10.5" customHeight="1" x14ac:dyDescent="0.25">
      <c r="A174" s="20">
        <v>46027</v>
      </c>
      <c r="B174" s="21" t="str">
        <f t="shared" si="2"/>
        <v>05/01/2026NL300140</v>
      </c>
      <c r="C174" s="22" t="s">
        <v>516</v>
      </c>
      <c r="D174" s="22" t="s">
        <v>17</v>
      </c>
      <c r="E174" s="22" t="s">
        <v>431</v>
      </c>
      <c r="F174" s="21" t="s">
        <v>432</v>
      </c>
      <c r="G174" s="21" t="s">
        <v>433</v>
      </c>
      <c r="H174" s="21" t="s">
        <v>517</v>
      </c>
      <c r="I174" s="21" t="s">
        <v>282</v>
      </c>
      <c r="J174" s="21" t="s">
        <v>461</v>
      </c>
      <c r="K174" s="21" t="s">
        <v>442</v>
      </c>
      <c r="L174" s="23">
        <v>0.5</v>
      </c>
      <c r="M174" s="24">
        <v>36000</v>
      </c>
      <c r="N174" s="24">
        <v>0</v>
      </c>
      <c r="O174" s="25">
        <v>18000</v>
      </c>
      <c r="P174" s="25">
        <v>0</v>
      </c>
      <c r="Q174" s="24">
        <v>36000</v>
      </c>
      <c r="R174" s="21" t="s">
        <v>506</v>
      </c>
      <c r="S174" s="21" t="s">
        <v>437</v>
      </c>
      <c r="T174" s="21" t="s">
        <v>17</v>
      </c>
      <c r="U174" s="21" t="s">
        <v>507</v>
      </c>
      <c r="V174" s="21" t="s">
        <v>17</v>
      </c>
      <c r="W174" s="21" t="s">
        <v>439</v>
      </c>
      <c r="X174" s="21" t="s">
        <v>439</v>
      </c>
    </row>
    <row r="175" spans="1:24" ht="10.5" customHeight="1" x14ac:dyDescent="0.25">
      <c r="A175" s="20">
        <v>46028</v>
      </c>
      <c r="B175" s="21" t="str">
        <f t="shared" si="2"/>
        <v>06/01/2026NL600004</v>
      </c>
      <c r="C175" s="22" t="s">
        <v>518</v>
      </c>
      <c r="D175" s="22" t="s">
        <v>17</v>
      </c>
      <c r="E175" s="22" t="s">
        <v>431</v>
      </c>
      <c r="F175" s="21" t="s">
        <v>432</v>
      </c>
      <c r="G175" s="21" t="s">
        <v>433</v>
      </c>
      <c r="H175" s="21" t="s">
        <v>519</v>
      </c>
      <c r="I175" s="21" t="s">
        <v>225</v>
      </c>
      <c r="J175" s="21" t="s">
        <v>37</v>
      </c>
      <c r="K175" s="21" t="s">
        <v>442</v>
      </c>
      <c r="L175" s="23">
        <v>10</v>
      </c>
      <c r="M175" s="24">
        <v>18000</v>
      </c>
      <c r="N175" s="24">
        <v>0</v>
      </c>
      <c r="O175" s="25">
        <v>180000</v>
      </c>
      <c r="P175" s="25">
        <v>0</v>
      </c>
      <c r="Q175" s="24">
        <v>18000</v>
      </c>
      <c r="R175" s="21" t="s">
        <v>506</v>
      </c>
      <c r="S175" s="21" t="s">
        <v>437</v>
      </c>
      <c r="T175" s="21" t="s">
        <v>17</v>
      </c>
      <c r="U175" s="21" t="s">
        <v>507</v>
      </c>
      <c r="V175" s="21" t="s">
        <v>17</v>
      </c>
      <c r="W175" s="21" t="s">
        <v>439</v>
      </c>
      <c r="X175" s="21" t="s">
        <v>439</v>
      </c>
    </row>
    <row r="176" spans="1:24" ht="10.5" customHeight="1" x14ac:dyDescent="0.25">
      <c r="A176" s="20">
        <v>46028</v>
      </c>
      <c r="B176" s="21" t="str">
        <f t="shared" si="2"/>
        <v>06/01/2026NL300007</v>
      </c>
      <c r="C176" s="22" t="s">
        <v>518</v>
      </c>
      <c r="D176" s="22" t="s">
        <v>17</v>
      </c>
      <c r="E176" s="22" t="s">
        <v>431</v>
      </c>
      <c r="F176" s="21" t="s">
        <v>432</v>
      </c>
      <c r="G176" s="21" t="s">
        <v>433</v>
      </c>
      <c r="H176" s="21" t="s">
        <v>519</v>
      </c>
      <c r="I176" s="21" t="s">
        <v>309</v>
      </c>
      <c r="J176" s="21" t="s">
        <v>444</v>
      </c>
      <c r="K176" s="21" t="s">
        <v>442</v>
      </c>
      <c r="L176" s="23">
        <v>2.8</v>
      </c>
      <c r="M176" s="24">
        <v>30000</v>
      </c>
      <c r="N176" s="24">
        <v>0</v>
      </c>
      <c r="O176" s="25">
        <v>84000</v>
      </c>
      <c r="P176" s="25">
        <v>0</v>
      </c>
      <c r="Q176" s="24">
        <v>30000</v>
      </c>
      <c r="R176" s="21" t="s">
        <v>506</v>
      </c>
      <c r="S176" s="21" t="s">
        <v>437</v>
      </c>
      <c r="T176" s="21" t="s">
        <v>17</v>
      </c>
      <c r="U176" s="21" t="s">
        <v>507</v>
      </c>
      <c r="V176" s="21" t="s">
        <v>17</v>
      </c>
      <c r="W176" s="21" t="s">
        <v>439</v>
      </c>
      <c r="X176" s="21" t="s">
        <v>439</v>
      </c>
    </row>
    <row r="177" spans="1:24" ht="10.5" customHeight="1" x14ac:dyDescent="0.25">
      <c r="A177" s="20">
        <v>46028</v>
      </c>
      <c r="B177" s="21" t="str">
        <f t="shared" si="2"/>
        <v>06/01/2026NL300092</v>
      </c>
      <c r="C177" s="22" t="s">
        <v>518</v>
      </c>
      <c r="D177" s="22" t="s">
        <v>17</v>
      </c>
      <c r="E177" s="22" t="s">
        <v>431</v>
      </c>
      <c r="F177" s="21" t="s">
        <v>432</v>
      </c>
      <c r="G177" s="21" t="s">
        <v>433</v>
      </c>
      <c r="H177" s="21" t="s">
        <v>519</v>
      </c>
      <c r="I177" s="21" t="s">
        <v>329</v>
      </c>
      <c r="J177" s="21" t="s">
        <v>74</v>
      </c>
      <c r="K177" s="21" t="s">
        <v>442</v>
      </c>
      <c r="L177" s="23">
        <v>1</v>
      </c>
      <c r="M177" s="24">
        <v>90000</v>
      </c>
      <c r="N177" s="24">
        <v>0</v>
      </c>
      <c r="O177" s="25">
        <v>90000</v>
      </c>
      <c r="P177" s="25">
        <v>0</v>
      </c>
      <c r="Q177" s="24">
        <v>90000</v>
      </c>
      <c r="R177" s="21" t="s">
        <v>506</v>
      </c>
      <c r="S177" s="21" t="s">
        <v>437</v>
      </c>
      <c r="T177" s="21" t="s">
        <v>17</v>
      </c>
      <c r="U177" s="21" t="s">
        <v>507</v>
      </c>
      <c r="V177" s="21" t="s">
        <v>17</v>
      </c>
      <c r="W177" s="21" t="s">
        <v>439</v>
      </c>
      <c r="X177" s="21" t="s">
        <v>439</v>
      </c>
    </row>
    <row r="178" spans="1:24" ht="10.5" customHeight="1" x14ac:dyDescent="0.25">
      <c r="A178" s="20">
        <v>46028</v>
      </c>
      <c r="B178" s="21" t="str">
        <f t="shared" si="2"/>
        <v>06/01/2026NL300094</v>
      </c>
      <c r="C178" s="22" t="s">
        <v>518</v>
      </c>
      <c r="D178" s="22" t="s">
        <v>17</v>
      </c>
      <c r="E178" s="22" t="s">
        <v>431</v>
      </c>
      <c r="F178" s="21" t="s">
        <v>432</v>
      </c>
      <c r="G178" s="21" t="s">
        <v>433</v>
      </c>
      <c r="H178" s="21" t="s">
        <v>519</v>
      </c>
      <c r="I178" s="21" t="s">
        <v>257</v>
      </c>
      <c r="J178" s="21" t="s">
        <v>454</v>
      </c>
      <c r="K178" s="21" t="s">
        <v>442</v>
      </c>
      <c r="L178" s="23">
        <v>0.4</v>
      </c>
      <c r="M178" s="24">
        <v>80000</v>
      </c>
      <c r="N178" s="24">
        <v>0</v>
      </c>
      <c r="O178" s="25">
        <v>32000</v>
      </c>
      <c r="P178" s="25">
        <v>0</v>
      </c>
      <c r="Q178" s="24">
        <v>80000</v>
      </c>
      <c r="R178" s="21" t="s">
        <v>506</v>
      </c>
      <c r="S178" s="21" t="s">
        <v>437</v>
      </c>
      <c r="T178" s="21" t="s">
        <v>17</v>
      </c>
      <c r="U178" s="21" t="s">
        <v>507</v>
      </c>
      <c r="V178" s="21" t="s">
        <v>17</v>
      </c>
      <c r="W178" s="21" t="s">
        <v>439</v>
      </c>
      <c r="X178" s="21" t="s">
        <v>439</v>
      </c>
    </row>
    <row r="179" spans="1:24" ht="10.5" customHeight="1" x14ac:dyDescent="0.25">
      <c r="A179" s="20">
        <v>46028</v>
      </c>
      <c r="B179" s="21" t="str">
        <f t="shared" si="2"/>
        <v>06/01/2026NL300097</v>
      </c>
      <c r="C179" s="22" t="s">
        <v>518</v>
      </c>
      <c r="D179" s="22" t="s">
        <v>17</v>
      </c>
      <c r="E179" s="22" t="s">
        <v>431</v>
      </c>
      <c r="F179" s="21" t="s">
        <v>432</v>
      </c>
      <c r="G179" s="21" t="s">
        <v>433</v>
      </c>
      <c r="H179" s="21" t="s">
        <v>519</v>
      </c>
      <c r="I179" s="21" t="s">
        <v>331</v>
      </c>
      <c r="J179" s="21" t="s">
        <v>443</v>
      </c>
      <c r="K179" s="21" t="s">
        <v>442</v>
      </c>
      <c r="L179" s="23">
        <v>0.9</v>
      </c>
      <c r="M179" s="24">
        <v>90000</v>
      </c>
      <c r="N179" s="24">
        <v>0</v>
      </c>
      <c r="O179" s="25">
        <v>81000</v>
      </c>
      <c r="P179" s="25">
        <v>0</v>
      </c>
      <c r="Q179" s="24">
        <v>90000</v>
      </c>
      <c r="R179" s="21" t="s">
        <v>506</v>
      </c>
      <c r="S179" s="21" t="s">
        <v>437</v>
      </c>
      <c r="T179" s="21" t="s">
        <v>17</v>
      </c>
      <c r="U179" s="21" t="s">
        <v>507</v>
      </c>
      <c r="V179" s="21" t="s">
        <v>17</v>
      </c>
      <c r="W179" s="21" t="s">
        <v>439</v>
      </c>
      <c r="X179" s="21" t="s">
        <v>439</v>
      </c>
    </row>
    <row r="180" spans="1:24" ht="10.5" customHeight="1" x14ac:dyDescent="0.25">
      <c r="A180" s="20">
        <v>46028</v>
      </c>
      <c r="B180" s="21" t="str">
        <f t="shared" si="2"/>
        <v>06/01/2026NL300113</v>
      </c>
      <c r="C180" s="22" t="s">
        <v>518</v>
      </c>
      <c r="D180" s="22" t="s">
        <v>17</v>
      </c>
      <c r="E180" s="22" t="s">
        <v>431</v>
      </c>
      <c r="F180" s="21" t="s">
        <v>432</v>
      </c>
      <c r="G180" s="21" t="s">
        <v>433</v>
      </c>
      <c r="H180" s="21" t="s">
        <v>519</v>
      </c>
      <c r="I180" s="21" t="s">
        <v>271</v>
      </c>
      <c r="J180" s="21" t="s">
        <v>103</v>
      </c>
      <c r="K180" s="21" t="s">
        <v>442</v>
      </c>
      <c r="L180" s="23">
        <v>0.4</v>
      </c>
      <c r="M180" s="24">
        <v>145000</v>
      </c>
      <c r="N180" s="24">
        <v>0</v>
      </c>
      <c r="O180" s="25">
        <v>58000</v>
      </c>
      <c r="P180" s="25">
        <v>0</v>
      </c>
      <c r="Q180" s="24">
        <v>145000</v>
      </c>
      <c r="R180" s="21" t="s">
        <v>506</v>
      </c>
      <c r="S180" s="21" t="s">
        <v>437</v>
      </c>
      <c r="T180" s="21" t="s">
        <v>17</v>
      </c>
      <c r="U180" s="21" t="s">
        <v>507</v>
      </c>
      <c r="V180" s="21" t="s">
        <v>17</v>
      </c>
      <c r="W180" s="21" t="s">
        <v>439</v>
      </c>
      <c r="X180" s="21" t="s">
        <v>439</v>
      </c>
    </row>
    <row r="181" spans="1:24" ht="10.5" customHeight="1" x14ac:dyDescent="0.25">
      <c r="A181" s="20">
        <v>46028</v>
      </c>
      <c r="B181" s="21" t="str">
        <f t="shared" si="2"/>
        <v>06/01/2026NL300142</v>
      </c>
      <c r="C181" s="22" t="s">
        <v>518</v>
      </c>
      <c r="D181" s="22" t="s">
        <v>17</v>
      </c>
      <c r="E181" s="22" t="s">
        <v>431</v>
      </c>
      <c r="F181" s="21" t="s">
        <v>432</v>
      </c>
      <c r="G181" s="21" t="s">
        <v>433</v>
      </c>
      <c r="H181" s="21" t="s">
        <v>519</v>
      </c>
      <c r="I181" s="21" t="s">
        <v>317</v>
      </c>
      <c r="J181" s="21" t="s">
        <v>441</v>
      </c>
      <c r="K181" s="21" t="s">
        <v>442</v>
      </c>
      <c r="L181" s="23">
        <v>1</v>
      </c>
      <c r="M181" s="24">
        <v>50000</v>
      </c>
      <c r="N181" s="24">
        <v>0</v>
      </c>
      <c r="O181" s="25">
        <v>50000</v>
      </c>
      <c r="P181" s="25">
        <v>0</v>
      </c>
      <c r="Q181" s="24">
        <v>50000</v>
      </c>
      <c r="R181" s="21" t="s">
        <v>506</v>
      </c>
      <c r="S181" s="21" t="s">
        <v>437</v>
      </c>
      <c r="T181" s="21" t="s">
        <v>17</v>
      </c>
      <c r="U181" s="21" t="s">
        <v>507</v>
      </c>
      <c r="V181" s="21" t="s">
        <v>17</v>
      </c>
      <c r="W181" s="21" t="s">
        <v>439</v>
      </c>
      <c r="X181" s="21" t="s">
        <v>439</v>
      </c>
    </row>
    <row r="182" spans="1:24" ht="10.5" customHeight="1" x14ac:dyDescent="0.25">
      <c r="A182" s="20">
        <v>46028</v>
      </c>
      <c r="B182" s="21" t="str">
        <f t="shared" si="2"/>
        <v>06/01/2026NL300189</v>
      </c>
      <c r="C182" s="22" t="s">
        <v>518</v>
      </c>
      <c r="D182" s="22" t="s">
        <v>17</v>
      </c>
      <c r="E182" s="22" t="s">
        <v>431</v>
      </c>
      <c r="F182" s="21" t="s">
        <v>432</v>
      </c>
      <c r="G182" s="21" t="s">
        <v>433</v>
      </c>
      <c r="H182" s="21" t="s">
        <v>519</v>
      </c>
      <c r="I182" s="21" t="s">
        <v>378</v>
      </c>
      <c r="J182" s="21" t="s">
        <v>19</v>
      </c>
      <c r="K182" s="21" t="s">
        <v>442</v>
      </c>
      <c r="L182" s="23">
        <v>1.5</v>
      </c>
      <c r="M182" s="24">
        <v>15000</v>
      </c>
      <c r="N182" s="24">
        <v>0</v>
      </c>
      <c r="O182" s="25">
        <v>22500</v>
      </c>
      <c r="P182" s="25">
        <v>0</v>
      </c>
      <c r="Q182" s="24">
        <v>15000</v>
      </c>
      <c r="R182" s="21" t="s">
        <v>506</v>
      </c>
      <c r="S182" s="21" t="s">
        <v>437</v>
      </c>
      <c r="T182" s="21" t="s">
        <v>17</v>
      </c>
      <c r="U182" s="21" t="s">
        <v>507</v>
      </c>
      <c r="V182" s="21" t="s">
        <v>17</v>
      </c>
      <c r="W182" s="21" t="s">
        <v>439</v>
      </c>
      <c r="X182" s="21" t="s">
        <v>439</v>
      </c>
    </row>
    <row r="183" spans="1:24" ht="10.5" customHeight="1" x14ac:dyDescent="0.25">
      <c r="A183" s="20">
        <v>46028</v>
      </c>
      <c r="B183" s="21" t="str">
        <f t="shared" si="2"/>
        <v>06/01/2026NL300062</v>
      </c>
      <c r="C183" s="22" t="s">
        <v>518</v>
      </c>
      <c r="D183" s="22" t="s">
        <v>17</v>
      </c>
      <c r="E183" s="22" t="s">
        <v>431</v>
      </c>
      <c r="F183" s="21" t="s">
        <v>432</v>
      </c>
      <c r="G183" s="21" t="s">
        <v>433</v>
      </c>
      <c r="H183" s="21" t="s">
        <v>519</v>
      </c>
      <c r="I183" s="21" t="s">
        <v>236</v>
      </c>
      <c r="J183" s="21" t="s">
        <v>482</v>
      </c>
      <c r="K183" s="21" t="s">
        <v>442</v>
      </c>
      <c r="L183" s="23">
        <v>0.2</v>
      </c>
      <c r="M183" s="24">
        <v>65000</v>
      </c>
      <c r="N183" s="24">
        <v>0</v>
      </c>
      <c r="O183" s="25">
        <v>13000</v>
      </c>
      <c r="P183" s="25">
        <v>0</v>
      </c>
      <c r="Q183" s="24">
        <v>65000</v>
      </c>
      <c r="R183" s="21" t="s">
        <v>506</v>
      </c>
      <c r="S183" s="21" t="s">
        <v>437</v>
      </c>
      <c r="T183" s="21" t="s">
        <v>17</v>
      </c>
      <c r="U183" s="21" t="s">
        <v>507</v>
      </c>
      <c r="V183" s="21" t="s">
        <v>17</v>
      </c>
      <c r="W183" s="21" t="s">
        <v>439</v>
      </c>
      <c r="X183" s="21" t="s">
        <v>439</v>
      </c>
    </row>
    <row r="184" spans="1:24" ht="10.5" customHeight="1" x14ac:dyDescent="0.25">
      <c r="A184" s="20">
        <v>46028</v>
      </c>
      <c r="B184" s="21" t="str">
        <f t="shared" si="2"/>
        <v>06/01/2026NL300088</v>
      </c>
      <c r="C184" s="22" t="s">
        <v>518</v>
      </c>
      <c r="D184" s="22" t="s">
        <v>17</v>
      </c>
      <c r="E184" s="22" t="s">
        <v>431</v>
      </c>
      <c r="F184" s="21" t="s">
        <v>432</v>
      </c>
      <c r="G184" s="21" t="s">
        <v>433</v>
      </c>
      <c r="H184" s="21" t="s">
        <v>519</v>
      </c>
      <c r="I184" s="21" t="s">
        <v>254</v>
      </c>
      <c r="J184" s="21" t="s">
        <v>15</v>
      </c>
      <c r="K184" s="21" t="s">
        <v>442</v>
      </c>
      <c r="L184" s="23">
        <v>2.5</v>
      </c>
      <c r="M184" s="24">
        <v>27000</v>
      </c>
      <c r="N184" s="24">
        <v>0</v>
      </c>
      <c r="O184" s="25">
        <v>67500</v>
      </c>
      <c r="P184" s="25">
        <v>0</v>
      </c>
      <c r="Q184" s="24">
        <v>27000</v>
      </c>
      <c r="R184" s="21" t="s">
        <v>506</v>
      </c>
      <c r="S184" s="21" t="s">
        <v>437</v>
      </c>
      <c r="T184" s="21" t="s">
        <v>17</v>
      </c>
      <c r="U184" s="21" t="s">
        <v>507</v>
      </c>
      <c r="V184" s="21" t="s">
        <v>17</v>
      </c>
      <c r="W184" s="21" t="s">
        <v>439</v>
      </c>
      <c r="X184" s="21" t="s">
        <v>439</v>
      </c>
    </row>
    <row r="185" spans="1:24" ht="10.5" customHeight="1" x14ac:dyDescent="0.25">
      <c r="A185" s="20">
        <v>46028</v>
      </c>
      <c r="B185" s="21" t="str">
        <f t="shared" si="2"/>
        <v>06/01/2026NL300125</v>
      </c>
      <c r="C185" s="22" t="s">
        <v>518</v>
      </c>
      <c r="D185" s="22" t="s">
        <v>17</v>
      </c>
      <c r="E185" s="22" t="s">
        <v>431</v>
      </c>
      <c r="F185" s="21" t="s">
        <v>432</v>
      </c>
      <c r="G185" s="21" t="s">
        <v>433</v>
      </c>
      <c r="H185" s="21" t="s">
        <v>519</v>
      </c>
      <c r="I185" s="21" t="s">
        <v>337</v>
      </c>
      <c r="J185" s="21" t="s">
        <v>146</v>
      </c>
      <c r="K185" s="21" t="s">
        <v>442</v>
      </c>
      <c r="L185" s="23">
        <v>0.5</v>
      </c>
      <c r="M185" s="24">
        <v>42000</v>
      </c>
      <c r="N185" s="24">
        <v>0</v>
      </c>
      <c r="O185" s="25">
        <v>21000</v>
      </c>
      <c r="P185" s="25">
        <v>0</v>
      </c>
      <c r="Q185" s="24">
        <v>42000</v>
      </c>
      <c r="R185" s="21" t="s">
        <v>506</v>
      </c>
      <c r="S185" s="21" t="s">
        <v>437</v>
      </c>
      <c r="T185" s="21" t="s">
        <v>17</v>
      </c>
      <c r="U185" s="21" t="s">
        <v>507</v>
      </c>
      <c r="V185" s="21" t="s">
        <v>17</v>
      </c>
      <c r="W185" s="21" t="s">
        <v>439</v>
      </c>
      <c r="X185" s="21" t="s">
        <v>439</v>
      </c>
    </row>
    <row r="186" spans="1:24" ht="10.5" customHeight="1" x14ac:dyDescent="0.25">
      <c r="A186" s="20">
        <v>46028</v>
      </c>
      <c r="B186" s="21" t="str">
        <f t="shared" si="2"/>
        <v>06/01/2026NL300029</v>
      </c>
      <c r="C186" s="22" t="s">
        <v>518</v>
      </c>
      <c r="D186" s="22" t="s">
        <v>17</v>
      </c>
      <c r="E186" s="22" t="s">
        <v>431</v>
      </c>
      <c r="F186" s="21" t="s">
        <v>432</v>
      </c>
      <c r="G186" s="21" t="s">
        <v>433</v>
      </c>
      <c r="H186" s="21" t="s">
        <v>519</v>
      </c>
      <c r="I186" s="21" t="s">
        <v>213</v>
      </c>
      <c r="J186" s="21" t="s">
        <v>469</v>
      </c>
      <c r="K186" s="21" t="s">
        <v>442</v>
      </c>
      <c r="L186" s="23">
        <v>0.5</v>
      </c>
      <c r="M186" s="24">
        <v>22000</v>
      </c>
      <c r="N186" s="24">
        <v>0</v>
      </c>
      <c r="O186" s="25">
        <v>11000</v>
      </c>
      <c r="P186" s="25">
        <v>0</v>
      </c>
      <c r="Q186" s="24">
        <v>22000</v>
      </c>
      <c r="R186" s="21" t="s">
        <v>506</v>
      </c>
      <c r="S186" s="21" t="s">
        <v>437</v>
      </c>
      <c r="T186" s="21" t="s">
        <v>17</v>
      </c>
      <c r="U186" s="21" t="s">
        <v>507</v>
      </c>
      <c r="V186" s="21" t="s">
        <v>17</v>
      </c>
      <c r="W186" s="21" t="s">
        <v>439</v>
      </c>
      <c r="X186" s="21" t="s">
        <v>439</v>
      </c>
    </row>
    <row r="187" spans="1:24" ht="10.5" customHeight="1" x14ac:dyDescent="0.25">
      <c r="A187" s="20">
        <v>46028</v>
      </c>
      <c r="B187" s="21" t="str">
        <f t="shared" si="2"/>
        <v>06/01/2026NL300107</v>
      </c>
      <c r="C187" s="22" t="s">
        <v>518</v>
      </c>
      <c r="D187" s="22" t="s">
        <v>17</v>
      </c>
      <c r="E187" s="22" t="s">
        <v>431</v>
      </c>
      <c r="F187" s="21" t="s">
        <v>432</v>
      </c>
      <c r="G187" s="21" t="s">
        <v>433</v>
      </c>
      <c r="H187" s="21" t="s">
        <v>519</v>
      </c>
      <c r="I187" s="21" t="s">
        <v>193</v>
      </c>
      <c r="J187" s="21" t="s">
        <v>455</v>
      </c>
      <c r="K187" s="21" t="s">
        <v>450</v>
      </c>
      <c r="L187" s="23">
        <v>12</v>
      </c>
      <c r="M187" s="24">
        <v>8500</v>
      </c>
      <c r="N187" s="24">
        <v>0</v>
      </c>
      <c r="O187" s="25">
        <v>102000</v>
      </c>
      <c r="P187" s="25">
        <v>0</v>
      </c>
      <c r="Q187" s="24">
        <v>8500</v>
      </c>
      <c r="R187" s="21" t="s">
        <v>506</v>
      </c>
      <c r="S187" s="21" t="s">
        <v>437</v>
      </c>
      <c r="T187" s="21" t="s">
        <v>17</v>
      </c>
      <c r="U187" s="21" t="s">
        <v>507</v>
      </c>
      <c r="V187" s="21" t="s">
        <v>17</v>
      </c>
      <c r="W187" s="21" t="s">
        <v>439</v>
      </c>
      <c r="X187" s="21" t="s">
        <v>439</v>
      </c>
    </row>
    <row r="188" spans="1:24" ht="10.5" customHeight="1" x14ac:dyDescent="0.25">
      <c r="A188" s="20">
        <v>46028</v>
      </c>
      <c r="B188" s="21" t="str">
        <f t="shared" si="2"/>
        <v>06/01/2026NL300116</v>
      </c>
      <c r="C188" s="22" t="s">
        <v>518</v>
      </c>
      <c r="D188" s="22" t="s">
        <v>17</v>
      </c>
      <c r="E188" s="22" t="s">
        <v>431</v>
      </c>
      <c r="F188" s="21" t="s">
        <v>432</v>
      </c>
      <c r="G188" s="21" t="s">
        <v>433</v>
      </c>
      <c r="H188" s="21" t="s">
        <v>519</v>
      </c>
      <c r="I188" s="21" t="s">
        <v>315</v>
      </c>
      <c r="J188" s="21" t="s">
        <v>456</v>
      </c>
      <c r="K188" s="21" t="s">
        <v>442</v>
      </c>
      <c r="L188" s="23">
        <v>0.5</v>
      </c>
      <c r="M188" s="24">
        <v>148000</v>
      </c>
      <c r="N188" s="24">
        <v>0</v>
      </c>
      <c r="O188" s="25">
        <v>74000</v>
      </c>
      <c r="P188" s="25">
        <v>0</v>
      </c>
      <c r="Q188" s="24">
        <v>148000</v>
      </c>
      <c r="R188" s="21" t="s">
        <v>506</v>
      </c>
      <c r="S188" s="21" t="s">
        <v>437</v>
      </c>
      <c r="T188" s="21" t="s">
        <v>17</v>
      </c>
      <c r="U188" s="21" t="s">
        <v>507</v>
      </c>
      <c r="V188" s="21" t="s">
        <v>17</v>
      </c>
      <c r="W188" s="21" t="s">
        <v>439</v>
      </c>
      <c r="X188" s="21" t="s">
        <v>439</v>
      </c>
    </row>
    <row r="189" spans="1:24" ht="10.5" customHeight="1" x14ac:dyDescent="0.25">
      <c r="A189" s="20">
        <v>46028</v>
      </c>
      <c r="B189" s="21" t="str">
        <f t="shared" si="2"/>
        <v>06/01/2026NL300158</v>
      </c>
      <c r="C189" s="22" t="s">
        <v>518</v>
      </c>
      <c r="D189" s="22" t="s">
        <v>17</v>
      </c>
      <c r="E189" s="22" t="s">
        <v>431</v>
      </c>
      <c r="F189" s="21" t="s">
        <v>432</v>
      </c>
      <c r="G189" s="21" t="s">
        <v>433</v>
      </c>
      <c r="H189" s="21" t="s">
        <v>519</v>
      </c>
      <c r="I189" s="21" t="s">
        <v>367</v>
      </c>
      <c r="J189" s="21" t="s">
        <v>481</v>
      </c>
      <c r="K189" s="21" t="s">
        <v>442</v>
      </c>
      <c r="L189" s="23">
        <v>0.22</v>
      </c>
      <c r="M189" s="24">
        <v>250000</v>
      </c>
      <c r="N189" s="24">
        <v>0</v>
      </c>
      <c r="O189" s="25">
        <v>55000</v>
      </c>
      <c r="P189" s="25">
        <v>0</v>
      </c>
      <c r="Q189" s="24">
        <v>250000</v>
      </c>
      <c r="R189" s="21" t="s">
        <v>506</v>
      </c>
      <c r="S189" s="21" t="s">
        <v>437</v>
      </c>
      <c r="T189" s="21" t="s">
        <v>17</v>
      </c>
      <c r="U189" s="21" t="s">
        <v>507</v>
      </c>
      <c r="V189" s="21" t="s">
        <v>17</v>
      </c>
      <c r="W189" s="21" t="s">
        <v>439</v>
      </c>
      <c r="X189" s="21" t="s">
        <v>439</v>
      </c>
    </row>
    <row r="190" spans="1:24" ht="10.5" customHeight="1" x14ac:dyDescent="0.25">
      <c r="A190" s="20">
        <v>46028</v>
      </c>
      <c r="B190" s="21" t="str">
        <f t="shared" si="2"/>
        <v>06/01/2026NL300101</v>
      </c>
      <c r="C190" s="22" t="s">
        <v>518</v>
      </c>
      <c r="D190" s="22" t="s">
        <v>17</v>
      </c>
      <c r="E190" s="22" t="s">
        <v>431</v>
      </c>
      <c r="F190" s="21" t="s">
        <v>432</v>
      </c>
      <c r="G190" s="21" t="s">
        <v>433</v>
      </c>
      <c r="H190" s="21" t="s">
        <v>519</v>
      </c>
      <c r="I190" s="21" t="s">
        <v>343</v>
      </c>
      <c r="J190" s="21" t="s">
        <v>480</v>
      </c>
      <c r="K190" s="21" t="s">
        <v>442</v>
      </c>
      <c r="L190" s="23">
        <v>0.4</v>
      </c>
      <c r="M190" s="24">
        <v>195000</v>
      </c>
      <c r="N190" s="24">
        <v>0</v>
      </c>
      <c r="O190" s="25">
        <v>78000</v>
      </c>
      <c r="P190" s="25">
        <v>0</v>
      </c>
      <c r="Q190" s="24">
        <v>195000</v>
      </c>
      <c r="R190" s="21" t="s">
        <v>506</v>
      </c>
      <c r="S190" s="21" t="s">
        <v>437</v>
      </c>
      <c r="T190" s="21" t="s">
        <v>17</v>
      </c>
      <c r="U190" s="21" t="s">
        <v>507</v>
      </c>
      <c r="V190" s="21" t="s">
        <v>17</v>
      </c>
      <c r="W190" s="21" t="s">
        <v>439</v>
      </c>
      <c r="X190" s="21" t="s">
        <v>439</v>
      </c>
    </row>
    <row r="191" spans="1:24" ht="10.5" customHeight="1" x14ac:dyDescent="0.25">
      <c r="A191" s="20">
        <v>46028</v>
      </c>
      <c r="B191" s="21" t="str">
        <f t="shared" si="2"/>
        <v>06/01/2026NL300073</v>
      </c>
      <c r="C191" s="22" t="s">
        <v>518</v>
      </c>
      <c r="D191" s="22" t="s">
        <v>17</v>
      </c>
      <c r="E191" s="22" t="s">
        <v>431</v>
      </c>
      <c r="F191" s="21" t="s">
        <v>432</v>
      </c>
      <c r="G191" s="21" t="s">
        <v>433</v>
      </c>
      <c r="H191" s="21" t="s">
        <v>519</v>
      </c>
      <c r="I191" s="21" t="s">
        <v>241</v>
      </c>
      <c r="J191" s="21" t="s">
        <v>43</v>
      </c>
      <c r="K191" s="21" t="s">
        <v>442</v>
      </c>
      <c r="L191" s="23">
        <v>0.1</v>
      </c>
      <c r="M191" s="24">
        <v>42000</v>
      </c>
      <c r="N191" s="24">
        <v>0</v>
      </c>
      <c r="O191" s="25">
        <v>4200</v>
      </c>
      <c r="P191" s="25">
        <v>0</v>
      </c>
      <c r="Q191" s="24">
        <v>42000</v>
      </c>
      <c r="R191" s="21" t="s">
        <v>506</v>
      </c>
      <c r="S191" s="21" t="s">
        <v>437</v>
      </c>
      <c r="T191" s="21" t="s">
        <v>17</v>
      </c>
      <c r="U191" s="21" t="s">
        <v>507</v>
      </c>
      <c r="V191" s="21" t="s">
        <v>17</v>
      </c>
      <c r="W191" s="21" t="s">
        <v>439</v>
      </c>
      <c r="X191" s="21" t="s">
        <v>439</v>
      </c>
    </row>
    <row r="192" spans="1:24" ht="10.5" customHeight="1" x14ac:dyDescent="0.25">
      <c r="A192" s="20">
        <v>46028</v>
      </c>
      <c r="B192" s="21" t="str">
        <f t="shared" si="2"/>
        <v>06/01/2026NL100101</v>
      </c>
      <c r="C192" s="22" t="s">
        <v>518</v>
      </c>
      <c r="D192" s="22" t="s">
        <v>17</v>
      </c>
      <c r="E192" s="22" t="s">
        <v>431</v>
      </c>
      <c r="F192" s="21" t="s">
        <v>432</v>
      </c>
      <c r="G192" s="21" t="s">
        <v>433</v>
      </c>
      <c r="H192" s="21" t="s">
        <v>519</v>
      </c>
      <c r="I192" s="21" t="s">
        <v>344</v>
      </c>
      <c r="J192" s="21" t="s">
        <v>107</v>
      </c>
      <c r="K192" s="21" t="s">
        <v>435</v>
      </c>
      <c r="L192" s="23">
        <v>15</v>
      </c>
      <c r="M192" s="24">
        <v>5000</v>
      </c>
      <c r="N192" s="24">
        <v>0</v>
      </c>
      <c r="O192" s="25">
        <v>75000</v>
      </c>
      <c r="P192" s="25">
        <v>0</v>
      </c>
      <c r="Q192" s="24">
        <v>5000</v>
      </c>
      <c r="R192" s="21" t="s">
        <v>506</v>
      </c>
      <c r="S192" s="21" t="s">
        <v>437</v>
      </c>
      <c r="T192" s="21" t="s">
        <v>17</v>
      </c>
      <c r="U192" s="21" t="s">
        <v>507</v>
      </c>
      <c r="V192" s="21" t="s">
        <v>17</v>
      </c>
      <c r="W192" s="21" t="s">
        <v>439</v>
      </c>
      <c r="X192" s="21" t="s">
        <v>439</v>
      </c>
    </row>
    <row r="193" spans="1:24" ht="10.5" customHeight="1" x14ac:dyDescent="0.25">
      <c r="A193" s="20">
        <v>46029</v>
      </c>
      <c r="B193" s="21" t="str">
        <f t="shared" si="2"/>
        <v>07/01/2026NL600067</v>
      </c>
      <c r="C193" s="22" t="s">
        <v>520</v>
      </c>
      <c r="D193" s="22" t="s">
        <v>17</v>
      </c>
      <c r="E193" s="22" t="s">
        <v>431</v>
      </c>
      <c r="F193" s="21" t="s">
        <v>432</v>
      </c>
      <c r="G193" s="21" t="s">
        <v>433</v>
      </c>
      <c r="H193" s="21" t="s">
        <v>521</v>
      </c>
      <c r="I193" s="21" t="s">
        <v>376</v>
      </c>
      <c r="J193" s="21" t="s">
        <v>60</v>
      </c>
      <c r="K193" s="21" t="s">
        <v>442</v>
      </c>
      <c r="L193" s="23">
        <v>0.6</v>
      </c>
      <c r="M193" s="24">
        <v>75000</v>
      </c>
      <c r="N193" s="24">
        <v>0</v>
      </c>
      <c r="O193" s="25">
        <v>45000</v>
      </c>
      <c r="P193" s="25">
        <v>0</v>
      </c>
      <c r="Q193" s="24">
        <v>75000</v>
      </c>
      <c r="R193" s="21" t="s">
        <v>506</v>
      </c>
      <c r="S193" s="21" t="s">
        <v>437</v>
      </c>
      <c r="T193" s="21" t="s">
        <v>17</v>
      </c>
      <c r="U193" s="21" t="s">
        <v>507</v>
      </c>
      <c r="V193" s="21" t="s">
        <v>17</v>
      </c>
      <c r="W193" s="21" t="s">
        <v>439</v>
      </c>
      <c r="X193" s="21" t="s">
        <v>439</v>
      </c>
    </row>
    <row r="194" spans="1:24" ht="10.5" customHeight="1" x14ac:dyDescent="0.25">
      <c r="A194" s="20">
        <v>46029</v>
      </c>
      <c r="B194" s="21" t="str">
        <f t="shared" si="2"/>
        <v>07/01/2026NL300007</v>
      </c>
      <c r="C194" s="22" t="s">
        <v>520</v>
      </c>
      <c r="D194" s="22" t="s">
        <v>17</v>
      </c>
      <c r="E194" s="22" t="s">
        <v>431</v>
      </c>
      <c r="F194" s="21" t="s">
        <v>432</v>
      </c>
      <c r="G194" s="21" t="s">
        <v>433</v>
      </c>
      <c r="H194" s="21" t="s">
        <v>521</v>
      </c>
      <c r="I194" s="21" t="s">
        <v>309</v>
      </c>
      <c r="J194" s="21" t="s">
        <v>444</v>
      </c>
      <c r="K194" s="21" t="s">
        <v>442</v>
      </c>
      <c r="L194" s="23">
        <v>2</v>
      </c>
      <c r="M194" s="24">
        <v>30000</v>
      </c>
      <c r="N194" s="24">
        <v>0</v>
      </c>
      <c r="O194" s="25">
        <v>60000</v>
      </c>
      <c r="P194" s="25">
        <v>0</v>
      </c>
      <c r="Q194" s="24">
        <v>30000</v>
      </c>
      <c r="R194" s="21" t="s">
        <v>506</v>
      </c>
      <c r="S194" s="21" t="s">
        <v>437</v>
      </c>
      <c r="T194" s="21" t="s">
        <v>17</v>
      </c>
      <c r="U194" s="21" t="s">
        <v>507</v>
      </c>
      <c r="V194" s="21" t="s">
        <v>17</v>
      </c>
      <c r="W194" s="21" t="s">
        <v>439</v>
      </c>
      <c r="X194" s="21" t="s">
        <v>439</v>
      </c>
    </row>
    <row r="195" spans="1:24" ht="10.5" customHeight="1" x14ac:dyDescent="0.25">
      <c r="A195" s="20">
        <v>46029</v>
      </c>
      <c r="B195" s="21" t="str">
        <f t="shared" ref="B195:B258" si="3">"0"&amp;DAY(A195)&amp;"/01/2026"&amp;I195</f>
        <v>07/01/2026NL300008</v>
      </c>
      <c r="C195" s="22" t="s">
        <v>520</v>
      </c>
      <c r="D195" s="22" t="s">
        <v>17</v>
      </c>
      <c r="E195" s="22" t="s">
        <v>431</v>
      </c>
      <c r="F195" s="21" t="s">
        <v>432</v>
      </c>
      <c r="G195" s="21" t="s">
        <v>433</v>
      </c>
      <c r="H195" s="21" t="s">
        <v>521</v>
      </c>
      <c r="I195" s="21" t="s">
        <v>320</v>
      </c>
      <c r="J195" s="21" t="s">
        <v>445</v>
      </c>
      <c r="K195" s="21" t="s">
        <v>442</v>
      </c>
      <c r="L195" s="23">
        <v>2</v>
      </c>
      <c r="M195" s="24">
        <v>40000</v>
      </c>
      <c r="N195" s="24">
        <v>0</v>
      </c>
      <c r="O195" s="25">
        <v>80000</v>
      </c>
      <c r="P195" s="25">
        <v>0</v>
      </c>
      <c r="Q195" s="24">
        <v>40000</v>
      </c>
      <c r="R195" s="21" t="s">
        <v>506</v>
      </c>
      <c r="S195" s="21" t="s">
        <v>437</v>
      </c>
      <c r="T195" s="21" t="s">
        <v>17</v>
      </c>
      <c r="U195" s="21" t="s">
        <v>507</v>
      </c>
      <c r="V195" s="21" t="s">
        <v>17</v>
      </c>
      <c r="W195" s="21" t="s">
        <v>439</v>
      </c>
      <c r="X195" s="21" t="s">
        <v>439</v>
      </c>
    </row>
    <row r="196" spans="1:24" ht="10.5" customHeight="1" x14ac:dyDescent="0.25">
      <c r="A196" s="20">
        <v>46029</v>
      </c>
      <c r="B196" s="21" t="str">
        <f t="shared" si="3"/>
        <v>07/01/2026NL300020</v>
      </c>
      <c r="C196" s="22" t="s">
        <v>520</v>
      </c>
      <c r="D196" s="22" t="s">
        <v>17</v>
      </c>
      <c r="E196" s="22" t="s">
        <v>431</v>
      </c>
      <c r="F196" s="21" t="s">
        <v>432</v>
      </c>
      <c r="G196" s="21" t="s">
        <v>433</v>
      </c>
      <c r="H196" s="21" t="s">
        <v>521</v>
      </c>
      <c r="I196" s="21" t="s">
        <v>326</v>
      </c>
      <c r="J196" s="21" t="s">
        <v>446</v>
      </c>
      <c r="K196" s="21" t="s">
        <v>442</v>
      </c>
      <c r="L196" s="23">
        <v>1</v>
      </c>
      <c r="M196" s="24">
        <v>30000</v>
      </c>
      <c r="N196" s="24">
        <v>0</v>
      </c>
      <c r="O196" s="25">
        <v>30000</v>
      </c>
      <c r="P196" s="25">
        <v>0</v>
      </c>
      <c r="Q196" s="24">
        <v>30000</v>
      </c>
      <c r="R196" s="21" t="s">
        <v>506</v>
      </c>
      <c r="S196" s="21" t="s">
        <v>437</v>
      </c>
      <c r="T196" s="21" t="s">
        <v>17</v>
      </c>
      <c r="U196" s="21" t="s">
        <v>507</v>
      </c>
      <c r="V196" s="21" t="s">
        <v>17</v>
      </c>
      <c r="W196" s="21" t="s">
        <v>439</v>
      </c>
      <c r="X196" s="21" t="s">
        <v>439</v>
      </c>
    </row>
    <row r="197" spans="1:24" ht="10.5" customHeight="1" x14ac:dyDescent="0.25">
      <c r="A197" s="20">
        <v>46029</v>
      </c>
      <c r="B197" s="21" t="str">
        <f t="shared" si="3"/>
        <v>07/01/2026NL300038</v>
      </c>
      <c r="C197" s="22" t="s">
        <v>520</v>
      </c>
      <c r="D197" s="22" t="s">
        <v>17</v>
      </c>
      <c r="E197" s="22" t="s">
        <v>431</v>
      </c>
      <c r="F197" s="21" t="s">
        <v>432</v>
      </c>
      <c r="G197" s="21" t="s">
        <v>433</v>
      </c>
      <c r="H197" s="21" t="s">
        <v>521</v>
      </c>
      <c r="I197" s="21" t="s">
        <v>217</v>
      </c>
      <c r="J197" s="21" t="s">
        <v>35</v>
      </c>
      <c r="K197" s="21" t="s">
        <v>442</v>
      </c>
      <c r="L197" s="23">
        <v>1</v>
      </c>
      <c r="M197" s="24">
        <v>32000</v>
      </c>
      <c r="N197" s="24">
        <v>0</v>
      </c>
      <c r="O197" s="25">
        <v>32000</v>
      </c>
      <c r="P197" s="25">
        <v>0</v>
      </c>
      <c r="Q197" s="24">
        <v>32000</v>
      </c>
      <c r="R197" s="21" t="s">
        <v>506</v>
      </c>
      <c r="S197" s="21" t="s">
        <v>437</v>
      </c>
      <c r="T197" s="21" t="s">
        <v>17</v>
      </c>
      <c r="U197" s="21" t="s">
        <v>507</v>
      </c>
      <c r="V197" s="21" t="s">
        <v>17</v>
      </c>
      <c r="W197" s="21" t="s">
        <v>439</v>
      </c>
      <c r="X197" s="21" t="s">
        <v>439</v>
      </c>
    </row>
    <row r="198" spans="1:24" ht="10.5" customHeight="1" x14ac:dyDescent="0.25">
      <c r="A198" s="20">
        <v>46029</v>
      </c>
      <c r="B198" s="21" t="str">
        <f t="shared" si="3"/>
        <v>07/01/2026NL300058</v>
      </c>
      <c r="C198" s="22" t="s">
        <v>520</v>
      </c>
      <c r="D198" s="22" t="s">
        <v>17</v>
      </c>
      <c r="E198" s="22" t="s">
        <v>431</v>
      </c>
      <c r="F198" s="21" t="s">
        <v>432</v>
      </c>
      <c r="G198" s="21" t="s">
        <v>433</v>
      </c>
      <c r="H198" s="21" t="s">
        <v>521</v>
      </c>
      <c r="I198" s="21" t="s">
        <v>228</v>
      </c>
      <c r="J198" s="21" t="s">
        <v>39</v>
      </c>
      <c r="K198" s="21" t="s">
        <v>442</v>
      </c>
      <c r="L198" s="23">
        <v>0.5</v>
      </c>
      <c r="M198" s="24">
        <v>55000</v>
      </c>
      <c r="N198" s="24">
        <v>0</v>
      </c>
      <c r="O198" s="25">
        <v>27500</v>
      </c>
      <c r="P198" s="25">
        <v>0</v>
      </c>
      <c r="Q198" s="24">
        <v>55000</v>
      </c>
      <c r="R198" s="21" t="s">
        <v>506</v>
      </c>
      <c r="S198" s="21" t="s">
        <v>437</v>
      </c>
      <c r="T198" s="21" t="s">
        <v>17</v>
      </c>
      <c r="U198" s="21" t="s">
        <v>507</v>
      </c>
      <c r="V198" s="21" t="s">
        <v>17</v>
      </c>
      <c r="W198" s="21" t="s">
        <v>439</v>
      </c>
      <c r="X198" s="21" t="s">
        <v>439</v>
      </c>
    </row>
    <row r="199" spans="1:24" ht="10.5" customHeight="1" x14ac:dyDescent="0.25">
      <c r="A199" s="20">
        <v>46029</v>
      </c>
      <c r="B199" s="21" t="str">
        <f t="shared" si="3"/>
        <v>07/01/2026NL300085</v>
      </c>
      <c r="C199" s="22" t="s">
        <v>520</v>
      </c>
      <c r="D199" s="22" t="s">
        <v>17</v>
      </c>
      <c r="E199" s="22" t="s">
        <v>431</v>
      </c>
      <c r="F199" s="21" t="s">
        <v>432</v>
      </c>
      <c r="G199" s="21" t="s">
        <v>433</v>
      </c>
      <c r="H199" s="21" t="s">
        <v>521</v>
      </c>
      <c r="I199" s="21" t="s">
        <v>263</v>
      </c>
      <c r="J199" s="21" t="s">
        <v>453</v>
      </c>
      <c r="K199" s="21" t="s">
        <v>442</v>
      </c>
      <c r="L199" s="23">
        <v>0.5</v>
      </c>
      <c r="M199" s="24">
        <v>45000</v>
      </c>
      <c r="N199" s="24">
        <v>0</v>
      </c>
      <c r="O199" s="25">
        <v>22500</v>
      </c>
      <c r="P199" s="25">
        <v>0</v>
      </c>
      <c r="Q199" s="24">
        <v>45000</v>
      </c>
      <c r="R199" s="21" t="s">
        <v>506</v>
      </c>
      <c r="S199" s="21" t="s">
        <v>437</v>
      </c>
      <c r="T199" s="21" t="s">
        <v>17</v>
      </c>
      <c r="U199" s="21" t="s">
        <v>507</v>
      </c>
      <c r="V199" s="21" t="s">
        <v>17</v>
      </c>
      <c r="W199" s="21" t="s">
        <v>439</v>
      </c>
      <c r="X199" s="21" t="s">
        <v>439</v>
      </c>
    </row>
    <row r="200" spans="1:24" ht="10.5" customHeight="1" x14ac:dyDescent="0.25">
      <c r="A200" s="20">
        <v>46029</v>
      </c>
      <c r="B200" s="21" t="str">
        <f t="shared" si="3"/>
        <v>07/01/2026NL300092</v>
      </c>
      <c r="C200" s="22" t="s">
        <v>520</v>
      </c>
      <c r="D200" s="22" t="s">
        <v>17</v>
      </c>
      <c r="E200" s="22" t="s">
        <v>431</v>
      </c>
      <c r="F200" s="21" t="s">
        <v>432</v>
      </c>
      <c r="G200" s="21" t="s">
        <v>433</v>
      </c>
      <c r="H200" s="21" t="s">
        <v>521</v>
      </c>
      <c r="I200" s="21" t="s">
        <v>329</v>
      </c>
      <c r="J200" s="21" t="s">
        <v>74</v>
      </c>
      <c r="K200" s="21" t="s">
        <v>442</v>
      </c>
      <c r="L200" s="23">
        <v>0.5</v>
      </c>
      <c r="M200" s="24">
        <v>90000</v>
      </c>
      <c r="N200" s="24">
        <v>0</v>
      </c>
      <c r="O200" s="25">
        <v>45000</v>
      </c>
      <c r="P200" s="25">
        <v>0</v>
      </c>
      <c r="Q200" s="24">
        <v>90000</v>
      </c>
      <c r="R200" s="21" t="s">
        <v>506</v>
      </c>
      <c r="S200" s="21" t="s">
        <v>437</v>
      </c>
      <c r="T200" s="21" t="s">
        <v>17</v>
      </c>
      <c r="U200" s="21" t="s">
        <v>507</v>
      </c>
      <c r="V200" s="21" t="s">
        <v>17</v>
      </c>
      <c r="W200" s="21" t="s">
        <v>439</v>
      </c>
      <c r="X200" s="21" t="s">
        <v>439</v>
      </c>
    </row>
    <row r="201" spans="1:24" ht="10.5" customHeight="1" x14ac:dyDescent="0.25">
      <c r="A201" s="20">
        <v>46029</v>
      </c>
      <c r="B201" s="21" t="str">
        <f t="shared" si="3"/>
        <v>07/01/2026NL300096</v>
      </c>
      <c r="C201" s="22" t="s">
        <v>520</v>
      </c>
      <c r="D201" s="22" t="s">
        <v>17</v>
      </c>
      <c r="E201" s="22" t="s">
        <v>431</v>
      </c>
      <c r="F201" s="21" t="s">
        <v>432</v>
      </c>
      <c r="G201" s="21" t="s">
        <v>433</v>
      </c>
      <c r="H201" s="21" t="s">
        <v>521</v>
      </c>
      <c r="I201" s="21" t="s">
        <v>258</v>
      </c>
      <c r="J201" s="21" t="s">
        <v>45</v>
      </c>
      <c r="K201" s="21" t="s">
        <v>442</v>
      </c>
      <c r="L201" s="23">
        <v>3.5</v>
      </c>
      <c r="M201" s="24">
        <v>45000</v>
      </c>
      <c r="N201" s="24">
        <v>0</v>
      </c>
      <c r="O201" s="25">
        <v>157500</v>
      </c>
      <c r="P201" s="25">
        <v>0</v>
      </c>
      <c r="Q201" s="24">
        <v>45000</v>
      </c>
      <c r="R201" s="21" t="s">
        <v>506</v>
      </c>
      <c r="S201" s="21" t="s">
        <v>437</v>
      </c>
      <c r="T201" s="21" t="s">
        <v>17</v>
      </c>
      <c r="U201" s="21" t="s">
        <v>507</v>
      </c>
      <c r="V201" s="21" t="s">
        <v>17</v>
      </c>
      <c r="W201" s="21" t="s">
        <v>439</v>
      </c>
      <c r="X201" s="21" t="s">
        <v>439</v>
      </c>
    </row>
    <row r="202" spans="1:24" ht="10.5" customHeight="1" x14ac:dyDescent="0.25">
      <c r="A202" s="20">
        <v>46029</v>
      </c>
      <c r="B202" s="21" t="str">
        <f t="shared" si="3"/>
        <v>07/01/2026NL300097</v>
      </c>
      <c r="C202" s="22" t="s">
        <v>520</v>
      </c>
      <c r="D202" s="22" t="s">
        <v>17</v>
      </c>
      <c r="E202" s="22" t="s">
        <v>431</v>
      </c>
      <c r="F202" s="21" t="s">
        <v>432</v>
      </c>
      <c r="G202" s="21" t="s">
        <v>433</v>
      </c>
      <c r="H202" s="21" t="s">
        <v>521</v>
      </c>
      <c r="I202" s="21" t="s">
        <v>331</v>
      </c>
      <c r="J202" s="21" t="s">
        <v>443</v>
      </c>
      <c r="K202" s="21" t="s">
        <v>442</v>
      </c>
      <c r="L202" s="23">
        <v>0.4</v>
      </c>
      <c r="M202" s="24">
        <v>90000</v>
      </c>
      <c r="N202" s="24">
        <v>0</v>
      </c>
      <c r="O202" s="25">
        <v>36000</v>
      </c>
      <c r="P202" s="25">
        <v>0</v>
      </c>
      <c r="Q202" s="24">
        <v>90000</v>
      </c>
      <c r="R202" s="21" t="s">
        <v>506</v>
      </c>
      <c r="S202" s="21" t="s">
        <v>437</v>
      </c>
      <c r="T202" s="21" t="s">
        <v>17</v>
      </c>
      <c r="U202" s="21" t="s">
        <v>507</v>
      </c>
      <c r="V202" s="21" t="s">
        <v>17</v>
      </c>
      <c r="W202" s="21" t="s">
        <v>439</v>
      </c>
      <c r="X202" s="21" t="s">
        <v>439</v>
      </c>
    </row>
    <row r="203" spans="1:24" ht="10.5" customHeight="1" x14ac:dyDescent="0.25">
      <c r="A203" s="20">
        <v>46029</v>
      </c>
      <c r="B203" s="21" t="str">
        <f t="shared" si="3"/>
        <v>07/01/2026NL300113</v>
      </c>
      <c r="C203" s="22" t="s">
        <v>520</v>
      </c>
      <c r="D203" s="22" t="s">
        <v>17</v>
      </c>
      <c r="E203" s="22" t="s">
        <v>431</v>
      </c>
      <c r="F203" s="21" t="s">
        <v>432</v>
      </c>
      <c r="G203" s="21" t="s">
        <v>433</v>
      </c>
      <c r="H203" s="21" t="s">
        <v>521</v>
      </c>
      <c r="I203" s="21" t="s">
        <v>271</v>
      </c>
      <c r="J203" s="21" t="s">
        <v>103</v>
      </c>
      <c r="K203" s="21" t="s">
        <v>442</v>
      </c>
      <c r="L203" s="23">
        <v>0.4</v>
      </c>
      <c r="M203" s="24">
        <v>145000</v>
      </c>
      <c r="N203" s="24">
        <v>0</v>
      </c>
      <c r="O203" s="25">
        <v>58000</v>
      </c>
      <c r="P203" s="25">
        <v>0</v>
      </c>
      <c r="Q203" s="24">
        <v>145000</v>
      </c>
      <c r="R203" s="21" t="s">
        <v>506</v>
      </c>
      <c r="S203" s="21" t="s">
        <v>437</v>
      </c>
      <c r="T203" s="21" t="s">
        <v>17</v>
      </c>
      <c r="U203" s="21" t="s">
        <v>507</v>
      </c>
      <c r="V203" s="21" t="s">
        <v>17</v>
      </c>
      <c r="W203" s="21" t="s">
        <v>439</v>
      </c>
      <c r="X203" s="21" t="s">
        <v>439</v>
      </c>
    </row>
    <row r="204" spans="1:24" ht="10.5" customHeight="1" x14ac:dyDescent="0.25">
      <c r="A204" s="20">
        <v>46029</v>
      </c>
      <c r="B204" s="21" t="str">
        <f t="shared" si="3"/>
        <v>07/01/2026NL300142</v>
      </c>
      <c r="C204" s="22" t="s">
        <v>520</v>
      </c>
      <c r="D204" s="22" t="s">
        <v>17</v>
      </c>
      <c r="E204" s="22" t="s">
        <v>431</v>
      </c>
      <c r="F204" s="21" t="s">
        <v>432</v>
      </c>
      <c r="G204" s="21" t="s">
        <v>433</v>
      </c>
      <c r="H204" s="21" t="s">
        <v>521</v>
      </c>
      <c r="I204" s="21" t="s">
        <v>317</v>
      </c>
      <c r="J204" s="21" t="s">
        <v>441</v>
      </c>
      <c r="K204" s="21" t="s">
        <v>442</v>
      </c>
      <c r="L204" s="23">
        <v>1.1000000000000001</v>
      </c>
      <c r="M204" s="24">
        <v>50000</v>
      </c>
      <c r="N204" s="24">
        <v>0</v>
      </c>
      <c r="O204" s="25">
        <v>55000</v>
      </c>
      <c r="P204" s="25">
        <v>0</v>
      </c>
      <c r="Q204" s="24">
        <v>50000</v>
      </c>
      <c r="R204" s="21" t="s">
        <v>506</v>
      </c>
      <c r="S204" s="21" t="s">
        <v>437</v>
      </c>
      <c r="T204" s="21" t="s">
        <v>17</v>
      </c>
      <c r="U204" s="21" t="s">
        <v>507</v>
      </c>
      <c r="V204" s="21" t="s">
        <v>17</v>
      </c>
      <c r="W204" s="21" t="s">
        <v>439</v>
      </c>
      <c r="X204" s="21" t="s">
        <v>439</v>
      </c>
    </row>
    <row r="205" spans="1:24" ht="10.5" customHeight="1" x14ac:dyDescent="0.25">
      <c r="A205" s="20">
        <v>46029</v>
      </c>
      <c r="B205" s="21" t="str">
        <f t="shared" si="3"/>
        <v>07/01/2026NL300132</v>
      </c>
      <c r="C205" s="22" t="s">
        <v>520</v>
      </c>
      <c r="D205" s="22" t="s">
        <v>17</v>
      </c>
      <c r="E205" s="22" t="s">
        <v>431</v>
      </c>
      <c r="F205" s="21" t="s">
        <v>432</v>
      </c>
      <c r="G205" s="21" t="s">
        <v>433</v>
      </c>
      <c r="H205" s="21" t="s">
        <v>521</v>
      </c>
      <c r="I205" s="21" t="s">
        <v>285</v>
      </c>
      <c r="J205" s="21" t="s">
        <v>82</v>
      </c>
      <c r="K205" s="21" t="s">
        <v>442</v>
      </c>
      <c r="L205" s="23">
        <v>0.4</v>
      </c>
      <c r="M205" s="24">
        <v>12000</v>
      </c>
      <c r="N205" s="24">
        <v>0</v>
      </c>
      <c r="O205" s="25">
        <v>4800</v>
      </c>
      <c r="P205" s="25">
        <v>0</v>
      </c>
      <c r="Q205" s="24">
        <v>12000</v>
      </c>
      <c r="R205" s="21" t="s">
        <v>506</v>
      </c>
      <c r="S205" s="21" t="s">
        <v>437</v>
      </c>
      <c r="T205" s="21" t="s">
        <v>17</v>
      </c>
      <c r="U205" s="21" t="s">
        <v>507</v>
      </c>
      <c r="V205" s="21" t="s">
        <v>17</v>
      </c>
      <c r="W205" s="21" t="s">
        <v>439</v>
      </c>
      <c r="X205" s="21" t="s">
        <v>439</v>
      </c>
    </row>
    <row r="206" spans="1:24" ht="10.5" customHeight="1" x14ac:dyDescent="0.25">
      <c r="A206" s="20">
        <v>46029</v>
      </c>
      <c r="B206" s="21" t="str">
        <f t="shared" si="3"/>
        <v>07/01/2026NL300147</v>
      </c>
      <c r="C206" s="22" t="s">
        <v>520</v>
      </c>
      <c r="D206" s="22" t="s">
        <v>17</v>
      </c>
      <c r="E206" s="22" t="s">
        <v>431</v>
      </c>
      <c r="F206" s="21" t="s">
        <v>432</v>
      </c>
      <c r="G206" s="21" t="s">
        <v>433</v>
      </c>
      <c r="H206" s="21" t="s">
        <v>521</v>
      </c>
      <c r="I206" s="21" t="s">
        <v>300</v>
      </c>
      <c r="J206" s="21" t="s">
        <v>459</v>
      </c>
      <c r="K206" s="21" t="s">
        <v>442</v>
      </c>
      <c r="L206" s="23">
        <v>1.5</v>
      </c>
      <c r="M206" s="24">
        <v>62000</v>
      </c>
      <c r="N206" s="24">
        <v>0</v>
      </c>
      <c r="O206" s="25">
        <v>93000</v>
      </c>
      <c r="P206" s="25">
        <v>0</v>
      </c>
      <c r="Q206" s="24">
        <v>62000</v>
      </c>
      <c r="R206" s="21" t="s">
        <v>506</v>
      </c>
      <c r="S206" s="21" t="s">
        <v>437</v>
      </c>
      <c r="T206" s="21" t="s">
        <v>17</v>
      </c>
      <c r="U206" s="21" t="s">
        <v>507</v>
      </c>
      <c r="V206" s="21" t="s">
        <v>17</v>
      </c>
      <c r="W206" s="21" t="s">
        <v>439</v>
      </c>
      <c r="X206" s="21" t="s">
        <v>439</v>
      </c>
    </row>
    <row r="207" spans="1:24" ht="10.5" customHeight="1" x14ac:dyDescent="0.25">
      <c r="A207" s="20">
        <v>46029</v>
      </c>
      <c r="B207" s="21" t="str">
        <f t="shared" si="3"/>
        <v>07/01/2026NL300189</v>
      </c>
      <c r="C207" s="22" t="s">
        <v>520</v>
      </c>
      <c r="D207" s="22" t="s">
        <v>17</v>
      </c>
      <c r="E207" s="22" t="s">
        <v>431</v>
      </c>
      <c r="F207" s="21" t="s">
        <v>432</v>
      </c>
      <c r="G207" s="21" t="s">
        <v>433</v>
      </c>
      <c r="H207" s="21" t="s">
        <v>521</v>
      </c>
      <c r="I207" s="21" t="s">
        <v>378</v>
      </c>
      <c r="J207" s="21" t="s">
        <v>19</v>
      </c>
      <c r="K207" s="21" t="s">
        <v>442</v>
      </c>
      <c r="L207" s="23">
        <v>1</v>
      </c>
      <c r="M207" s="24">
        <v>15000</v>
      </c>
      <c r="N207" s="24">
        <v>0</v>
      </c>
      <c r="O207" s="25">
        <v>15000</v>
      </c>
      <c r="P207" s="25">
        <v>0</v>
      </c>
      <c r="Q207" s="24">
        <v>15000</v>
      </c>
      <c r="R207" s="21" t="s">
        <v>506</v>
      </c>
      <c r="S207" s="21" t="s">
        <v>437</v>
      </c>
      <c r="T207" s="21" t="s">
        <v>17</v>
      </c>
      <c r="U207" s="21" t="s">
        <v>507</v>
      </c>
      <c r="V207" s="21" t="s">
        <v>17</v>
      </c>
      <c r="W207" s="21" t="s">
        <v>439</v>
      </c>
      <c r="X207" s="21" t="s">
        <v>439</v>
      </c>
    </row>
    <row r="208" spans="1:24" ht="10.5" customHeight="1" x14ac:dyDescent="0.25">
      <c r="A208" s="20">
        <v>46029</v>
      </c>
      <c r="B208" s="21" t="str">
        <f t="shared" si="3"/>
        <v>07/01/2026NL300119</v>
      </c>
      <c r="C208" s="22" t="s">
        <v>520</v>
      </c>
      <c r="D208" s="22" t="s">
        <v>17</v>
      </c>
      <c r="E208" s="22" t="s">
        <v>431</v>
      </c>
      <c r="F208" s="21" t="s">
        <v>432</v>
      </c>
      <c r="G208" s="21" t="s">
        <v>433</v>
      </c>
      <c r="H208" s="21" t="s">
        <v>521</v>
      </c>
      <c r="I208" s="21" t="s">
        <v>310</v>
      </c>
      <c r="J208" s="21" t="s">
        <v>460</v>
      </c>
      <c r="K208" s="21" t="s">
        <v>442</v>
      </c>
      <c r="L208" s="23">
        <v>1</v>
      </c>
      <c r="M208" s="24">
        <v>21000</v>
      </c>
      <c r="N208" s="24">
        <v>0</v>
      </c>
      <c r="O208" s="25">
        <v>21000</v>
      </c>
      <c r="P208" s="25">
        <v>0</v>
      </c>
      <c r="Q208" s="24">
        <v>21000</v>
      </c>
      <c r="R208" s="21" t="s">
        <v>506</v>
      </c>
      <c r="S208" s="21" t="s">
        <v>437</v>
      </c>
      <c r="T208" s="21" t="s">
        <v>17</v>
      </c>
      <c r="U208" s="21" t="s">
        <v>507</v>
      </c>
      <c r="V208" s="21" t="s">
        <v>17</v>
      </c>
      <c r="W208" s="21" t="s">
        <v>439</v>
      </c>
      <c r="X208" s="21" t="s">
        <v>439</v>
      </c>
    </row>
    <row r="209" spans="1:24" ht="10.5" customHeight="1" x14ac:dyDescent="0.25">
      <c r="A209" s="20">
        <v>46029</v>
      </c>
      <c r="B209" s="21" t="str">
        <f t="shared" si="3"/>
        <v>07/01/2026NL300088</v>
      </c>
      <c r="C209" s="22" t="s">
        <v>520</v>
      </c>
      <c r="D209" s="22" t="s">
        <v>17</v>
      </c>
      <c r="E209" s="22" t="s">
        <v>431</v>
      </c>
      <c r="F209" s="21" t="s">
        <v>432</v>
      </c>
      <c r="G209" s="21" t="s">
        <v>433</v>
      </c>
      <c r="H209" s="21" t="s">
        <v>521</v>
      </c>
      <c r="I209" s="21" t="s">
        <v>254</v>
      </c>
      <c r="J209" s="21" t="s">
        <v>15</v>
      </c>
      <c r="K209" s="21" t="s">
        <v>442</v>
      </c>
      <c r="L209" s="23">
        <v>2.5</v>
      </c>
      <c r="M209" s="24">
        <v>27000</v>
      </c>
      <c r="N209" s="24">
        <v>0</v>
      </c>
      <c r="O209" s="25">
        <v>67500</v>
      </c>
      <c r="P209" s="25">
        <v>0</v>
      </c>
      <c r="Q209" s="24">
        <v>27000</v>
      </c>
      <c r="R209" s="21" t="s">
        <v>506</v>
      </c>
      <c r="S209" s="21" t="s">
        <v>437</v>
      </c>
      <c r="T209" s="21" t="s">
        <v>17</v>
      </c>
      <c r="U209" s="21" t="s">
        <v>507</v>
      </c>
      <c r="V209" s="21" t="s">
        <v>17</v>
      </c>
      <c r="W209" s="21" t="s">
        <v>439</v>
      </c>
      <c r="X209" s="21" t="s">
        <v>439</v>
      </c>
    </row>
    <row r="210" spans="1:24" ht="10.5" customHeight="1" x14ac:dyDescent="0.25">
      <c r="A210" s="20">
        <v>46029</v>
      </c>
      <c r="B210" s="21" t="str">
        <f t="shared" si="3"/>
        <v>07/01/2026NL300107</v>
      </c>
      <c r="C210" s="22" t="s">
        <v>520</v>
      </c>
      <c r="D210" s="22" t="s">
        <v>17</v>
      </c>
      <c r="E210" s="22" t="s">
        <v>431</v>
      </c>
      <c r="F210" s="21" t="s">
        <v>432</v>
      </c>
      <c r="G210" s="21" t="s">
        <v>433</v>
      </c>
      <c r="H210" s="21" t="s">
        <v>521</v>
      </c>
      <c r="I210" s="21" t="s">
        <v>193</v>
      </c>
      <c r="J210" s="21" t="s">
        <v>455</v>
      </c>
      <c r="K210" s="21" t="s">
        <v>450</v>
      </c>
      <c r="L210" s="23">
        <v>8</v>
      </c>
      <c r="M210" s="24">
        <v>8500</v>
      </c>
      <c r="N210" s="24">
        <v>0</v>
      </c>
      <c r="O210" s="25">
        <v>68000</v>
      </c>
      <c r="P210" s="25">
        <v>0</v>
      </c>
      <c r="Q210" s="24">
        <v>8500</v>
      </c>
      <c r="R210" s="21" t="s">
        <v>506</v>
      </c>
      <c r="S210" s="21" t="s">
        <v>437</v>
      </c>
      <c r="T210" s="21" t="s">
        <v>17</v>
      </c>
      <c r="U210" s="21" t="s">
        <v>507</v>
      </c>
      <c r="V210" s="21" t="s">
        <v>17</v>
      </c>
      <c r="W210" s="21" t="s">
        <v>439</v>
      </c>
      <c r="X210" s="21" t="s">
        <v>439</v>
      </c>
    </row>
    <row r="211" spans="1:24" ht="10.5" customHeight="1" x14ac:dyDescent="0.25">
      <c r="A211" s="20">
        <v>46029</v>
      </c>
      <c r="B211" s="21" t="str">
        <f t="shared" si="3"/>
        <v>07/01/2026NL300090</v>
      </c>
      <c r="C211" s="22" t="s">
        <v>520</v>
      </c>
      <c r="D211" s="22" t="s">
        <v>17</v>
      </c>
      <c r="E211" s="22" t="s">
        <v>431</v>
      </c>
      <c r="F211" s="21" t="s">
        <v>432</v>
      </c>
      <c r="G211" s="21" t="s">
        <v>433</v>
      </c>
      <c r="H211" s="21" t="s">
        <v>521</v>
      </c>
      <c r="I211" s="21" t="s">
        <v>255</v>
      </c>
      <c r="J211" s="21" t="s">
        <v>70</v>
      </c>
      <c r="K211" s="21" t="s">
        <v>442</v>
      </c>
      <c r="L211" s="23">
        <v>1</v>
      </c>
      <c r="M211" s="24">
        <v>145000</v>
      </c>
      <c r="N211" s="24">
        <v>0</v>
      </c>
      <c r="O211" s="25">
        <v>145000</v>
      </c>
      <c r="P211" s="25">
        <v>0</v>
      </c>
      <c r="Q211" s="24">
        <v>145000</v>
      </c>
      <c r="R211" s="21" t="s">
        <v>506</v>
      </c>
      <c r="S211" s="21" t="s">
        <v>437</v>
      </c>
      <c r="T211" s="21" t="s">
        <v>17</v>
      </c>
      <c r="U211" s="21" t="s">
        <v>507</v>
      </c>
      <c r="V211" s="21" t="s">
        <v>17</v>
      </c>
      <c r="W211" s="21" t="s">
        <v>439</v>
      </c>
      <c r="X211" s="21" t="s">
        <v>439</v>
      </c>
    </row>
    <row r="212" spans="1:24" ht="10.5" customHeight="1" x14ac:dyDescent="0.25">
      <c r="A212" s="20">
        <v>46029</v>
      </c>
      <c r="B212" s="21" t="str">
        <f t="shared" si="3"/>
        <v>07/01/2026NL600004</v>
      </c>
      <c r="C212" s="22" t="s">
        <v>520</v>
      </c>
      <c r="D212" s="22" t="s">
        <v>17</v>
      </c>
      <c r="E212" s="22" t="s">
        <v>431</v>
      </c>
      <c r="F212" s="21" t="s">
        <v>432</v>
      </c>
      <c r="G212" s="21" t="s">
        <v>433</v>
      </c>
      <c r="H212" s="21" t="s">
        <v>521</v>
      </c>
      <c r="I212" s="21" t="s">
        <v>225</v>
      </c>
      <c r="J212" s="21" t="s">
        <v>37</v>
      </c>
      <c r="K212" s="21" t="s">
        <v>442</v>
      </c>
      <c r="L212" s="23">
        <v>17</v>
      </c>
      <c r="M212" s="24">
        <v>18000</v>
      </c>
      <c r="N212" s="24">
        <v>0</v>
      </c>
      <c r="O212" s="25">
        <v>306000</v>
      </c>
      <c r="P212" s="25">
        <v>0</v>
      </c>
      <c r="Q212" s="24">
        <v>18000</v>
      </c>
      <c r="R212" s="21" t="s">
        <v>506</v>
      </c>
      <c r="S212" s="21" t="s">
        <v>437</v>
      </c>
      <c r="T212" s="21" t="s">
        <v>17</v>
      </c>
      <c r="U212" s="21" t="s">
        <v>507</v>
      </c>
      <c r="V212" s="21" t="s">
        <v>17</v>
      </c>
      <c r="W212" s="21" t="s">
        <v>439</v>
      </c>
      <c r="X212" s="21" t="s">
        <v>439</v>
      </c>
    </row>
    <row r="213" spans="1:24" ht="10.5" customHeight="1" x14ac:dyDescent="0.25">
      <c r="A213" s="20">
        <v>46029</v>
      </c>
      <c r="B213" s="21" t="str">
        <f t="shared" si="3"/>
        <v>07/01/2026NL300131</v>
      </c>
      <c r="C213" s="22" t="s">
        <v>520</v>
      </c>
      <c r="D213" s="22" t="s">
        <v>17</v>
      </c>
      <c r="E213" s="22" t="s">
        <v>431</v>
      </c>
      <c r="F213" s="21" t="s">
        <v>432</v>
      </c>
      <c r="G213" s="21" t="s">
        <v>433</v>
      </c>
      <c r="H213" s="21" t="s">
        <v>521</v>
      </c>
      <c r="I213" s="21" t="s">
        <v>340</v>
      </c>
      <c r="J213" s="21" t="s">
        <v>88</v>
      </c>
      <c r="K213" s="21" t="s">
        <v>442</v>
      </c>
      <c r="L213" s="23">
        <v>0.2</v>
      </c>
      <c r="M213" s="24">
        <v>220000</v>
      </c>
      <c r="N213" s="24">
        <v>0</v>
      </c>
      <c r="O213" s="25">
        <v>44000</v>
      </c>
      <c r="P213" s="25">
        <v>0</v>
      </c>
      <c r="Q213" s="24">
        <v>220000</v>
      </c>
      <c r="R213" s="21" t="s">
        <v>506</v>
      </c>
      <c r="S213" s="21" t="s">
        <v>437</v>
      </c>
      <c r="T213" s="21" t="s">
        <v>17</v>
      </c>
      <c r="U213" s="21" t="s">
        <v>507</v>
      </c>
      <c r="V213" s="21" t="s">
        <v>17</v>
      </c>
      <c r="W213" s="21" t="s">
        <v>439</v>
      </c>
      <c r="X213" s="21" t="s">
        <v>439</v>
      </c>
    </row>
    <row r="214" spans="1:24" ht="10.5" customHeight="1" x14ac:dyDescent="0.25">
      <c r="A214" s="20">
        <v>46029</v>
      </c>
      <c r="B214" s="21" t="str">
        <f t="shared" si="3"/>
        <v>07/01/2026NL300062</v>
      </c>
      <c r="C214" s="22" t="s">
        <v>520</v>
      </c>
      <c r="D214" s="22" t="s">
        <v>17</v>
      </c>
      <c r="E214" s="22" t="s">
        <v>431</v>
      </c>
      <c r="F214" s="21" t="s">
        <v>432</v>
      </c>
      <c r="G214" s="21" t="s">
        <v>433</v>
      </c>
      <c r="H214" s="21" t="s">
        <v>521</v>
      </c>
      <c r="I214" s="21" t="s">
        <v>236</v>
      </c>
      <c r="J214" s="21" t="s">
        <v>482</v>
      </c>
      <c r="K214" s="21" t="s">
        <v>442</v>
      </c>
      <c r="L214" s="23">
        <v>0.3</v>
      </c>
      <c r="M214" s="24">
        <v>65000</v>
      </c>
      <c r="N214" s="24">
        <v>0</v>
      </c>
      <c r="O214" s="25">
        <v>19500</v>
      </c>
      <c r="P214" s="25">
        <v>0</v>
      </c>
      <c r="Q214" s="24">
        <v>65000</v>
      </c>
      <c r="R214" s="21" t="s">
        <v>506</v>
      </c>
      <c r="S214" s="21" t="s">
        <v>437</v>
      </c>
      <c r="T214" s="21" t="s">
        <v>17</v>
      </c>
      <c r="U214" s="21" t="s">
        <v>507</v>
      </c>
      <c r="V214" s="21" t="s">
        <v>17</v>
      </c>
      <c r="W214" s="21" t="s">
        <v>439</v>
      </c>
      <c r="X214" s="21" t="s">
        <v>439</v>
      </c>
    </row>
    <row r="215" spans="1:24" ht="10.5" customHeight="1" x14ac:dyDescent="0.25">
      <c r="A215" s="20">
        <v>46029</v>
      </c>
      <c r="B215" s="21" t="str">
        <f t="shared" si="3"/>
        <v>07/01/2026NL300125</v>
      </c>
      <c r="C215" s="22" t="s">
        <v>520</v>
      </c>
      <c r="D215" s="22" t="s">
        <v>17</v>
      </c>
      <c r="E215" s="22" t="s">
        <v>431</v>
      </c>
      <c r="F215" s="21" t="s">
        <v>432</v>
      </c>
      <c r="G215" s="21" t="s">
        <v>433</v>
      </c>
      <c r="H215" s="21" t="s">
        <v>521</v>
      </c>
      <c r="I215" s="21" t="s">
        <v>337</v>
      </c>
      <c r="J215" s="21" t="s">
        <v>146</v>
      </c>
      <c r="K215" s="21" t="s">
        <v>442</v>
      </c>
      <c r="L215" s="23">
        <v>0.5</v>
      </c>
      <c r="M215" s="24">
        <v>42000</v>
      </c>
      <c r="N215" s="24">
        <v>0</v>
      </c>
      <c r="O215" s="25">
        <v>21000</v>
      </c>
      <c r="P215" s="25">
        <v>0</v>
      </c>
      <c r="Q215" s="24">
        <v>42000</v>
      </c>
      <c r="R215" s="21" t="s">
        <v>506</v>
      </c>
      <c r="S215" s="21" t="s">
        <v>437</v>
      </c>
      <c r="T215" s="21" t="s">
        <v>17</v>
      </c>
      <c r="U215" s="21" t="s">
        <v>507</v>
      </c>
      <c r="V215" s="21" t="s">
        <v>17</v>
      </c>
      <c r="W215" s="21" t="s">
        <v>439</v>
      </c>
      <c r="X215" s="21" t="s">
        <v>439</v>
      </c>
    </row>
    <row r="216" spans="1:24" ht="10.5" customHeight="1" x14ac:dyDescent="0.25">
      <c r="A216" s="20">
        <v>46029</v>
      </c>
      <c r="B216" s="21" t="str">
        <f t="shared" si="3"/>
        <v>07/01/2026NL300029</v>
      </c>
      <c r="C216" s="22" t="s">
        <v>520</v>
      </c>
      <c r="D216" s="22" t="s">
        <v>17</v>
      </c>
      <c r="E216" s="22" t="s">
        <v>431</v>
      </c>
      <c r="F216" s="21" t="s">
        <v>432</v>
      </c>
      <c r="G216" s="21" t="s">
        <v>433</v>
      </c>
      <c r="H216" s="21" t="s">
        <v>521</v>
      </c>
      <c r="I216" s="21" t="s">
        <v>213</v>
      </c>
      <c r="J216" s="21" t="s">
        <v>469</v>
      </c>
      <c r="K216" s="21" t="s">
        <v>442</v>
      </c>
      <c r="L216" s="23">
        <v>0.5</v>
      </c>
      <c r="M216" s="24">
        <v>22000</v>
      </c>
      <c r="N216" s="24">
        <v>0</v>
      </c>
      <c r="O216" s="25">
        <v>11000</v>
      </c>
      <c r="P216" s="25">
        <v>0</v>
      </c>
      <c r="Q216" s="24">
        <v>22000</v>
      </c>
      <c r="R216" s="21" t="s">
        <v>506</v>
      </c>
      <c r="S216" s="21" t="s">
        <v>437</v>
      </c>
      <c r="T216" s="21" t="s">
        <v>17</v>
      </c>
      <c r="U216" s="21" t="s">
        <v>507</v>
      </c>
      <c r="V216" s="21" t="s">
        <v>17</v>
      </c>
      <c r="W216" s="21" t="s">
        <v>439</v>
      </c>
      <c r="X216" s="21" t="s">
        <v>439</v>
      </c>
    </row>
    <row r="217" spans="1:24" ht="10.5" customHeight="1" x14ac:dyDescent="0.25">
      <c r="A217" s="20">
        <v>46029</v>
      </c>
      <c r="B217" s="21" t="str">
        <f t="shared" si="3"/>
        <v>07/01/2026NL300070</v>
      </c>
      <c r="C217" s="22" t="s">
        <v>522</v>
      </c>
      <c r="D217" s="22" t="s">
        <v>17</v>
      </c>
      <c r="E217" s="22" t="s">
        <v>431</v>
      </c>
      <c r="F217" s="21" t="s">
        <v>432</v>
      </c>
      <c r="G217" s="21" t="s">
        <v>433</v>
      </c>
      <c r="H217" s="21" t="s">
        <v>521</v>
      </c>
      <c r="I217" s="21" t="s">
        <v>345</v>
      </c>
      <c r="J217" s="21" t="s">
        <v>465</v>
      </c>
      <c r="K217" s="21" t="s">
        <v>442</v>
      </c>
      <c r="L217" s="23">
        <v>1</v>
      </c>
      <c r="M217" s="24">
        <v>23000</v>
      </c>
      <c r="N217" s="24">
        <v>0</v>
      </c>
      <c r="O217" s="25">
        <v>23000</v>
      </c>
      <c r="P217" s="25">
        <v>0</v>
      </c>
      <c r="Q217" s="24">
        <v>23000</v>
      </c>
      <c r="R217" s="21" t="s">
        <v>506</v>
      </c>
      <c r="S217" s="21" t="s">
        <v>437</v>
      </c>
      <c r="T217" s="21" t="s">
        <v>17</v>
      </c>
      <c r="U217" s="21" t="s">
        <v>507</v>
      </c>
      <c r="V217" s="21" t="s">
        <v>17</v>
      </c>
      <c r="W217" s="21" t="s">
        <v>439</v>
      </c>
      <c r="X217" s="21" t="s">
        <v>439</v>
      </c>
    </row>
    <row r="218" spans="1:24" ht="10.5" customHeight="1" x14ac:dyDescent="0.25">
      <c r="A218" s="20">
        <v>46030</v>
      </c>
      <c r="B218" s="21" t="str">
        <f t="shared" si="3"/>
        <v>08/01/2026NL300147</v>
      </c>
      <c r="C218" s="22" t="s">
        <v>523</v>
      </c>
      <c r="D218" s="22" t="s">
        <v>17</v>
      </c>
      <c r="E218" s="22" t="s">
        <v>431</v>
      </c>
      <c r="F218" s="21" t="s">
        <v>432</v>
      </c>
      <c r="G218" s="21" t="s">
        <v>433</v>
      </c>
      <c r="H218" s="21" t="s">
        <v>524</v>
      </c>
      <c r="I218" s="21" t="s">
        <v>300</v>
      </c>
      <c r="J218" s="21" t="s">
        <v>459</v>
      </c>
      <c r="K218" s="21" t="s">
        <v>442</v>
      </c>
      <c r="L218" s="23">
        <v>3</v>
      </c>
      <c r="M218" s="24">
        <v>62000</v>
      </c>
      <c r="N218" s="24">
        <v>0</v>
      </c>
      <c r="O218" s="25">
        <v>186000</v>
      </c>
      <c r="P218" s="25">
        <v>0</v>
      </c>
      <c r="Q218" s="24">
        <v>62000</v>
      </c>
      <c r="R218" s="21" t="s">
        <v>506</v>
      </c>
      <c r="S218" s="21" t="s">
        <v>437</v>
      </c>
      <c r="T218" s="21" t="s">
        <v>17</v>
      </c>
      <c r="U218" s="21" t="s">
        <v>507</v>
      </c>
      <c r="V218" s="21" t="s">
        <v>17</v>
      </c>
      <c r="W218" s="21" t="s">
        <v>439</v>
      </c>
      <c r="X218" s="21" t="s">
        <v>439</v>
      </c>
    </row>
    <row r="219" spans="1:24" ht="10.5" customHeight="1" x14ac:dyDescent="0.25">
      <c r="A219" s="20">
        <v>46030</v>
      </c>
      <c r="B219" s="21" t="str">
        <f t="shared" si="3"/>
        <v>08/01/2026NL300189</v>
      </c>
      <c r="C219" s="22" t="s">
        <v>523</v>
      </c>
      <c r="D219" s="22" t="s">
        <v>17</v>
      </c>
      <c r="E219" s="22" t="s">
        <v>431</v>
      </c>
      <c r="F219" s="21" t="s">
        <v>432</v>
      </c>
      <c r="G219" s="21" t="s">
        <v>433</v>
      </c>
      <c r="H219" s="21" t="s">
        <v>524</v>
      </c>
      <c r="I219" s="21" t="s">
        <v>378</v>
      </c>
      <c r="J219" s="21" t="s">
        <v>19</v>
      </c>
      <c r="K219" s="21" t="s">
        <v>442</v>
      </c>
      <c r="L219" s="23">
        <v>1</v>
      </c>
      <c r="M219" s="24">
        <v>15000</v>
      </c>
      <c r="N219" s="24">
        <v>0</v>
      </c>
      <c r="O219" s="25">
        <v>15000</v>
      </c>
      <c r="P219" s="25">
        <v>0</v>
      </c>
      <c r="Q219" s="24">
        <v>15000</v>
      </c>
      <c r="R219" s="21" t="s">
        <v>506</v>
      </c>
      <c r="S219" s="21" t="s">
        <v>437</v>
      </c>
      <c r="T219" s="21" t="s">
        <v>17</v>
      </c>
      <c r="U219" s="21" t="s">
        <v>507</v>
      </c>
      <c r="V219" s="21" t="s">
        <v>17</v>
      </c>
      <c r="W219" s="21" t="s">
        <v>439</v>
      </c>
      <c r="X219" s="21" t="s">
        <v>439</v>
      </c>
    </row>
    <row r="220" spans="1:24" ht="10.5" customHeight="1" x14ac:dyDescent="0.25">
      <c r="A220" s="20">
        <v>46030</v>
      </c>
      <c r="B220" s="21" t="str">
        <f t="shared" si="3"/>
        <v>08/01/2026NL300119</v>
      </c>
      <c r="C220" s="22" t="s">
        <v>523</v>
      </c>
      <c r="D220" s="22" t="s">
        <v>17</v>
      </c>
      <c r="E220" s="22" t="s">
        <v>431</v>
      </c>
      <c r="F220" s="21" t="s">
        <v>432</v>
      </c>
      <c r="G220" s="21" t="s">
        <v>433</v>
      </c>
      <c r="H220" s="21" t="s">
        <v>524</v>
      </c>
      <c r="I220" s="21" t="s">
        <v>310</v>
      </c>
      <c r="J220" s="21" t="s">
        <v>460</v>
      </c>
      <c r="K220" s="21" t="s">
        <v>442</v>
      </c>
      <c r="L220" s="23">
        <v>0.5</v>
      </c>
      <c r="M220" s="24">
        <v>21000</v>
      </c>
      <c r="N220" s="24">
        <v>0</v>
      </c>
      <c r="O220" s="25">
        <v>10500</v>
      </c>
      <c r="P220" s="25">
        <v>0</v>
      </c>
      <c r="Q220" s="24">
        <v>21000</v>
      </c>
      <c r="R220" s="21" t="s">
        <v>506</v>
      </c>
      <c r="S220" s="21" t="s">
        <v>437</v>
      </c>
      <c r="T220" s="21" t="s">
        <v>17</v>
      </c>
      <c r="U220" s="21" t="s">
        <v>507</v>
      </c>
      <c r="V220" s="21" t="s">
        <v>17</v>
      </c>
      <c r="W220" s="21" t="s">
        <v>439</v>
      </c>
      <c r="X220" s="21" t="s">
        <v>439</v>
      </c>
    </row>
    <row r="221" spans="1:24" ht="10.5" customHeight="1" x14ac:dyDescent="0.25">
      <c r="A221" s="20">
        <v>46030</v>
      </c>
      <c r="B221" s="21" t="str">
        <f t="shared" si="3"/>
        <v>08/01/2026NL300062</v>
      </c>
      <c r="C221" s="22" t="s">
        <v>523</v>
      </c>
      <c r="D221" s="22" t="s">
        <v>17</v>
      </c>
      <c r="E221" s="22" t="s">
        <v>431</v>
      </c>
      <c r="F221" s="21" t="s">
        <v>432</v>
      </c>
      <c r="G221" s="21" t="s">
        <v>433</v>
      </c>
      <c r="H221" s="21" t="s">
        <v>524</v>
      </c>
      <c r="I221" s="21" t="s">
        <v>236</v>
      </c>
      <c r="J221" s="21" t="s">
        <v>482</v>
      </c>
      <c r="K221" s="21" t="s">
        <v>442</v>
      </c>
      <c r="L221" s="23">
        <v>0.2</v>
      </c>
      <c r="M221" s="24">
        <v>65000</v>
      </c>
      <c r="N221" s="24">
        <v>0</v>
      </c>
      <c r="O221" s="25">
        <v>13000</v>
      </c>
      <c r="P221" s="25">
        <v>0</v>
      </c>
      <c r="Q221" s="24">
        <v>65000</v>
      </c>
      <c r="R221" s="21" t="s">
        <v>506</v>
      </c>
      <c r="S221" s="21" t="s">
        <v>437</v>
      </c>
      <c r="T221" s="21" t="s">
        <v>17</v>
      </c>
      <c r="U221" s="21" t="s">
        <v>507</v>
      </c>
      <c r="V221" s="21" t="s">
        <v>17</v>
      </c>
      <c r="W221" s="21" t="s">
        <v>439</v>
      </c>
      <c r="X221" s="21" t="s">
        <v>439</v>
      </c>
    </row>
    <row r="222" spans="1:24" ht="10.5" customHeight="1" x14ac:dyDescent="0.25">
      <c r="A222" s="20">
        <v>46030</v>
      </c>
      <c r="B222" s="21" t="str">
        <f t="shared" si="3"/>
        <v>08/01/2026NL300088</v>
      </c>
      <c r="C222" s="22" t="s">
        <v>523</v>
      </c>
      <c r="D222" s="22" t="s">
        <v>17</v>
      </c>
      <c r="E222" s="22" t="s">
        <v>431</v>
      </c>
      <c r="F222" s="21" t="s">
        <v>432</v>
      </c>
      <c r="G222" s="21" t="s">
        <v>433</v>
      </c>
      <c r="H222" s="21" t="s">
        <v>524</v>
      </c>
      <c r="I222" s="21" t="s">
        <v>254</v>
      </c>
      <c r="J222" s="21" t="s">
        <v>15</v>
      </c>
      <c r="K222" s="21" t="s">
        <v>442</v>
      </c>
      <c r="L222" s="23">
        <v>2</v>
      </c>
      <c r="M222" s="24">
        <v>27000</v>
      </c>
      <c r="N222" s="24">
        <v>0</v>
      </c>
      <c r="O222" s="25">
        <v>54000</v>
      </c>
      <c r="P222" s="25">
        <v>0</v>
      </c>
      <c r="Q222" s="24">
        <v>27000</v>
      </c>
      <c r="R222" s="21" t="s">
        <v>506</v>
      </c>
      <c r="S222" s="21" t="s">
        <v>437</v>
      </c>
      <c r="T222" s="21" t="s">
        <v>17</v>
      </c>
      <c r="U222" s="21" t="s">
        <v>507</v>
      </c>
      <c r="V222" s="21" t="s">
        <v>17</v>
      </c>
      <c r="W222" s="21" t="s">
        <v>439</v>
      </c>
      <c r="X222" s="21" t="s">
        <v>439</v>
      </c>
    </row>
    <row r="223" spans="1:24" ht="10.5" customHeight="1" x14ac:dyDescent="0.25">
      <c r="A223" s="20">
        <v>46030</v>
      </c>
      <c r="B223" s="21" t="str">
        <f t="shared" si="3"/>
        <v>08/01/2026NL300125</v>
      </c>
      <c r="C223" s="22" t="s">
        <v>523</v>
      </c>
      <c r="D223" s="22" t="s">
        <v>17</v>
      </c>
      <c r="E223" s="22" t="s">
        <v>431</v>
      </c>
      <c r="F223" s="21" t="s">
        <v>432</v>
      </c>
      <c r="G223" s="21" t="s">
        <v>433</v>
      </c>
      <c r="H223" s="21" t="s">
        <v>524</v>
      </c>
      <c r="I223" s="21" t="s">
        <v>337</v>
      </c>
      <c r="J223" s="21" t="s">
        <v>146</v>
      </c>
      <c r="K223" s="21" t="s">
        <v>442</v>
      </c>
      <c r="L223" s="23">
        <v>0.5</v>
      </c>
      <c r="M223" s="24">
        <v>42000</v>
      </c>
      <c r="N223" s="24">
        <v>0</v>
      </c>
      <c r="O223" s="25">
        <v>21000</v>
      </c>
      <c r="P223" s="25">
        <v>0</v>
      </c>
      <c r="Q223" s="24">
        <v>42000</v>
      </c>
      <c r="R223" s="21" t="s">
        <v>506</v>
      </c>
      <c r="S223" s="21" t="s">
        <v>437</v>
      </c>
      <c r="T223" s="21" t="s">
        <v>17</v>
      </c>
      <c r="U223" s="21" t="s">
        <v>507</v>
      </c>
      <c r="V223" s="21" t="s">
        <v>17</v>
      </c>
      <c r="W223" s="21" t="s">
        <v>439</v>
      </c>
      <c r="X223" s="21" t="s">
        <v>439</v>
      </c>
    </row>
    <row r="224" spans="1:24" ht="10.5" customHeight="1" x14ac:dyDescent="0.25">
      <c r="A224" s="20">
        <v>46030</v>
      </c>
      <c r="B224" s="21" t="str">
        <f t="shared" si="3"/>
        <v>08/01/2026NL300029</v>
      </c>
      <c r="C224" s="22" t="s">
        <v>523</v>
      </c>
      <c r="D224" s="22" t="s">
        <v>17</v>
      </c>
      <c r="E224" s="22" t="s">
        <v>431</v>
      </c>
      <c r="F224" s="21" t="s">
        <v>432</v>
      </c>
      <c r="G224" s="21" t="s">
        <v>433</v>
      </c>
      <c r="H224" s="21" t="s">
        <v>524</v>
      </c>
      <c r="I224" s="21" t="s">
        <v>213</v>
      </c>
      <c r="J224" s="21" t="s">
        <v>469</v>
      </c>
      <c r="K224" s="21" t="s">
        <v>442</v>
      </c>
      <c r="L224" s="23">
        <v>1</v>
      </c>
      <c r="M224" s="24">
        <v>22000</v>
      </c>
      <c r="N224" s="24">
        <v>0</v>
      </c>
      <c r="O224" s="25">
        <v>22000</v>
      </c>
      <c r="P224" s="25">
        <v>0</v>
      </c>
      <c r="Q224" s="24">
        <v>22000</v>
      </c>
      <c r="R224" s="21" t="s">
        <v>506</v>
      </c>
      <c r="S224" s="21" t="s">
        <v>437</v>
      </c>
      <c r="T224" s="21" t="s">
        <v>17</v>
      </c>
      <c r="U224" s="21" t="s">
        <v>507</v>
      </c>
      <c r="V224" s="21" t="s">
        <v>17</v>
      </c>
      <c r="W224" s="21" t="s">
        <v>439</v>
      </c>
      <c r="X224" s="21" t="s">
        <v>439</v>
      </c>
    </row>
    <row r="225" spans="1:24" ht="10.5" customHeight="1" x14ac:dyDescent="0.25">
      <c r="A225" s="20">
        <v>46030</v>
      </c>
      <c r="B225" s="21" t="str">
        <f t="shared" si="3"/>
        <v>08/01/2026NL300107</v>
      </c>
      <c r="C225" s="22" t="s">
        <v>523</v>
      </c>
      <c r="D225" s="22" t="s">
        <v>17</v>
      </c>
      <c r="E225" s="22" t="s">
        <v>431</v>
      </c>
      <c r="F225" s="21" t="s">
        <v>432</v>
      </c>
      <c r="G225" s="21" t="s">
        <v>433</v>
      </c>
      <c r="H225" s="21" t="s">
        <v>524</v>
      </c>
      <c r="I225" s="21" t="s">
        <v>193</v>
      </c>
      <c r="J225" s="21" t="s">
        <v>455</v>
      </c>
      <c r="K225" s="21" t="s">
        <v>450</v>
      </c>
      <c r="L225" s="23">
        <v>12</v>
      </c>
      <c r="M225" s="24">
        <v>8500</v>
      </c>
      <c r="N225" s="24">
        <v>0</v>
      </c>
      <c r="O225" s="25">
        <v>102000</v>
      </c>
      <c r="P225" s="25">
        <v>0</v>
      </c>
      <c r="Q225" s="24">
        <v>8500</v>
      </c>
      <c r="R225" s="21" t="s">
        <v>506</v>
      </c>
      <c r="S225" s="21" t="s">
        <v>437</v>
      </c>
      <c r="T225" s="21" t="s">
        <v>17</v>
      </c>
      <c r="U225" s="21" t="s">
        <v>507</v>
      </c>
      <c r="V225" s="21" t="s">
        <v>17</v>
      </c>
      <c r="W225" s="21" t="s">
        <v>439</v>
      </c>
      <c r="X225" s="21" t="s">
        <v>439</v>
      </c>
    </row>
    <row r="226" spans="1:24" ht="10.5" customHeight="1" x14ac:dyDescent="0.25">
      <c r="A226" s="20">
        <v>46030</v>
      </c>
      <c r="B226" s="21" t="str">
        <f t="shared" si="3"/>
        <v>08/01/2026NL300055</v>
      </c>
      <c r="C226" s="22" t="s">
        <v>523</v>
      </c>
      <c r="D226" s="22" t="s">
        <v>17</v>
      </c>
      <c r="E226" s="22" t="s">
        <v>431</v>
      </c>
      <c r="F226" s="21" t="s">
        <v>432</v>
      </c>
      <c r="G226" s="21" t="s">
        <v>433</v>
      </c>
      <c r="H226" s="21" t="s">
        <v>524</v>
      </c>
      <c r="I226" s="21" t="s">
        <v>230</v>
      </c>
      <c r="J226" s="21" t="s">
        <v>452</v>
      </c>
      <c r="K226" s="21" t="s">
        <v>442</v>
      </c>
      <c r="L226" s="23">
        <v>0.2</v>
      </c>
      <c r="M226" s="24">
        <v>80000</v>
      </c>
      <c r="N226" s="24">
        <v>0</v>
      </c>
      <c r="O226" s="25">
        <v>16000</v>
      </c>
      <c r="P226" s="25">
        <v>0</v>
      </c>
      <c r="Q226" s="24">
        <v>80000</v>
      </c>
      <c r="R226" s="21" t="s">
        <v>506</v>
      </c>
      <c r="S226" s="21" t="s">
        <v>437</v>
      </c>
      <c r="T226" s="21" t="s">
        <v>17</v>
      </c>
      <c r="U226" s="21" t="s">
        <v>507</v>
      </c>
      <c r="V226" s="21" t="s">
        <v>17</v>
      </c>
      <c r="W226" s="21" t="s">
        <v>439</v>
      </c>
      <c r="X226" s="21" t="s">
        <v>439</v>
      </c>
    </row>
    <row r="227" spans="1:24" ht="10.5" customHeight="1" x14ac:dyDescent="0.25">
      <c r="A227" s="20">
        <v>46030</v>
      </c>
      <c r="B227" s="21" t="str">
        <f t="shared" si="3"/>
        <v>08/01/2026NL300184</v>
      </c>
      <c r="C227" s="22" t="s">
        <v>523</v>
      </c>
      <c r="D227" s="22" t="s">
        <v>17</v>
      </c>
      <c r="E227" s="22" t="s">
        <v>431</v>
      </c>
      <c r="F227" s="21" t="s">
        <v>432</v>
      </c>
      <c r="G227" s="21" t="s">
        <v>433</v>
      </c>
      <c r="H227" s="21" t="s">
        <v>524</v>
      </c>
      <c r="I227" s="21" t="s">
        <v>368</v>
      </c>
      <c r="J227" s="21" t="s">
        <v>462</v>
      </c>
      <c r="K227" s="21" t="s">
        <v>442</v>
      </c>
      <c r="L227" s="23">
        <v>0.9</v>
      </c>
      <c r="M227" s="24">
        <v>18000</v>
      </c>
      <c r="N227" s="24">
        <v>0</v>
      </c>
      <c r="O227" s="25">
        <v>16200</v>
      </c>
      <c r="P227" s="25">
        <v>0</v>
      </c>
      <c r="Q227" s="24">
        <v>18000</v>
      </c>
      <c r="R227" s="21" t="s">
        <v>506</v>
      </c>
      <c r="S227" s="21" t="s">
        <v>437</v>
      </c>
      <c r="T227" s="21" t="s">
        <v>17</v>
      </c>
      <c r="U227" s="21" t="s">
        <v>507</v>
      </c>
      <c r="V227" s="21" t="s">
        <v>17</v>
      </c>
      <c r="W227" s="21" t="s">
        <v>439</v>
      </c>
      <c r="X227" s="21" t="s">
        <v>439</v>
      </c>
    </row>
    <row r="228" spans="1:24" ht="10.5" customHeight="1" x14ac:dyDescent="0.25">
      <c r="A228" s="20">
        <v>46030</v>
      </c>
      <c r="B228" s="21" t="str">
        <f t="shared" si="3"/>
        <v>08/01/2026NL300036</v>
      </c>
      <c r="C228" s="22" t="s">
        <v>523</v>
      </c>
      <c r="D228" s="22" t="s">
        <v>17</v>
      </c>
      <c r="E228" s="22" t="s">
        <v>431</v>
      </c>
      <c r="F228" s="21" t="s">
        <v>432</v>
      </c>
      <c r="G228" s="21" t="s">
        <v>433</v>
      </c>
      <c r="H228" s="21" t="s">
        <v>524</v>
      </c>
      <c r="I228" s="21" t="s">
        <v>380</v>
      </c>
      <c r="J228" s="21" t="s">
        <v>96</v>
      </c>
      <c r="K228" s="21" t="s">
        <v>442</v>
      </c>
      <c r="L228" s="23">
        <v>0.4</v>
      </c>
      <c r="M228" s="24">
        <v>47000</v>
      </c>
      <c r="N228" s="24">
        <v>0</v>
      </c>
      <c r="O228" s="25">
        <v>18800</v>
      </c>
      <c r="P228" s="25">
        <v>0</v>
      </c>
      <c r="Q228" s="24">
        <v>47000</v>
      </c>
      <c r="R228" s="21" t="s">
        <v>506</v>
      </c>
      <c r="S228" s="21" t="s">
        <v>437</v>
      </c>
      <c r="T228" s="21" t="s">
        <v>17</v>
      </c>
      <c r="U228" s="21" t="s">
        <v>507</v>
      </c>
      <c r="V228" s="21" t="s">
        <v>17</v>
      </c>
      <c r="W228" s="21" t="s">
        <v>439</v>
      </c>
      <c r="X228" s="21" t="s">
        <v>439</v>
      </c>
    </row>
    <row r="229" spans="1:24" ht="10.5" customHeight="1" x14ac:dyDescent="0.25">
      <c r="A229" s="20">
        <v>46030</v>
      </c>
      <c r="B229" s="21" t="str">
        <f t="shared" si="3"/>
        <v>08/01/2026NL300035</v>
      </c>
      <c r="C229" s="22" t="s">
        <v>523</v>
      </c>
      <c r="D229" s="22" t="s">
        <v>17</v>
      </c>
      <c r="E229" s="22" t="s">
        <v>431</v>
      </c>
      <c r="F229" s="21" t="s">
        <v>432</v>
      </c>
      <c r="G229" s="21" t="s">
        <v>433</v>
      </c>
      <c r="H229" s="21" t="s">
        <v>524</v>
      </c>
      <c r="I229" s="21" t="s">
        <v>383</v>
      </c>
      <c r="J229" s="21" t="s">
        <v>448</v>
      </c>
      <c r="K229" s="21" t="s">
        <v>442</v>
      </c>
      <c r="L229" s="23">
        <v>0.2</v>
      </c>
      <c r="M229" s="24">
        <v>25000</v>
      </c>
      <c r="N229" s="24">
        <v>0</v>
      </c>
      <c r="O229" s="25">
        <v>5000</v>
      </c>
      <c r="P229" s="25">
        <v>0</v>
      </c>
      <c r="Q229" s="24">
        <v>25000</v>
      </c>
      <c r="R229" s="21" t="s">
        <v>506</v>
      </c>
      <c r="S229" s="21" t="s">
        <v>437</v>
      </c>
      <c r="T229" s="21" t="s">
        <v>17</v>
      </c>
      <c r="U229" s="21" t="s">
        <v>507</v>
      </c>
      <c r="V229" s="21" t="s">
        <v>17</v>
      </c>
      <c r="W229" s="21" t="s">
        <v>439</v>
      </c>
      <c r="X229" s="21" t="s">
        <v>439</v>
      </c>
    </row>
    <row r="230" spans="1:24" ht="10.5" customHeight="1" x14ac:dyDescent="0.25">
      <c r="A230" s="20">
        <v>46030</v>
      </c>
      <c r="B230" s="21" t="str">
        <f t="shared" si="3"/>
        <v>08/01/2026NL300111</v>
      </c>
      <c r="C230" s="22" t="s">
        <v>523</v>
      </c>
      <c r="D230" s="22" t="s">
        <v>17</v>
      </c>
      <c r="E230" s="22" t="s">
        <v>431</v>
      </c>
      <c r="F230" s="21" t="s">
        <v>432</v>
      </c>
      <c r="G230" s="21" t="s">
        <v>433</v>
      </c>
      <c r="H230" s="21" t="s">
        <v>524</v>
      </c>
      <c r="I230" s="21" t="s">
        <v>379</v>
      </c>
      <c r="J230" s="21" t="s">
        <v>485</v>
      </c>
      <c r="K230" s="21" t="s">
        <v>442</v>
      </c>
      <c r="L230" s="23">
        <v>0.1</v>
      </c>
      <c r="M230" s="24">
        <v>185000</v>
      </c>
      <c r="N230" s="24">
        <v>0</v>
      </c>
      <c r="O230" s="25">
        <v>18500</v>
      </c>
      <c r="P230" s="25">
        <v>0</v>
      </c>
      <c r="Q230" s="24">
        <v>185000</v>
      </c>
      <c r="R230" s="21" t="s">
        <v>506</v>
      </c>
      <c r="S230" s="21" t="s">
        <v>437</v>
      </c>
      <c r="T230" s="21" t="s">
        <v>17</v>
      </c>
      <c r="U230" s="21" t="s">
        <v>507</v>
      </c>
      <c r="V230" s="21" t="s">
        <v>17</v>
      </c>
      <c r="W230" s="21" t="s">
        <v>439</v>
      </c>
      <c r="X230" s="21" t="s">
        <v>439</v>
      </c>
    </row>
    <row r="231" spans="1:24" ht="10.5" customHeight="1" x14ac:dyDescent="0.25">
      <c r="A231" s="20">
        <v>46030</v>
      </c>
      <c r="B231" s="21" t="str">
        <f t="shared" si="3"/>
        <v>08/01/2026NL300121</v>
      </c>
      <c r="C231" s="22" t="s">
        <v>523</v>
      </c>
      <c r="D231" s="22" t="s">
        <v>17</v>
      </c>
      <c r="E231" s="22" t="s">
        <v>431</v>
      </c>
      <c r="F231" s="21" t="s">
        <v>432</v>
      </c>
      <c r="G231" s="21" t="s">
        <v>433</v>
      </c>
      <c r="H231" s="21" t="s">
        <v>524</v>
      </c>
      <c r="I231" s="21" t="s">
        <v>281</v>
      </c>
      <c r="J231" s="21" t="s">
        <v>51</v>
      </c>
      <c r="K231" s="21" t="s">
        <v>442</v>
      </c>
      <c r="L231" s="23">
        <v>0.2</v>
      </c>
      <c r="M231" s="24">
        <v>22000</v>
      </c>
      <c r="N231" s="24">
        <v>0</v>
      </c>
      <c r="O231" s="25">
        <v>4400</v>
      </c>
      <c r="P231" s="25">
        <v>0</v>
      </c>
      <c r="Q231" s="24">
        <v>22000</v>
      </c>
      <c r="R231" s="21" t="s">
        <v>506</v>
      </c>
      <c r="S231" s="21" t="s">
        <v>437</v>
      </c>
      <c r="T231" s="21" t="s">
        <v>17</v>
      </c>
      <c r="U231" s="21" t="s">
        <v>507</v>
      </c>
      <c r="V231" s="21" t="s">
        <v>17</v>
      </c>
      <c r="W231" s="21" t="s">
        <v>439</v>
      </c>
      <c r="X231" s="21" t="s">
        <v>439</v>
      </c>
    </row>
    <row r="232" spans="1:24" ht="10.5" customHeight="1" x14ac:dyDescent="0.25">
      <c r="A232" s="20">
        <v>46030</v>
      </c>
      <c r="B232" s="21" t="str">
        <f t="shared" si="3"/>
        <v>08/01/2026NL100101</v>
      </c>
      <c r="C232" s="22" t="s">
        <v>523</v>
      </c>
      <c r="D232" s="22" t="s">
        <v>17</v>
      </c>
      <c r="E232" s="22" t="s">
        <v>431</v>
      </c>
      <c r="F232" s="21" t="s">
        <v>432</v>
      </c>
      <c r="G232" s="21" t="s">
        <v>433</v>
      </c>
      <c r="H232" s="21" t="s">
        <v>524</v>
      </c>
      <c r="I232" s="21" t="s">
        <v>344</v>
      </c>
      <c r="J232" s="21" t="s">
        <v>107</v>
      </c>
      <c r="K232" s="21" t="s">
        <v>435</v>
      </c>
      <c r="L232" s="23">
        <v>15</v>
      </c>
      <c r="M232" s="24">
        <v>5000</v>
      </c>
      <c r="N232" s="24">
        <v>0</v>
      </c>
      <c r="O232" s="25">
        <v>75000</v>
      </c>
      <c r="P232" s="25">
        <v>0</v>
      </c>
      <c r="Q232" s="24">
        <v>5000</v>
      </c>
      <c r="R232" s="21" t="s">
        <v>506</v>
      </c>
      <c r="S232" s="21" t="s">
        <v>437</v>
      </c>
      <c r="T232" s="21" t="s">
        <v>17</v>
      </c>
      <c r="U232" s="21" t="s">
        <v>507</v>
      </c>
      <c r="V232" s="21" t="s">
        <v>17</v>
      </c>
      <c r="W232" s="21" t="s">
        <v>439</v>
      </c>
      <c r="X232" s="21" t="s">
        <v>439</v>
      </c>
    </row>
    <row r="233" spans="1:24" ht="10.5" customHeight="1" x14ac:dyDescent="0.25">
      <c r="A233" s="20">
        <v>46030</v>
      </c>
      <c r="B233" s="21" t="str">
        <f t="shared" si="3"/>
        <v>08/01/2026NL600004</v>
      </c>
      <c r="C233" s="22" t="s">
        <v>523</v>
      </c>
      <c r="D233" s="22" t="s">
        <v>17</v>
      </c>
      <c r="E233" s="22" t="s">
        <v>431</v>
      </c>
      <c r="F233" s="21" t="s">
        <v>432</v>
      </c>
      <c r="G233" s="21" t="s">
        <v>433</v>
      </c>
      <c r="H233" s="21" t="s">
        <v>524</v>
      </c>
      <c r="I233" s="21" t="s">
        <v>225</v>
      </c>
      <c r="J233" s="21" t="s">
        <v>37</v>
      </c>
      <c r="K233" s="21" t="s">
        <v>442</v>
      </c>
      <c r="L233" s="23">
        <v>12.3</v>
      </c>
      <c r="M233" s="24">
        <v>18000</v>
      </c>
      <c r="N233" s="24">
        <v>0</v>
      </c>
      <c r="O233" s="25">
        <v>221400</v>
      </c>
      <c r="P233" s="25">
        <v>0</v>
      </c>
      <c r="Q233" s="24">
        <v>18000</v>
      </c>
      <c r="R233" s="21" t="s">
        <v>506</v>
      </c>
      <c r="S233" s="21" t="s">
        <v>437</v>
      </c>
      <c r="T233" s="21" t="s">
        <v>17</v>
      </c>
      <c r="U233" s="21" t="s">
        <v>507</v>
      </c>
      <c r="V233" s="21" t="s">
        <v>17</v>
      </c>
      <c r="W233" s="21" t="s">
        <v>439</v>
      </c>
      <c r="X233" s="21" t="s">
        <v>439</v>
      </c>
    </row>
    <row r="234" spans="1:24" ht="10.5" customHeight="1" x14ac:dyDescent="0.25">
      <c r="A234" s="20">
        <v>46030</v>
      </c>
      <c r="B234" s="21" t="str">
        <f t="shared" si="3"/>
        <v>08/01/2026NL300007</v>
      </c>
      <c r="C234" s="22" t="s">
        <v>523</v>
      </c>
      <c r="D234" s="22" t="s">
        <v>17</v>
      </c>
      <c r="E234" s="22" t="s">
        <v>431</v>
      </c>
      <c r="F234" s="21" t="s">
        <v>432</v>
      </c>
      <c r="G234" s="21" t="s">
        <v>433</v>
      </c>
      <c r="H234" s="21" t="s">
        <v>524</v>
      </c>
      <c r="I234" s="21" t="s">
        <v>309</v>
      </c>
      <c r="J234" s="21" t="s">
        <v>444</v>
      </c>
      <c r="K234" s="21" t="s">
        <v>442</v>
      </c>
      <c r="L234" s="23">
        <v>1.8</v>
      </c>
      <c r="M234" s="24">
        <v>30000</v>
      </c>
      <c r="N234" s="24">
        <v>0</v>
      </c>
      <c r="O234" s="25">
        <v>54000</v>
      </c>
      <c r="P234" s="25">
        <v>0</v>
      </c>
      <c r="Q234" s="24">
        <v>30000</v>
      </c>
      <c r="R234" s="21" t="s">
        <v>506</v>
      </c>
      <c r="S234" s="21" t="s">
        <v>437</v>
      </c>
      <c r="T234" s="21" t="s">
        <v>17</v>
      </c>
      <c r="U234" s="21" t="s">
        <v>507</v>
      </c>
      <c r="V234" s="21" t="s">
        <v>17</v>
      </c>
      <c r="W234" s="21" t="s">
        <v>439</v>
      </c>
      <c r="X234" s="21" t="s">
        <v>439</v>
      </c>
    </row>
    <row r="235" spans="1:24" ht="10.5" customHeight="1" x14ac:dyDescent="0.25">
      <c r="A235" s="20">
        <v>46030</v>
      </c>
      <c r="B235" s="21" t="str">
        <f t="shared" si="3"/>
        <v>08/01/2026NL300008</v>
      </c>
      <c r="C235" s="22" t="s">
        <v>523</v>
      </c>
      <c r="D235" s="22" t="s">
        <v>17</v>
      </c>
      <c r="E235" s="22" t="s">
        <v>431</v>
      </c>
      <c r="F235" s="21" t="s">
        <v>432</v>
      </c>
      <c r="G235" s="21" t="s">
        <v>433</v>
      </c>
      <c r="H235" s="21" t="s">
        <v>524</v>
      </c>
      <c r="I235" s="21" t="s">
        <v>320</v>
      </c>
      <c r="J235" s="21" t="s">
        <v>445</v>
      </c>
      <c r="K235" s="21" t="s">
        <v>442</v>
      </c>
      <c r="L235" s="23">
        <v>4</v>
      </c>
      <c r="M235" s="24">
        <v>40000</v>
      </c>
      <c r="N235" s="24">
        <v>0</v>
      </c>
      <c r="O235" s="25">
        <v>160000</v>
      </c>
      <c r="P235" s="25">
        <v>0</v>
      </c>
      <c r="Q235" s="24">
        <v>40000</v>
      </c>
      <c r="R235" s="21" t="s">
        <v>506</v>
      </c>
      <c r="S235" s="21" t="s">
        <v>437</v>
      </c>
      <c r="T235" s="21" t="s">
        <v>17</v>
      </c>
      <c r="U235" s="21" t="s">
        <v>507</v>
      </c>
      <c r="V235" s="21" t="s">
        <v>17</v>
      </c>
      <c r="W235" s="21" t="s">
        <v>439</v>
      </c>
      <c r="X235" s="21" t="s">
        <v>439</v>
      </c>
    </row>
    <row r="236" spans="1:24" ht="10.5" customHeight="1" x14ac:dyDescent="0.25">
      <c r="A236" s="20">
        <v>46030</v>
      </c>
      <c r="B236" s="21" t="str">
        <f t="shared" si="3"/>
        <v>08/01/2026NL300038</v>
      </c>
      <c r="C236" s="22" t="s">
        <v>523</v>
      </c>
      <c r="D236" s="22" t="s">
        <v>17</v>
      </c>
      <c r="E236" s="22" t="s">
        <v>431</v>
      </c>
      <c r="F236" s="21" t="s">
        <v>432</v>
      </c>
      <c r="G236" s="21" t="s">
        <v>433</v>
      </c>
      <c r="H236" s="21" t="s">
        <v>524</v>
      </c>
      <c r="I236" s="21" t="s">
        <v>217</v>
      </c>
      <c r="J236" s="21" t="s">
        <v>35</v>
      </c>
      <c r="K236" s="21" t="s">
        <v>442</v>
      </c>
      <c r="L236" s="23">
        <v>2</v>
      </c>
      <c r="M236" s="24">
        <v>32000</v>
      </c>
      <c r="N236" s="24">
        <v>0</v>
      </c>
      <c r="O236" s="25">
        <v>64000</v>
      </c>
      <c r="P236" s="25">
        <v>0</v>
      </c>
      <c r="Q236" s="24">
        <v>32000</v>
      </c>
      <c r="R236" s="21" t="s">
        <v>506</v>
      </c>
      <c r="S236" s="21" t="s">
        <v>437</v>
      </c>
      <c r="T236" s="21" t="s">
        <v>17</v>
      </c>
      <c r="U236" s="21" t="s">
        <v>507</v>
      </c>
      <c r="V236" s="21" t="s">
        <v>17</v>
      </c>
      <c r="W236" s="21" t="s">
        <v>439</v>
      </c>
      <c r="X236" s="21" t="s">
        <v>439</v>
      </c>
    </row>
    <row r="237" spans="1:24" ht="10.5" customHeight="1" x14ac:dyDescent="0.25">
      <c r="A237" s="20">
        <v>46030</v>
      </c>
      <c r="B237" s="21" t="str">
        <f t="shared" si="3"/>
        <v>08/01/2026NL300054</v>
      </c>
      <c r="C237" s="22" t="s">
        <v>523</v>
      </c>
      <c r="D237" s="22" t="s">
        <v>17</v>
      </c>
      <c r="E237" s="22" t="s">
        <v>431</v>
      </c>
      <c r="F237" s="21" t="s">
        <v>432</v>
      </c>
      <c r="G237" s="21" t="s">
        <v>433</v>
      </c>
      <c r="H237" s="21" t="s">
        <v>524</v>
      </c>
      <c r="I237" s="21" t="s">
        <v>216</v>
      </c>
      <c r="J237" s="21" t="s">
        <v>451</v>
      </c>
      <c r="K237" s="21" t="s">
        <v>442</v>
      </c>
      <c r="L237" s="23">
        <v>0.4</v>
      </c>
      <c r="M237" s="24">
        <v>38000</v>
      </c>
      <c r="N237" s="24">
        <v>0</v>
      </c>
      <c r="O237" s="25">
        <v>15200</v>
      </c>
      <c r="P237" s="25">
        <v>0</v>
      </c>
      <c r="Q237" s="24">
        <v>38000</v>
      </c>
      <c r="R237" s="21" t="s">
        <v>506</v>
      </c>
      <c r="S237" s="21" t="s">
        <v>437</v>
      </c>
      <c r="T237" s="21" t="s">
        <v>17</v>
      </c>
      <c r="U237" s="21" t="s">
        <v>507</v>
      </c>
      <c r="V237" s="21" t="s">
        <v>17</v>
      </c>
      <c r="W237" s="21" t="s">
        <v>439</v>
      </c>
      <c r="X237" s="21" t="s">
        <v>439</v>
      </c>
    </row>
    <row r="238" spans="1:24" ht="10.5" customHeight="1" x14ac:dyDescent="0.25">
      <c r="A238" s="20">
        <v>46030</v>
      </c>
      <c r="B238" s="21" t="str">
        <f t="shared" si="3"/>
        <v>08/01/2026NL300058</v>
      </c>
      <c r="C238" s="22" t="s">
        <v>523</v>
      </c>
      <c r="D238" s="22" t="s">
        <v>17</v>
      </c>
      <c r="E238" s="22" t="s">
        <v>431</v>
      </c>
      <c r="F238" s="21" t="s">
        <v>432</v>
      </c>
      <c r="G238" s="21" t="s">
        <v>433</v>
      </c>
      <c r="H238" s="21" t="s">
        <v>524</v>
      </c>
      <c r="I238" s="21" t="s">
        <v>228</v>
      </c>
      <c r="J238" s="21" t="s">
        <v>39</v>
      </c>
      <c r="K238" s="21" t="s">
        <v>442</v>
      </c>
      <c r="L238" s="23">
        <v>1.5</v>
      </c>
      <c r="M238" s="24">
        <v>55000</v>
      </c>
      <c r="N238" s="24">
        <v>0</v>
      </c>
      <c r="O238" s="25">
        <v>82500</v>
      </c>
      <c r="P238" s="25">
        <v>0</v>
      </c>
      <c r="Q238" s="24">
        <v>55000</v>
      </c>
      <c r="R238" s="21" t="s">
        <v>506</v>
      </c>
      <c r="S238" s="21" t="s">
        <v>437</v>
      </c>
      <c r="T238" s="21" t="s">
        <v>17</v>
      </c>
      <c r="U238" s="21" t="s">
        <v>507</v>
      </c>
      <c r="V238" s="21" t="s">
        <v>17</v>
      </c>
      <c r="W238" s="21" t="s">
        <v>439</v>
      </c>
      <c r="X238" s="21" t="s">
        <v>439</v>
      </c>
    </row>
    <row r="239" spans="1:24" ht="10.5" customHeight="1" x14ac:dyDescent="0.25">
      <c r="A239" s="20">
        <v>46030</v>
      </c>
      <c r="B239" s="21" t="str">
        <f t="shared" si="3"/>
        <v>08/01/2026NL300059</v>
      </c>
      <c r="C239" s="22" t="s">
        <v>523</v>
      </c>
      <c r="D239" s="22" t="s">
        <v>17</v>
      </c>
      <c r="E239" s="22" t="s">
        <v>431</v>
      </c>
      <c r="F239" s="21" t="s">
        <v>432</v>
      </c>
      <c r="G239" s="21" t="s">
        <v>433</v>
      </c>
      <c r="H239" s="21" t="s">
        <v>524</v>
      </c>
      <c r="I239" s="21" t="s">
        <v>229</v>
      </c>
      <c r="J239" s="21" t="s">
        <v>114</v>
      </c>
      <c r="K239" s="21" t="s">
        <v>442</v>
      </c>
      <c r="L239" s="23">
        <v>0.3</v>
      </c>
      <c r="M239" s="24">
        <v>13000</v>
      </c>
      <c r="N239" s="24">
        <v>0</v>
      </c>
      <c r="O239" s="25">
        <v>3900</v>
      </c>
      <c r="P239" s="25">
        <v>0</v>
      </c>
      <c r="Q239" s="24">
        <v>13000</v>
      </c>
      <c r="R239" s="21" t="s">
        <v>506</v>
      </c>
      <c r="S239" s="21" t="s">
        <v>437</v>
      </c>
      <c r="T239" s="21" t="s">
        <v>17</v>
      </c>
      <c r="U239" s="21" t="s">
        <v>507</v>
      </c>
      <c r="V239" s="21" t="s">
        <v>17</v>
      </c>
      <c r="W239" s="21" t="s">
        <v>439</v>
      </c>
      <c r="X239" s="21" t="s">
        <v>439</v>
      </c>
    </row>
    <row r="240" spans="1:24" ht="10.5" customHeight="1" x14ac:dyDescent="0.25">
      <c r="A240" s="20">
        <v>46030</v>
      </c>
      <c r="B240" s="21" t="str">
        <f t="shared" si="3"/>
        <v>08/01/2026NL300085</v>
      </c>
      <c r="C240" s="22" t="s">
        <v>523</v>
      </c>
      <c r="D240" s="22" t="s">
        <v>17</v>
      </c>
      <c r="E240" s="22" t="s">
        <v>431</v>
      </c>
      <c r="F240" s="21" t="s">
        <v>432</v>
      </c>
      <c r="G240" s="21" t="s">
        <v>433</v>
      </c>
      <c r="H240" s="21" t="s">
        <v>524</v>
      </c>
      <c r="I240" s="21" t="s">
        <v>263</v>
      </c>
      <c r="J240" s="21" t="s">
        <v>453</v>
      </c>
      <c r="K240" s="21" t="s">
        <v>442</v>
      </c>
      <c r="L240" s="23">
        <v>1.5</v>
      </c>
      <c r="M240" s="24">
        <v>45000</v>
      </c>
      <c r="N240" s="24">
        <v>0</v>
      </c>
      <c r="O240" s="25">
        <v>67500</v>
      </c>
      <c r="P240" s="25">
        <v>0</v>
      </c>
      <c r="Q240" s="24">
        <v>45000</v>
      </c>
      <c r="R240" s="21" t="s">
        <v>506</v>
      </c>
      <c r="S240" s="21" t="s">
        <v>437</v>
      </c>
      <c r="T240" s="21" t="s">
        <v>17</v>
      </c>
      <c r="U240" s="21" t="s">
        <v>507</v>
      </c>
      <c r="V240" s="21" t="s">
        <v>17</v>
      </c>
      <c r="W240" s="21" t="s">
        <v>439</v>
      </c>
      <c r="X240" s="21" t="s">
        <v>439</v>
      </c>
    </row>
    <row r="241" spans="1:24" ht="10.5" customHeight="1" x14ac:dyDescent="0.25">
      <c r="A241" s="20">
        <v>46030</v>
      </c>
      <c r="B241" s="21" t="str">
        <f t="shared" si="3"/>
        <v>08/01/2026NL300091</v>
      </c>
      <c r="C241" s="22" t="s">
        <v>523</v>
      </c>
      <c r="D241" s="22" t="s">
        <v>17</v>
      </c>
      <c r="E241" s="22" t="s">
        <v>431</v>
      </c>
      <c r="F241" s="21" t="s">
        <v>432</v>
      </c>
      <c r="G241" s="21" t="s">
        <v>433</v>
      </c>
      <c r="H241" s="21" t="s">
        <v>524</v>
      </c>
      <c r="I241" s="21" t="s">
        <v>256</v>
      </c>
      <c r="J241" s="21" t="s">
        <v>72</v>
      </c>
      <c r="K241" s="21" t="s">
        <v>442</v>
      </c>
      <c r="L241" s="23">
        <v>0.9</v>
      </c>
      <c r="M241" s="24">
        <v>47000</v>
      </c>
      <c r="N241" s="24">
        <v>0</v>
      </c>
      <c r="O241" s="25">
        <v>42300</v>
      </c>
      <c r="P241" s="25">
        <v>0</v>
      </c>
      <c r="Q241" s="24">
        <v>47000</v>
      </c>
      <c r="R241" s="21" t="s">
        <v>506</v>
      </c>
      <c r="S241" s="21" t="s">
        <v>437</v>
      </c>
      <c r="T241" s="21" t="s">
        <v>17</v>
      </c>
      <c r="U241" s="21" t="s">
        <v>507</v>
      </c>
      <c r="V241" s="21" t="s">
        <v>17</v>
      </c>
      <c r="W241" s="21" t="s">
        <v>439</v>
      </c>
      <c r="X241" s="21" t="s">
        <v>439</v>
      </c>
    </row>
    <row r="242" spans="1:24" ht="10.5" customHeight="1" x14ac:dyDescent="0.25">
      <c r="A242" s="20">
        <v>46030</v>
      </c>
      <c r="B242" s="21" t="str">
        <f t="shared" si="3"/>
        <v>08/01/2026NL300092</v>
      </c>
      <c r="C242" s="22" t="s">
        <v>523</v>
      </c>
      <c r="D242" s="22" t="s">
        <v>17</v>
      </c>
      <c r="E242" s="22" t="s">
        <v>431</v>
      </c>
      <c r="F242" s="21" t="s">
        <v>432</v>
      </c>
      <c r="G242" s="21" t="s">
        <v>433</v>
      </c>
      <c r="H242" s="21" t="s">
        <v>524</v>
      </c>
      <c r="I242" s="21" t="s">
        <v>329</v>
      </c>
      <c r="J242" s="21" t="s">
        <v>74</v>
      </c>
      <c r="K242" s="21" t="s">
        <v>442</v>
      </c>
      <c r="L242" s="23">
        <v>1.3</v>
      </c>
      <c r="M242" s="24">
        <v>90000</v>
      </c>
      <c r="N242" s="24">
        <v>0</v>
      </c>
      <c r="O242" s="25">
        <v>117000</v>
      </c>
      <c r="P242" s="25">
        <v>0</v>
      </c>
      <c r="Q242" s="24">
        <v>90000</v>
      </c>
      <c r="R242" s="21" t="s">
        <v>506</v>
      </c>
      <c r="S242" s="21" t="s">
        <v>437</v>
      </c>
      <c r="T242" s="21" t="s">
        <v>17</v>
      </c>
      <c r="U242" s="21" t="s">
        <v>507</v>
      </c>
      <c r="V242" s="21" t="s">
        <v>17</v>
      </c>
      <c r="W242" s="21" t="s">
        <v>439</v>
      </c>
      <c r="X242" s="21" t="s">
        <v>439</v>
      </c>
    </row>
    <row r="243" spans="1:24" ht="10.5" customHeight="1" x14ac:dyDescent="0.25">
      <c r="A243" s="20">
        <v>46030</v>
      </c>
      <c r="B243" s="21" t="str">
        <f t="shared" si="3"/>
        <v>08/01/2026NL300094</v>
      </c>
      <c r="C243" s="22" t="s">
        <v>523</v>
      </c>
      <c r="D243" s="22" t="s">
        <v>17</v>
      </c>
      <c r="E243" s="22" t="s">
        <v>431</v>
      </c>
      <c r="F243" s="21" t="s">
        <v>432</v>
      </c>
      <c r="G243" s="21" t="s">
        <v>433</v>
      </c>
      <c r="H243" s="21" t="s">
        <v>524</v>
      </c>
      <c r="I243" s="21" t="s">
        <v>257</v>
      </c>
      <c r="J243" s="21" t="s">
        <v>454</v>
      </c>
      <c r="K243" s="21" t="s">
        <v>442</v>
      </c>
      <c r="L243" s="23">
        <v>0.4</v>
      </c>
      <c r="M243" s="24">
        <v>80000</v>
      </c>
      <c r="N243" s="24">
        <v>0</v>
      </c>
      <c r="O243" s="25">
        <v>32000</v>
      </c>
      <c r="P243" s="25">
        <v>0</v>
      </c>
      <c r="Q243" s="24">
        <v>80000</v>
      </c>
      <c r="R243" s="21" t="s">
        <v>506</v>
      </c>
      <c r="S243" s="21" t="s">
        <v>437</v>
      </c>
      <c r="T243" s="21" t="s">
        <v>17</v>
      </c>
      <c r="U243" s="21" t="s">
        <v>507</v>
      </c>
      <c r="V243" s="21" t="s">
        <v>17</v>
      </c>
      <c r="W243" s="21" t="s">
        <v>439</v>
      </c>
      <c r="X243" s="21" t="s">
        <v>439</v>
      </c>
    </row>
    <row r="244" spans="1:24" ht="10.5" customHeight="1" x14ac:dyDescent="0.25">
      <c r="A244" s="20">
        <v>46030</v>
      </c>
      <c r="B244" s="21" t="str">
        <f t="shared" si="3"/>
        <v>08/01/2026NL300096</v>
      </c>
      <c r="C244" s="22" t="s">
        <v>523</v>
      </c>
      <c r="D244" s="22" t="s">
        <v>17</v>
      </c>
      <c r="E244" s="22" t="s">
        <v>431</v>
      </c>
      <c r="F244" s="21" t="s">
        <v>432</v>
      </c>
      <c r="G244" s="21" t="s">
        <v>433</v>
      </c>
      <c r="H244" s="21" t="s">
        <v>524</v>
      </c>
      <c r="I244" s="21" t="s">
        <v>258</v>
      </c>
      <c r="J244" s="21" t="s">
        <v>45</v>
      </c>
      <c r="K244" s="21" t="s">
        <v>442</v>
      </c>
      <c r="L244" s="23">
        <v>4.5</v>
      </c>
      <c r="M244" s="24">
        <v>45000</v>
      </c>
      <c r="N244" s="24">
        <v>0</v>
      </c>
      <c r="O244" s="25">
        <v>202500</v>
      </c>
      <c r="P244" s="25">
        <v>0</v>
      </c>
      <c r="Q244" s="24">
        <v>45000</v>
      </c>
      <c r="R244" s="21" t="s">
        <v>506</v>
      </c>
      <c r="S244" s="21" t="s">
        <v>437</v>
      </c>
      <c r="T244" s="21" t="s">
        <v>17</v>
      </c>
      <c r="U244" s="21" t="s">
        <v>507</v>
      </c>
      <c r="V244" s="21" t="s">
        <v>17</v>
      </c>
      <c r="W244" s="21" t="s">
        <v>439</v>
      </c>
      <c r="X244" s="21" t="s">
        <v>439</v>
      </c>
    </row>
    <row r="245" spans="1:24" ht="10.5" customHeight="1" x14ac:dyDescent="0.25">
      <c r="A245" s="20">
        <v>46030</v>
      </c>
      <c r="B245" s="21" t="str">
        <f t="shared" si="3"/>
        <v>08/01/2026NL300097</v>
      </c>
      <c r="C245" s="22" t="s">
        <v>523</v>
      </c>
      <c r="D245" s="22" t="s">
        <v>17</v>
      </c>
      <c r="E245" s="22" t="s">
        <v>431</v>
      </c>
      <c r="F245" s="21" t="s">
        <v>432</v>
      </c>
      <c r="G245" s="21" t="s">
        <v>433</v>
      </c>
      <c r="H245" s="21" t="s">
        <v>524</v>
      </c>
      <c r="I245" s="21" t="s">
        <v>331</v>
      </c>
      <c r="J245" s="21" t="s">
        <v>443</v>
      </c>
      <c r="K245" s="21" t="s">
        <v>442</v>
      </c>
      <c r="L245" s="23">
        <v>0.7</v>
      </c>
      <c r="M245" s="24">
        <v>90000</v>
      </c>
      <c r="N245" s="24">
        <v>0</v>
      </c>
      <c r="O245" s="25">
        <v>63000</v>
      </c>
      <c r="P245" s="25">
        <v>0</v>
      </c>
      <c r="Q245" s="24">
        <v>90000</v>
      </c>
      <c r="R245" s="21" t="s">
        <v>506</v>
      </c>
      <c r="S245" s="21" t="s">
        <v>437</v>
      </c>
      <c r="T245" s="21" t="s">
        <v>17</v>
      </c>
      <c r="U245" s="21" t="s">
        <v>507</v>
      </c>
      <c r="V245" s="21" t="s">
        <v>17</v>
      </c>
      <c r="W245" s="21" t="s">
        <v>439</v>
      </c>
      <c r="X245" s="21" t="s">
        <v>439</v>
      </c>
    </row>
    <row r="246" spans="1:24" ht="10.5" customHeight="1" x14ac:dyDescent="0.25">
      <c r="A246" s="20">
        <v>46030</v>
      </c>
      <c r="B246" s="21" t="str">
        <f t="shared" si="3"/>
        <v>08/01/2026NL300113</v>
      </c>
      <c r="C246" s="22" t="s">
        <v>523</v>
      </c>
      <c r="D246" s="22" t="s">
        <v>17</v>
      </c>
      <c r="E246" s="22" t="s">
        <v>431</v>
      </c>
      <c r="F246" s="21" t="s">
        <v>432</v>
      </c>
      <c r="G246" s="21" t="s">
        <v>433</v>
      </c>
      <c r="H246" s="21" t="s">
        <v>524</v>
      </c>
      <c r="I246" s="21" t="s">
        <v>271</v>
      </c>
      <c r="J246" s="21" t="s">
        <v>103</v>
      </c>
      <c r="K246" s="21" t="s">
        <v>442</v>
      </c>
      <c r="L246" s="23">
        <v>0.4</v>
      </c>
      <c r="M246" s="24">
        <v>145000</v>
      </c>
      <c r="N246" s="24">
        <v>0</v>
      </c>
      <c r="O246" s="25">
        <v>58000</v>
      </c>
      <c r="P246" s="25">
        <v>0</v>
      </c>
      <c r="Q246" s="24">
        <v>145000</v>
      </c>
      <c r="R246" s="21" t="s">
        <v>506</v>
      </c>
      <c r="S246" s="21" t="s">
        <v>437</v>
      </c>
      <c r="T246" s="21" t="s">
        <v>17</v>
      </c>
      <c r="U246" s="21" t="s">
        <v>507</v>
      </c>
      <c r="V246" s="21" t="s">
        <v>17</v>
      </c>
      <c r="W246" s="21" t="s">
        <v>439</v>
      </c>
      <c r="X246" s="21" t="s">
        <v>439</v>
      </c>
    </row>
    <row r="247" spans="1:24" ht="10.5" customHeight="1" x14ac:dyDescent="0.25">
      <c r="A247" s="20">
        <v>46030</v>
      </c>
      <c r="B247" s="21" t="str">
        <f t="shared" si="3"/>
        <v>08/01/2026NL300142</v>
      </c>
      <c r="C247" s="22" t="s">
        <v>523</v>
      </c>
      <c r="D247" s="22" t="s">
        <v>17</v>
      </c>
      <c r="E247" s="22" t="s">
        <v>431</v>
      </c>
      <c r="F247" s="21" t="s">
        <v>432</v>
      </c>
      <c r="G247" s="21" t="s">
        <v>433</v>
      </c>
      <c r="H247" s="21" t="s">
        <v>524</v>
      </c>
      <c r="I247" s="21" t="s">
        <v>317</v>
      </c>
      <c r="J247" s="21" t="s">
        <v>441</v>
      </c>
      <c r="K247" s="21" t="s">
        <v>442</v>
      </c>
      <c r="L247" s="23">
        <v>0.5</v>
      </c>
      <c r="M247" s="24">
        <v>50000</v>
      </c>
      <c r="N247" s="24">
        <v>0</v>
      </c>
      <c r="O247" s="25">
        <v>25000</v>
      </c>
      <c r="P247" s="25">
        <v>0</v>
      </c>
      <c r="Q247" s="24">
        <v>50000</v>
      </c>
      <c r="R247" s="21" t="s">
        <v>506</v>
      </c>
      <c r="S247" s="21" t="s">
        <v>437</v>
      </c>
      <c r="T247" s="21" t="s">
        <v>17</v>
      </c>
      <c r="U247" s="21" t="s">
        <v>507</v>
      </c>
      <c r="V247" s="21" t="s">
        <v>17</v>
      </c>
      <c r="W247" s="21" t="s">
        <v>439</v>
      </c>
      <c r="X247" s="21" t="s">
        <v>439</v>
      </c>
    </row>
    <row r="248" spans="1:24" ht="10.5" customHeight="1" x14ac:dyDescent="0.25">
      <c r="A248" s="20">
        <v>46030</v>
      </c>
      <c r="B248" s="21" t="str">
        <f t="shared" si="3"/>
        <v>08/01/2026NL300137</v>
      </c>
      <c r="C248" s="22" t="s">
        <v>523</v>
      </c>
      <c r="D248" s="22" t="s">
        <v>17</v>
      </c>
      <c r="E248" s="22" t="s">
        <v>431</v>
      </c>
      <c r="F248" s="21" t="s">
        <v>432</v>
      </c>
      <c r="G248" s="21" t="s">
        <v>433</v>
      </c>
      <c r="H248" s="21" t="s">
        <v>524</v>
      </c>
      <c r="I248" s="21" t="s">
        <v>196</v>
      </c>
      <c r="J248" s="21" t="s">
        <v>458</v>
      </c>
      <c r="K248" s="21" t="s">
        <v>442</v>
      </c>
      <c r="L248" s="23">
        <v>2</v>
      </c>
      <c r="M248" s="24">
        <v>52000</v>
      </c>
      <c r="N248" s="24">
        <v>0</v>
      </c>
      <c r="O248" s="25">
        <v>104000</v>
      </c>
      <c r="P248" s="25">
        <v>0</v>
      </c>
      <c r="Q248" s="24">
        <v>52000</v>
      </c>
      <c r="R248" s="21" t="s">
        <v>506</v>
      </c>
      <c r="S248" s="21" t="s">
        <v>437</v>
      </c>
      <c r="T248" s="21" t="s">
        <v>17</v>
      </c>
      <c r="U248" s="21" t="s">
        <v>507</v>
      </c>
      <c r="V248" s="21" t="s">
        <v>17</v>
      </c>
      <c r="W248" s="21" t="s">
        <v>439</v>
      </c>
      <c r="X248" s="21" t="s">
        <v>439</v>
      </c>
    </row>
    <row r="249" spans="1:24" ht="10.5" customHeight="1" x14ac:dyDescent="0.25">
      <c r="A249" s="20">
        <v>46031</v>
      </c>
      <c r="B249" s="21" t="str">
        <f t="shared" si="3"/>
        <v>09/01/2026NL300189</v>
      </c>
      <c r="C249" s="22" t="s">
        <v>525</v>
      </c>
      <c r="D249" s="22" t="s">
        <v>17</v>
      </c>
      <c r="E249" s="22" t="s">
        <v>431</v>
      </c>
      <c r="F249" s="21" t="s">
        <v>432</v>
      </c>
      <c r="G249" s="21" t="s">
        <v>433</v>
      </c>
      <c r="H249" s="21" t="s">
        <v>526</v>
      </c>
      <c r="I249" s="21" t="s">
        <v>378</v>
      </c>
      <c r="J249" s="21" t="s">
        <v>19</v>
      </c>
      <c r="K249" s="21" t="s">
        <v>442</v>
      </c>
      <c r="L249" s="23">
        <v>1</v>
      </c>
      <c r="M249" s="24">
        <v>15000</v>
      </c>
      <c r="N249" s="24">
        <v>0</v>
      </c>
      <c r="O249" s="25">
        <v>15000</v>
      </c>
      <c r="P249" s="25">
        <v>0</v>
      </c>
      <c r="Q249" s="24">
        <v>15000</v>
      </c>
      <c r="R249" s="21" t="s">
        <v>506</v>
      </c>
      <c r="S249" s="21" t="s">
        <v>437</v>
      </c>
      <c r="T249" s="21" t="s">
        <v>17</v>
      </c>
      <c r="U249" s="21" t="s">
        <v>507</v>
      </c>
      <c r="V249" s="21" t="s">
        <v>17</v>
      </c>
      <c r="W249" s="21" t="s">
        <v>439</v>
      </c>
      <c r="X249" s="21" t="s">
        <v>439</v>
      </c>
    </row>
    <row r="250" spans="1:24" ht="10.5" customHeight="1" x14ac:dyDescent="0.25">
      <c r="A250" s="20">
        <v>46031</v>
      </c>
      <c r="B250" s="21" t="str">
        <f t="shared" si="3"/>
        <v>09/01/2026NL300088</v>
      </c>
      <c r="C250" s="22" t="s">
        <v>525</v>
      </c>
      <c r="D250" s="22" t="s">
        <v>17</v>
      </c>
      <c r="E250" s="22" t="s">
        <v>431</v>
      </c>
      <c r="F250" s="21" t="s">
        <v>432</v>
      </c>
      <c r="G250" s="21" t="s">
        <v>433</v>
      </c>
      <c r="H250" s="21" t="s">
        <v>526</v>
      </c>
      <c r="I250" s="21" t="s">
        <v>254</v>
      </c>
      <c r="J250" s="21" t="s">
        <v>15</v>
      </c>
      <c r="K250" s="21" t="s">
        <v>442</v>
      </c>
      <c r="L250" s="23">
        <v>1.5</v>
      </c>
      <c r="M250" s="24">
        <v>27000</v>
      </c>
      <c r="N250" s="24">
        <v>0</v>
      </c>
      <c r="O250" s="25">
        <v>40500</v>
      </c>
      <c r="P250" s="25">
        <v>0</v>
      </c>
      <c r="Q250" s="24">
        <v>27000</v>
      </c>
      <c r="R250" s="21" t="s">
        <v>506</v>
      </c>
      <c r="S250" s="21" t="s">
        <v>437</v>
      </c>
      <c r="T250" s="21" t="s">
        <v>17</v>
      </c>
      <c r="U250" s="21" t="s">
        <v>507</v>
      </c>
      <c r="V250" s="21" t="s">
        <v>17</v>
      </c>
      <c r="W250" s="21" t="s">
        <v>439</v>
      </c>
      <c r="X250" s="21" t="s">
        <v>439</v>
      </c>
    </row>
    <row r="251" spans="1:24" ht="10.5" customHeight="1" x14ac:dyDescent="0.25">
      <c r="A251" s="20">
        <v>46031</v>
      </c>
      <c r="B251" s="21" t="str">
        <f t="shared" si="3"/>
        <v>09/01/2026NL300107</v>
      </c>
      <c r="C251" s="22" t="s">
        <v>525</v>
      </c>
      <c r="D251" s="22" t="s">
        <v>17</v>
      </c>
      <c r="E251" s="22" t="s">
        <v>431</v>
      </c>
      <c r="F251" s="21" t="s">
        <v>432</v>
      </c>
      <c r="G251" s="21" t="s">
        <v>433</v>
      </c>
      <c r="H251" s="21" t="s">
        <v>526</v>
      </c>
      <c r="I251" s="21" t="s">
        <v>193</v>
      </c>
      <c r="J251" s="21" t="s">
        <v>455</v>
      </c>
      <c r="K251" s="21" t="s">
        <v>450</v>
      </c>
      <c r="L251" s="23">
        <v>8</v>
      </c>
      <c r="M251" s="24">
        <v>8500</v>
      </c>
      <c r="N251" s="24">
        <v>0</v>
      </c>
      <c r="O251" s="25">
        <v>68000</v>
      </c>
      <c r="P251" s="25">
        <v>0</v>
      </c>
      <c r="Q251" s="24">
        <v>8500</v>
      </c>
      <c r="R251" s="21" t="s">
        <v>506</v>
      </c>
      <c r="S251" s="21" t="s">
        <v>437</v>
      </c>
      <c r="T251" s="21" t="s">
        <v>17</v>
      </c>
      <c r="U251" s="21" t="s">
        <v>507</v>
      </c>
      <c r="V251" s="21" t="s">
        <v>17</v>
      </c>
      <c r="W251" s="21" t="s">
        <v>439</v>
      </c>
      <c r="X251" s="21" t="s">
        <v>439</v>
      </c>
    </row>
    <row r="252" spans="1:24" ht="10.5" customHeight="1" x14ac:dyDescent="0.25">
      <c r="A252" s="20">
        <v>46031</v>
      </c>
      <c r="B252" s="21" t="str">
        <f t="shared" si="3"/>
        <v>09/01/2026NL300041</v>
      </c>
      <c r="C252" s="22" t="s">
        <v>525</v>
      </c>
      <c r="D252" s="22" t="s">
        <v>17</v>
      </c>
      <c r="E252" s="22" t="s">
        <v>431</v>
      </c>
      <c r="F252" s="21" t="s">
        <v>432</v>
      </c>
      <c r="G252" s="21" t="s">
        <v>433</v>
      </c>
      <c r="H252" s="21" t="s">
        <v>526</v>
      </c>
      <c r="I252" s="21" t="s">
        <v>222</v>
      </c>
      <c r="J252" s="21" t="s">
        <v>449</v>
      </c>
      <c r="K252" s="21" t="s">
        <v>450</v>
      </c>
      <c r="L252" s="23">
        <v>3</v>
      </c>
      <c r="M252" s="24">
        <v>15000</v>
      </c>
      <c r="N252" s="24">
        <v>0</v>
      </c>
      <c r="O252" s="25">
        <v>45000</v>
      </c>
      <c r="P252" s="25">
        <v>0</v>
      </c>
      <c r="Q252" s="24">
        <v>15000</v>
      </c>
      <c r="R252" s="21" t="s">
        <v>506</v>
      </c>
      <c r="S252" s="21" t="s">
        <v>437</v>
      </c>
      <c r="T252" s="21" t="s">
        <v>17</v>
      </c>
      <c r="U252" s="21" t="s">
        <v>507</v>
      </c>
      <c r="V252" s="21" t="s">
        <v>17</v>
      </c>
      <c r="W252" s="21" t="s">
        <v>439</v>
      </c>
      <c r="X252" s="21" t="s">
        <v>439</v>
      </c>
    </row>
    <row r="253" spans="1:24" ht="10.5" customHeight="1" x14ac:dyDescent="0.25">
      <c r="A253" s="20">
        <v>46031</v>
      </c>
      <c r="B253" s="21" t="str">
        <f t="shared" si="3"/>
        <v>09/01/2026NL300116</v>
      </c>
      <c r="C253" s="22" t="s">
        <v>525</v>
      </c>
      <c r="D253" s="22" t="s">
        <v>17</v>
      </c>
      <c r="E253" s="22" t="s">
        <v>431</v>
      </c>
      <c r="F253" s="21" t="s">
        <v>432</v>
      </c>
      <c r="G253" s="21" t="s">
        <v>433</v>
      </c>
      <c r="H253" s="21" t="s">
        <v>526</v>
      </c>
      <c r="I253" s="21" t="s">
        <v>315</v>
      </c>
      <c r="J253" s="21" t="s">
        <v>456</v>
      </c>
      <c r="K253" s="21" t="s">
        <v>442</v>
      </c>
      <c r="L253" s="23">
        <v>0.2</v>
      </c>
      <c r="M253" s="24">
        <v>148000</v>
      </c>
      <c r="N253" s="24">
        <v>0</v>
      </c>
      <c r="O253" s="25">
        <v>29600</v>
      </c>
      <c r="P253" s="25">
        <v>0</v>
      </c>
      <c r="Q253" s="24">
        <v>148000</v>
      </c>
      <c r="R253" s="21" t="s">
        <v>506</v>
      </c>
      <c r="S253" s="21" t="s">
        <v>437</v>
      </c>
      <c r="T253" s="21" t="s">
        <v>17</v>
      </c>
      <c r="U253" s="21" t="s">
        <v>507</v>
      </c>
      <c r="V253" s="21" t="s">
        <v>17</v>
      </c>
      <c r="W253" s="21" t="s">
        <v>439</v>
      </c>
      <c r="X253" s="21" t="s">
        <v>439</v>
      </c>
    </row>
    <row r="254" spans="1:24" ht="10.5" customHeight="1" x14ac:dyDescent="0.25">
      <c r="A254" s="20">
        <v>46031</v>
      </c>
      <c r="B254" s="21" t="str">
        <f t="shared" si="3"/>
        <v>09/01/2026NL300070</v>
      </c>
      <c r="C254" s="22" t="s">
        <v>525</v>
      </c>
      <c r="D254" s="22" t="s">
        <v>17</v>
      </c>
      <c r="E254" s="22" t="s">
        <v>431</v>
      </c>
      <c r="F254" s="21" t="s">
        <v>432</v>
      </c>
      <c r="G254" s="21" t="s">
        <v>433</v>
      </c>
      <c r="H254" s="21" t="s">
        <v>526</v>
      </c>
      <c r="I254" s="21" t="s">
        <v>345</v>
      </c>
      <c r="J254" s="21" t="s">
        <v>465</v>
      </c>
      <c r="K254" s="21" t="s">
        <v>442</v>
      </c>
      <c r="L254" s="23">
        <v>0.5</v>
      </c>
      <c r="M254" s="24">
        <v>23000</v>
      </c>
      <c r="N254" s="24">
        <v>0</v>
      </c>
      <c r="O254" s="25">
        <v>11500</v>
      </c>
      <c r="P254" s="25">
        <v>0</v>
      </c>
      <c r="Q254" s="24">
        <v>23000</v>
      </c>
      <c r="R254" s="21" t="s">
        <v>506</v>
      </c>
      <c r="S254" s="21" t="s">
        <v>437</v>
      </c>
      <c r="T254" s="21" t="s">
        <v>17</v>
      </c>
      <c r="U254" s="21" t="s">
        <v>507</v>
      </c>
      <c r="V254" s="21" t="s">
        <v>17</v>
      </c>
      <c r="W254" s="21" t="s">
        <v>439</v>
      </c>
      <c r="X254" s="21" t="s">
        <v>439</v>
      </c>
    </row>
    <row r="255" spans="1:24" ht="10.5" customHeight="1" x14ac:dyDescent="0.25">
      <c r="A255" s="20">
        <v>46031</v>
      </c>
      <c r="B255" s="21" t="str">
        <f t="shared" si="3"/>
        <v>09/01/2026NL100101</v>
      </c>
      <c r="C255" s="22" t="s">
        <v>525</v>
      </c>
      <c r="D255" s="22" t="s">
        <v>17</v>
      </c>
      <c r="E255" s="22" t="s">
        <v>431</v>
      </c>
      <c r="F255" s="21" t="s">
        <v>432</v>
      </c>
      <c r="G255" s="21" t="s">
        <v>433</v>
      </c>
      <c r="H255" s="21" t="s">
        <v>526</v>
      </c>
      <c r="I255" s="21" t="s">
        <v>344</v>
      </c>
      <c r="J255" s="21" t="s">
        <v>107</v>
      </c>
      <c r="K255" s="21" t="s">
        <v>435</v>
      </c>
      <c r="L255" s="23">
        <v>15</v>
      </c>
      <c r="M255" s="24">
        <v>5000</v>
      </c>
      <c r="N255" s="24">
        <v>0</v>
      </c>
      <c r="O255" s="25">
        <v>75000</v>
      </c>
      <c r="P255" s="25">
        <v>0</v>
      </c>
      <c r="Q255" s="24">
        <v>5000</v>
      </c>
      <c r="R255" s="21" t="s">
        <v>506</v>
      </c>
      <c r="S255" s="21" t="s">
        <v>437</v>
      </c>
      <c r="T255" s="21" t="s">
        <v>17</v>
      </c>
      <c r="U255" s="21" t="s">
        <v>507</v>
      </c>
      <c r="V255" s="21" t="s">
        <v>17</v>
      </c>
      <c r="W255" s="21" t="s">
        <v>439</v>
      </c>
      <c r="X255" s="21" t="s">
        <v>439</v>
      </c>
    </row>
    <row r="256" spans="1:24" ht="10.5" customHeight="1" x14ac:dyDescent="0.25">
      <c r="A256" s="20">
        <v>46031</v>
      </c>
      <c r="B256" s="21" t="str">
        <f t="shared" si="3"/>
        <v>09/01/2026NL300140</v>
      </c>
      <c r="C256" s="22" t="s">
        <v>525</v>
      </c>
      <c r="D256" s="22" t="s">
        <v>17</v>
      </c>
      <c r="E256" s="22" t="s">
        <v>431</v>
      </c>
      <c r="F256" s="21" t="s">
        <v>432</v>
      </c>
      <c r="G256" s="21" t="s">
        <v>433</v>
      </c>
      <c r="H256" s="21" t="s">
        <v>526</v>
      </c>
      <c r="I256" s="21" t="s">
        <v>282</v>
      </c>
      <c r="J256" s="21" t="s">
        <v>461</v>
      </c>
      <c r="K256" s="21" t="s">
        <v>442</v>
      </c>
      <c r="L256" s="23">
        <v>0.7</v>
      </c>
      <c r="M256" s="24">
        <v>36000</v>
      </c>
      <c r="N256" s="24">
        <v>0</v>
      </c>
      <c r="O256" s="25">
        <v>25200</v>
      </c>
      <c r="P256" s="25">
        <v>0</v>
      </c>
      <c r="Q256" s="24">
        <v>36000</v>
      </c>
      <c r="R256" s="21" t="s">
        <v>506</v>
      </c>
      <c r="S256" s="21" t="s">
        <v>437</v>
      </c>
      <c r="T256" s="21" t="s">
        <v>17</v>
      </c>
      <c r="U256" s="21" t="s">
        <v>507</v>
      </c>
      <c r="V256" s="21" t="s">
        <v>17</v>
      </c>
      <c r="W256" s="21" t="s">
        <v>439</v>
      </c>
      <c r="X256" s="21" t="s">
        <v>439</v>
      </c>
    </row>
    <row r="257" spans="1:24" ht="10.5" customHeight="1" x14ac:dyDescent="0.25">
      <c r="A257" s="20">
        <v>46031</v>
      </c>
      <c r="B257" s="21" t="str">
        <f t="shared" si="3"/>
        <v>09/01/2026NL600004</v>
      </c>
      <c r="C257" s="22" t="s">
        <v>525</v>
      </c>
      <c r="D257" s="22" t="s">
        <v>17</v>
      </c>
      <c r="E257" s="22" t="s">
        <v>431</v>
      </c>
      <c r="F257" s="21" t="s">
        <v>432</v>
      </c>
      <c r="G257" s="21" t="s">
        <v>433</v>
      </c>
      <c r="H257" s="21" t="s">
        <v>526</v>
      </c>
      <c r="I257" s="21" t="s">
        <v>225</v>
      </c>
      <c r="J257" s="21" t="s">
        <v>37</v>
      </c>
      <c r="K257" s="21" t="s">
        <v>442</v>
      </c>
      <c r="L257" s="23">
        <v>15</v>
      </c>
      <c r="M257" s="24">
        <v>18000</v>
      </c>
      <c r="N257" s="24">
        <v>0</v>
      </c>
      <c r="O257" s="25">
        <v>270000</v>
      </c>
      <c r="P257" s="25">
        <v>0</v>
      </c>
      <c r="Q257" s="24">
        <v>18000</v>
      </c>
      <c r="R257" s="21" t="s">
        <v>506</v>
      </c>
      <c r="S257" s="21" t="s">
        <v>437</v>
      </c>
      <c r="T257" s="21" t="s">
        <v>17</v>
      </c>
      <c r="U257" s="21" t="s">
        <v>507</v>
      </c>
      <c r="V257" s="21" t="s">
        <v>17</v>
      </c>
      <c r="W257" s="21" t="s">
        <v>439</v>
      </c>
      <c r="X257" s="21" t="s">
        <v>439</v>
      </c>
    </row>
    <row r="258" spans="1:24" ht="10.5" customHeight="1" x14ac:dyDescent="0.25">
      <c r="A258" s="20">
        <v>46031</v>
      </c>
      <c r="B258" s="21" t="str">
        <f t="shared" si="3"/>
        <v>09/01/2026NL300131</v>
      </c>
      <c r="C258" s="22" t="s">
        <v>525</v>
      </c>
      <c r="D258" s="22" t="s">
        <v>17</v>
      </c>
      <c r="E258" s="22" t="s">
        <v>431</v>
      </c>
      <c r="F258" s="21" t="s">
        <v>432</v>
      </c>
      <c r="G258" s="21" t="s">
        <v>433</v>
      </c>
      <c r="H258" s="21" t="s">
        <v>526</v>
      </c>
      <c r="I258" s="21" t="s">
        <v>340</v>
      </c>
      <c r="J258" s="21" t="s">
        <v>88</v>
      </c>
      <c r="K258" s="21" t="s">
        <v>442</v>
      </c>
      <c r="L258" s="23">
        <v>0.2</v>
      </c>
      <c r="M258" s="24">
        <v>220000</v>
      </c>
      <c r="N258" s="24">
        <v>0</v>
      </c>
      <c r="O258" s="25">
        <v>44000</v>
      </c>
      <c r="P258" s="25">
        <v>0</v>
      </c>
      <c r="Q258" s="24">
        <v>220000</v>
      </c>
      <c r="R258" s="21" t="s">
        <v>506</v>
      </c>
      <c r="S258" s="21" t="s">
        <v>437</v>
      </c>
      <c r="T258" s="21" t="s">
        <v>17</v>
      </c>
      <c r="U258" s="21" t="s">
        <v>507</v>
      </c>
      <c r="V258" s="21" t="s">
        <v>17</v>
      </c>
      <c r="W258" s="21" t="s">
        <v>439</v>
      </c>
      <c r="X258" s="21" t="s">
        <v>439</v>
      </c>
    </row>
    <row r="259" spans="1:24" ht="10.5" customHeight="1" x14ac:dyDescent="0.25">
      <c r="A259" s="20">
        <v>46031</v>
      </c>
      <c r="B259" s="21" t="str">
        <f t="shared" ref="B259:B276" si="4">"0"&amp;DAY(A259)&amp;"/01/2026"&amp;I259</f>
        <v>09/01/2026NL300062</v>
      </c>
      <c r="C259" s="22" t="s">
        <v>525</v>
      </c>
      <c r="D259" s="22" t="s">
        <v>17</v>
      </c>
      <c r="E259" s="22" t="s">
        <v>431</v>
      </c>
      <c r="F259" s="21" t="s">
        <v>432</v>
      </c>
      <c r="G259" s="21" t="s">
        <v>433</v>
      </c>
      <c r="H259" s="21" t="s">
        <v>526</v>
      </c>
      <c r="I259" s="21" t="s">
        <v>236</v>
      </c>
      <c r="J259" s="21" t="s">
        <v>482</v>
      </c>
      <c r="K259" s="21" t="s">
        <v>442</v>
      </c>
      <c r="L259" s="23">
        <v>0.2</v>
      </c>
      <c r="M259" s="24">
        <v>65000</v>
      </c>
      <c r="N259" s="24">
        <v>0</v>
      </c>
      <c r="O259" s="25">
        <v>13000</v>
      </c>
      <c r="P259" s="25">
        <v>0</v>
      </c>
      <c r="Q259" s="24">
        <v>65000</v>
      </c>
      <c r="R259" s="21" t="s">
        <v>506</v>
      </c>
      <c r="S259" s="21" t="s">
        <v>437</v>
      </c>
      <c r="T259" s="21" t="s">
        <v>17</v>
      </c>
      <c r="U259" s="21" t="s">
        <v>507</v>
      </c>
      <c r="V259" s="21" t="s">
        <v>17</v>
      </c>
      <c r="W259" s="21" t="s">
        <v>439</v>
      </c>
      <c r="X259" s="21" t="s">
        <v>439</v>
      </c>
    </row>
    <row r="260" spans="1:24" ht="10.5" customHeight="1" x14ac:dyDescent="0.25">
      <c r="A260" s="20">
        <v>46031</v>
      </c>
      <c r="B260" s="21" t="str">
        <f t="shared" si="4"/>
        <v>09/01/2026NL300030</v>
      </c>
      <c r="C260" s="22" t="s">
        <v>525</v>
      </c>
      <c r="D260" s="22" t="s">
        <v>17</v>
      </c>
      <c r="E260" s="22" t="s">
        <v>431</v>
      </c>
      <c r="F260" s="21" t="s">
        <v>432</v>
      </c>
      <c r="G260" s="21" t="s">
        <v>433</v>
      </c>
      <c r="H260" s="21" t="s">
        <v>526</v>
      </c>
      <c r="I260" s="21" t="s">
        <v>313</v>
      </c>
      <c r="J260" s="21" t="s">
        <v>470</v>
      </c>
      <c r="K260" s="21" t="s">
        <v>442</v>
      </c>
      <c r="L260" s="23">
        <v>0.7</v>
      </c>
      <c r="M260" s="24">
        <v>34000</v>
      </c>
      <c r="N260" s="24">
        <v>0</v>
      </c>
      <c r="O260" s="25">
        <v>23800</v>
      </c>
      <c r="P260" s="25">
        <v>0</v>
      </c>
      <c r="Q260" s="24">
        <v>34000</v>
      </c>
      <c r="R260" s="21" t="s">
        <v>506</v>
      </c>
      <c r="S260" s="21" t="s">
        <v>437</v>
      </c>
      <c r="T260" s="21" t="s">
        <v>17</v>
      </c>
      <c r="U260" s="21" t="s">
        <v>507</v>
      </c>
      <c r="V260" s="21" t="s">
        <v>17</v>
      </c>
      <c r="W260" s="21" t="s">
        <v>439</v>
      </c>
      <c r="X260" s="21" t="s">
        <v>439</v>
      </c>
    </row>
    <row r="261" spans="1:24" ht="10.5" customHeight="1" x14ac:dyDescent="0.25">
      <c r="A261" s="20">
        <v>46031</v>
      </c>
      <c r="B261" s="21" t="str">
        <f t="shared" si="4"/>
        <v>09/01/2026NL600068</v>
      </c>
      <c r="C261" s="22" t="s">
        <v>525</v>
      </c>
      <c r="D261" s="22" t="s">
        <v>17</v>
      </c>
      <c r="E261" s="22" t="s">
        <v>431</v>
      </c>
      <c r="F261" s="21" t="s">
        <v>432</v>
      </c>
      <c r="G261" s="21" t="s">
        <v>433</v>
      </c>
      <c r="H261" s="21" t="s">
        <v>526</v>
      </c>
      <c r="I261" s="21" t="s">
        <v>377</v>
      </c>
      <c r="J261" s="21" t="s">
        <v>94</v>
      </c>
      <c r="K261" s="21" t="s">
        <v>442</v>
      </c>
      <c r="L261" s="23">
        <v>0.5</v>
      </c>
      <c r="M261" s="24">
        <v>95000</v>
      </c>
      <c r="N261" s="24">
        <v>0</v>
      </c>
      <c r="O261" s="25">
        <v>47500</v>
      </c>
      <c r="P261" s="25">
        <v>0</v>
      </c>
      <c r="Q261" s="24">
        <v>95000</v>
      </c>
      <c r="R261" s="21" t="s">
        <v>506</v>
      </c>
      <c r="S261" s="21" t="s">
        <v>437</v>
      </c>
      <c r="T261" s="21" t="s">
        <v>17</v>
      </c>
      <c r="U261" s="21" t="s">
        <v>507</v>
      </c>
      <c r="V261" s="21" t="s">
        <v>17</v>
      </c>
      <c r="W261" s="21" t="s">
        <v>439</v>
      </c>
      <c r="X261" s="21" t="s">
        <v>439</v>
      </c>
    </row>
    <row r="262" spans="1:24" ht="10.5" customHeight="1" x14ac:dyDescent="0.25">
      <c r="A262" s="20">
        <v>46031</v>
      </c>
      <c r="B262" s="21" t="str">
        <f t="shared" si="4"/>
        <v>09/01/2026NL300007</v>
      </c>
      <c r="C262" s="22" t="s">
        <v>525</v>
      </c>
      <c r="D262" s="22" t="s">
        <v>17</v>
      </c>
      <c r="E262" s="22" t="s">
        <v>431</v>
      </c>
      <c r="F262" s="21" t="s">
        <v>432</v>
      </c>
      <c r="G262" s="21" t="s">
        <v>433</v>
      </c>
      <c r="H262" s="21" t="s">
        <v>526</v>
      </c>
      <c r="I262" s="21" t="s">
        <v>309</v>
      </c>
      <c r="J262" s="21" t="s">
        <v>444</v>
      </c>
      <c r="K262" s="21" t="s">
        <v>442</v>
      </c>
      <c r="L262" s="23">
        <v>2</v>
      </c>
      <c r="M262" s="24">
        <v>30000</v>
      </c>
      <c r="N262" s="24">
        <v>0</v>
      </c>
      <c r="O262" s="25">
        <v>60000</v>
      </c>
      <c r="P262" s="25">
        <v>0</v>
      </c>
      <c r="Q262" s="24">
        <v>30000</v>
      </c>
      <c r="R262" s="21" t="s">
        <v>506</v>
      </c>
      <c r="S262" s="21" t="s">
        <v>437</v>
      </c>
      <c r="T262" s="21" t="s">
        <v>17</v>
      </c>
      <c r="U262" s="21" t="s">
        <v>507</v>
      </c>
      <c r="V262" s="21" t="s">
        <v>17</v>
      </c>
      <c r="W262" s="21" t="s">
        <v>439</v>
      </c>
      <c r="X262" s="21" t="s">
        <v>439</v>
      </c>
    </row>
    <row r="263" spans="1:24" ht="10.5" customHeight="1" x14ac:dyDescent="0.25">
      <c r="A263" s="20">
        <v>46031</v>
      </c>
      <c r="B263" s="21" t="str">
        <f t="shared" si="4"/>
        <v>09/01/2026NL300008</v>
      </c>
      <c r="C263" s="22" t="s">
        <v>525</v>
      </c>
      <c r="D263" s="22" t="s">
        <v>17</v>
      </c>
      <c r="E263" s="22" t="s">
        <v>431</v>
      </c>
      <c r="F263" s="21" t="s">
        <v>432</v>
      </c>
      <c r="G263" s="21" t="s">
        <v>433</v>
      </c>
      <c r="H263" s="21" t="s">
        <v>526</v>
      </c>
      <c r="I263" s="21" t="s">
        <v>320</v>
      </c>
      <c r="J263" s="21" t="s">
        <v>445</v>
      </c>
      <c r="K263" s="21" t="s">
        <v>442</v>
      </c>
      <c r="L263" s="23">
        <v>4</v>
      </c>
      <c r="M263" s="24">
        <v>40000</v>
      </c>
      <c r="N263" s="24">
        <v>0</v>
      </c>
      <c r="O263" s="25">
        <v>160000</v>
      </c>
      <c r="P263" s="25">
        <v>0</v>
      </c>
      <c r="Q263" s="24">
        <v>40000</v>
      </c>
      <c r="R263" s="21" t="s">
        <v>506</v>
      </c>
      <c r="S263" s="21" t="s">
        <v>437</v>
      </c>
      <c r="T263" s="21" t="s">
        <v>17</v>
      </c>
      <c r="U263" s="21" t="s">
        <v>507</v>
      </c>
      <c r="V263" s="21" t="s">
        <v>17</v>
      </c>
      <c r="W263" s="21" t="s">
        <v>439</v>
      </c>
      <c r="X263" s="21" t="s">
        <v>439</v>
      </c>
    </row>
    <row r="264" spans="1:24" ht="10.5" customHeight="1" x14ac:dyDescent="0.25">
      <c r="A264" s="20">
        <v>46031</v>
      </c>
      <c r="B264" s="21" t="str">
        <f t="shared" si="4"/>
        <v>09/01/2026NL300020</v>
      </c>
      <c r="C264" s="22" t="s">
        <v>525</v>
      </c>
      <c r="D264" s="22" t="s">
        <v>17</v>
      </c>
      <c r="E264" s="22" t="s">
        <v>431</v>
      </c>
      <c r="F264" s="21" t="s">
        <v>432</v>
      </c>
      <c r="G264" s="21" t="s">
        <v>433</v>
      </c>
      <c r="H264" s="21" t="s">
        <v>526</v>
      </c>
      <c r="I264" s="21" t="s">
        <v>326</v>
      </c>
      <c r="J264" s="21" t="s">
        <v>446</v>
      </c>
      <c r="K264" s="21" t="s">
        <v>442</v>
      </c>
      <c r="L264" s="23">
        <v>0.5</v>
      </c>
      <c r="M264" s="24">
        <v>30000</v>
      </c>
      <c r="N264" s="24">
        <v>0</v>
      </c>
      <c r="O264" s="25">
        <v>15000</v>
      </c>
      <c r="P264" s="25">
        <v>0</v>
      </c>
      <c r="Q264" s="24">
        <v>30000</v>
      </c>
      <c r="R264" s="21" t="s">
        <v>506</v>
      </c>
      <c r="S264" s="21" t="s">
        <v>437</v>
      </c>
      <c r="T264" s="21" t="s">
        <v>17</v>
      </c>
      <c r="U264" s="21" t="s">
        <v>507</v>
      </c>
      <c r="V264" s="21" t="s">
        <v>17</v>
      </c>
      <c r="W264" s="21" t="s">
        <v>439</v>
      </c>
      <c r="X264" s="21" t="s">
        <v>439</v>
      </c>
    </row>
    <row r="265" spans="1:24" ht="10.5" customHeight="1" x14ac:dyDescent="0.25">
      <c r="A265" s="20">
        <v>46031</v>
      </c>
      <c r="B265" s="21" t="str">
        <f t="shared" si="4"/>
        <v>09/01/2026NL300054</v>
      </c>
      <c r="C265" s="22" t="s">
        <v>525</v>
      </c>
      <c r="D265" s="22" t="s">
        <v>17</v>
      </c>
      <c r="E265" s="22" t="s">
        <v>431</v>
      </c>
      <c r="F265" s="21" t="s">
        <v>432</v>
      </c>
      <c r="G265" s="21" t="s">
        <v>433</v>
      </c>
      <c r="H265" s="21" t="s">
        <v>526</v>
      </c>
      <c r="I265" s="21" t="s">
        <v>216</v>
      </c>
      <c r="J265" s="21" t="s">
        <v>451</v>
      </c>
      <c r="K265" s="21" t="s">
        <v>442</v>
      </c>
      <c r="L265" s="23">
        <v>0.7</v>
      </c>
      <c r="M265" s="24">
        <v>38000</v>
      </c>
      <c r="N265" s="24">
        <v>0</v>
      </c>
      <c r="O265" s="25">
        <v>26600</v>
      </c>
      <c r="P265" s="25">
        <v>0</v>
      </c>
      <c r="Q265" s="24">
        <v>38000</v>
      </c>
      <c r="R265" s="21" t="s">
        <v>506</v>
      </c>
      <c r="S265" s="21" t="s">
        <v>437</v>
      </c>
      <c r="T265" s="21" t="s">
        <v>17</v>
      </c>
      <c r="U265" s="21" t="s">
        <v>507</v>
      </c>
      <c r="V265" s="21" t="s">
        <v>17</v>
      </c>
      <c r="W265" s="21" t="s">
        <v>439</v>
      </c>
      <c r="X265" s="21" t="s">
        <v>439</v>
      </c>
    </row>
    <row r="266" spans="1:24" ht="10.5" customHeight="1" x14ac:dyDescent="0.25">
      <c r="A266" s="20">
        <v>46031</v>
      </c>
      <c r="B266" s="21" t="str">
        <f t="shared" si="4"/>
        <v>09/01/2026NL300058</v>
      </c>
      <c r="C266" s="22" t="s">
        <v>525</v>
      </c>
      <c r="D266" s="22" t="s">
        <v>17</v>
      </c>
      <c r="E266" s="22" t="s">
        <v>431</v>
      </c>
      <c r="F266" s="21" t="s">
        <v>432</v>
      </c>
      <c r="G266" s="21" t="s">
        <v>433</v>
      </c>
      <c r="H266" s="21" t="s">
        <v>526</v>
      </c>
      <c r="I266" s="21" t="s">
        <v>228</v>
      </c>
      <c r="J266" s="21" t="s">
        <v>39</v>
      </c>
      <c r="K266" s="21" t="s">
        <v>442</v>
      </c>
      <c r="L266" s="23">
        <v>1</v>
      </c>
      <c r="M266" s="24">
        <v>55000</v>
      </c>
      <c r="N266" s="24">
        <v>0</v>
      </c>
      <c r="O266" s="25">
        <v>55000</v>
      </c>
      <c r="P266" s="25">
        <v>0</v>
      </c>
      <c r="Q266" s="24">
        <v>55000</v>
      </c>
      <c r="R266" s="21" t="s">
        <v>506</v>
      </c>
      <c r="S266" s="21" t="s">
        <v>437</v>
      </c>
      <c r="T266" s="21" t="s">
        <v>17</v>
      </c>
      <c r="U266" s="21" t="s">
        <v>507</v>
      </c>
      <c r="V266" s="21" t="s">
        <v>17</v>
      </c>
      <c r="W266" s="21" t="s">
        <v>439</v>
      </c>
      <c r="X266" s="21" t="s">
        <v>439</v>
      </c>
    </row>
    <row r="267" spans="1:24" ht="10.5" customHeight="1" x14ac:dyDescent="0.25">
      <c r="A267" s="20">
        <v>46031</v>
      </c>
      <c r="B267" s="21" t="str">
        <f t="shared" si="4"/>
        <v>09/01/2026NL300085</v>
      </c>
      <c r="C267" s="22" t="s">
        <v>525</v>
      </c>
      <c r="D267" s="22" t="s">
        <v>17</v>
      </c>
      <c r="E267" s="22" t="s">
        <v>431</v>
      </c>
      <c r="F267" s="21" t="s">
        <v>432</v>
      </c>
      <c r="G267" s="21" t="s">
        <v>433</v>
      </c>
      <c r="H267" s="21" t="s">
        <v>526</v>
      </c>
      <c r="I267" s="21" t="s">
        <v>263</v>
      </c>
      <c r="J267" s="21" t="s">
        <v>453</v>
      </c>
      <c r="K267" s="21" t="s">
        <v>442</v>
      </c>
      <c r="L267" s="23">
        <v>1</v>
      </c>
      <c r="M267" s="24">
        <v>45000</v>
      </c>
      <c r="N267" s="24">
        <v>0</v>
      </c>
      <c r="O267" s="25">
        <v>45000</v>
      </c>
      <c r="P267" s="25">
        <v>0</v>
      </c>
      <c r="Q267" s="24">
        <v>45000</v>
      </c>
      <c r="R267" s="21" t="s">
        <v>506</v>
      </c>
      <c r="S267" s="21" t="s">
        <v>437</v>
      </c>
      <c r="T267" s="21" t="s">
        <v>17</v>
      </c>
      <c r="U267" s="21" t="s">
        <v>507</v>
      </c>
      <c r="V267" s="21" t="s">
        <v>17</v>
      </c>
      <c r="W267" s="21" t="s">
        <v>439</v>
      </c>
      <c r="X267" s="21" t="s">
        <v>439</v>
      </c>
    </row>
    <row r="268" spans="1:24" ht="10.5" customHeight="1" x14ac:dyDescent="0.25">
      <c r="A268" s="20">
        <v>46031</v>
      </c>
      <c r="B268" s="21" t="str">
        <f t="shared" si="4"/>
        <v>09/01/2026NL300091</v>
      </c>
      <c r="C268" s="22" t="s">
        <v>525</v>
      </c>
      <c r="D268" s="22" t="s">
        <v>17</v>
      </c>
      <c r="E268" s="22" t="s">
        <v>431</v>
      </c>
      <c r="F268" s="21" t="s">
        <v>432</v>
      </c>
      <c r="G268" s="21" t="s">
        <v>433</v>
      </c>
      <c r="H268" s="21" t="s">
        <v>526</v>
      </c>
      <c r="I268" s="21" t="s">
        <v>256</v>
      </c>
      <c r="J268" s="21" t="s">
        <v>72</v>
      </c>
      <c r="K268" s="21" t="s">
        <v>442</v>
      </c>
      <c r="L268" s="23">
        <v>0.9</v>
      </c>
      <c r="M268" s="24">
        <v>47000</v>
      </c>
      <c r="N268" s="24">
        <v>0</v>
      </c>
      <c r="O268" s="25">
        <v>42300</v>
      </c>
      <c r="P268" s="25">
        <v>0</v>
      </c>
      <c r="Q268" s="24">
        <v>47000</v>
      </c>
      <c r="R268" s="21" t="s">
        <v>506</v>
      </c>
      <c r="S268" s="21" t="s">
        <v>437</v>
      </c>
      <c r="T268" s="21" t="s">
        <v>17</v>
      </c>
      <c r="U268" s="21" t="s">
        <v>507</v>
      </c>
      <c r="V268" s="21" t="s">
        <v>17</v>
      </c>
      <c r="W268" s="21" t="s">
        <v>439</v>
      </c>
      <c r="X268" s="21" t="s">
        <v>439</v>
      </c>
    </row>
    <row r="269" spans="1:24" ht="10.5" customHeight="1" x14ac:dyDescent="0.25">
      <c r="A269" s="20">
        <v>46031</v>
      </c>
      <c r="B269" s="21" t="str">
        <f t="shared" si="4"/>
        <v>09/01/2026NL300092</v>
      </c>
      <c r="C269" s="22" t="s">
        <v>525</v>
      </c>
      <c r="D269" s="22" t="s">
        <v>17</v>
      </c>
      <c r="E269" s="22" t="s">
        <v>431</v>
      </c>
      <c r="F269" s="21" t="s">
        <v>432</v>
      </c>
      <c r="G269" s="21" t="s">
        <v>433</v>
      </c>
      <c r="H269" s="21" t="s">
        <v>526</v>
      </c>
      <c r="I269" s="21" t="s">
        <v>329</v>
      </c>
      <c r="J269" s="21" t="s">
        <v>74</v>
      </c>
      <c r="K269" s="21" t="s">
        <v>442</v>
      </c>
      <c r="L269" s="23">
        <v>1.4</v>
      </c>
      <c r="M269" s="24">
        <v>90000</v>
      </c>
      <c r="N269" s="24">
        <v>0</v>
      </c>
      <c r="O269" s="25">
        <v>126000</v>
      </c>
      <c r="P269" s="25">
        <v>0</v>
      </c>
      <c r="Q269" s="24">
        <v>90000</v>
      </c>
      <c r="R269" s="21" t="s">
        <v>506</v>
      </c>
      <c r="S269" s="21" t="s">
        <v>437</v>
      </c>
      <c r="T269" s="21" t="s">
        <v>17</v>
      </c>
      <c r="U269" s="21" t="s">
        <v>507</v>
      </c>
      <c r="V269" s="21" t="s">
        <v>17</v>
      </c>
      <c r="W269" s="21" t="s">
        <v>439</v>
      </c>
      <c r="X269" s="21" t="s">
        <v>439</v>
      </c>
    </row>
    <row r="270" spans="1:24" ht="10.5" customHeight="1" x14ac:dyDescent="0.25">
      <c r="A270" s="20">
        <v>46031</v>
      </c>
      <c r="B270" s="21" t="str">
        <f t="shared" si="4"/>
        <v>09/01/2026NL300094</v>
      </c>
      <c r="C270" s="22" t="s">
        <v>525</v>
      </c>
      <c r="D270" s="22" t="s">
        <v>17</v>
      </c>
      <c r="E270" s="22" t="s">
        <v>431</v>
      </c>
      <c r="F270" s="21" t="s">
        <v>432</v>
      </c>
      <c r="G270" s="21" t="s">
        <v>433</v>
      </c>
      <c r="H270" s="21" t="s">
        <v>526</v>
      </c>
      <c r="I270" s="21" t="s">
        <v>257</v>
      </c>
      <c r="J270" s="21" t="s">
        <v>454</v>
      </c>
      <c r="K270" s="21" t="s">
        <v>442</v>
      </c>
      <c r="L270" s="23">
        <v>0.4</v>
      </c>
      <c r="M270" s="24">
        <v>80000</v>
      </c>
      <c r="N270" s="24">
        <v>0</v>
      </c>
      <c r="O270" s="25">
        <v>32000</v>
      </c>
      <c r="P270" s="25">
        <v>0</v>
      </c>
      <c r="Q270" s="24">
        <v>80000</v>
      </c>
      <c r="R270" s="21" t="s">
        <v>506</v>
      </c>
      <c r="S270" s="21" t="s">
        <v>437</v>
      </c>
      <c r="T270" s="21" t="s">
        <v>17</v>
      </c>
      <c r="U270" s="21" t="s">
        <v>507</v>
      </c>
      <c r="V270" s="21" t="s">
        <v>17</v>
      </c>
      <c r="W270" s="21" t="s">
        <v>439</v>
      </c>
      <c r="X270" s="21" t="s">
        <v>439</v>
      </c>
    </row>
    <row r="271" spans="1:24" ht="10.5" customHeight="1" x14ac:dyDescent="0.25">
      <c r="A271" s="20">
        <v>46031</v>
      </c>
      <c r="B271" s="21" t="str">
        <f t="shared" si="4"/>
        <v>09/01/2026NL300097</v>
      </c>
      <c r="C271" s="22" t="s">
        <v>525</v>
      </c>
      <c r="D271" s="22" t="s">
        <v>17</v>
      </c>
      <c r="E271" s="22" t="s">
        <v>431</v>
      </c>
      <c r="F271" s="21" t="s">
        <v>432</v>
      </c>
      <c r="G271" s="21" t="s">
        <v>433</v>
      </c>
      <c r="H271" s="21" t="s">
        <v>526</v>
      </c>
      <c r="I271" s="21" t="s">
        <v>331</v>
      </c>
      <c r="J271" s="21" t="s">
        <v>443</v>
      </c>
      <c r="K271" s="21" t="s">
        <v>442</v>
      </c>
      <c r="L271" s="23">
        <v>0.4</v>
      </c>
      <c r="M271" s="24">
        <v>90000</v>
      </c>
      <c r="N271" s="24">
        <v>0</v>
      </c>
      <c r="O271" s="25">
        <v>36000</v>
      </c>
      <c r="P271" s="25">
        <v>0</v>
      </c>
      <c r="Q271" s="24">
        <v>90000</v>
      </c>
      <c r="R271" s="21" t="s">
        <v>506</v>
      </c>
      <c r="S271" s="21" t="s">
        <v>437</v>
      </c>
      <c r="T271" s="21" t="s">
        <v>17</v>
      </c>
      <c r="U271" s="21" t="s">
        <v>507</v>
      </c>
      <c r="V271" s="21" t="s">
        <v>17</v>
      </c>
      <c r="W271" s="21" t="s">
        <v>439</v>
      </c>
      <c r="X271" s="21" t="s">
        <v>439</v>
      </c>
    </row>
    <row r="272" spans="1:24" ht="10.5" customHeight="1" x14ac:dyDescent="0.25">
      <c r="A272" s="20">
        <v>46031</v>
      </c>
      <c r="B272" s="21" t="str">
        <f t="shared" si="4"/>
        <v>09/01/2026NL300113</v>
      </c>
      <c r="C272" s="22" t="s">
        <v>525</v>
      </c>
      <c r="D272" s="22" t="s">
        <v>17</v>
      </c>
      <c r="E272" s="22" t="s">
        <v>431</v>
      </c>
      <c r="F272" s="21" t="s">
        <v>432</v>
      </c>
      <c r="G272" s="21" t="s">
        <v>433</v>
      </c>
      <c r="H272" s="21" t="s">
        <v>526</v>
      </c>
      <c r="I272" s="21" t="s">
        <v>271</v>
      </c>
      <c r="J272" s="21" t="s">
        <v>103</v>
      </c>
      <c r="K272" s="21" t="s">
        <v>442</v>
      </c>
      <c r="L272" s="23">
        <v>0.4</v>
      </c>
      <c r="M272" s="24">
        <v>145000</v>
      </c>
      <c r="N272" s="24">
        <v>0</v>
      </c>
      <c r="O272" s="25">
        <v>58000</v>
      </c>
      <c r="P272" s="25">
        <v>0</v>
      </c>
      <c r="Q272" s="24">
        <v>145000</v>
      </c>
      <c r="R272" s="21" t="s">
        <v>506</v>
      </c>
      <c r="S272" s="21" t="s">
        <v>437</v>
      </c>
      <c r="T272" s="21" t="s">
        <v>17</v>
      </c>
      <c r="U272" s="21" t="s">
        <v>507</v>
      </c>
      <c r="V272" s="21" t="s">
        <v>17</v>
      </c>
      <c r="W272" s="21" t="s">
        <v>439</v>
      </c>
      <c r="X272" s="21" t="s">
        <v>439</v>
      </c>
    </row>
    <row r="273" spans="1:24" ht="10.5" customHeight="1" x14ac:dyDescent="0.25">
      <c r="A273" s="20">
        <v>46031</v>
      </c>
      <c r="B273" s="21" t="str">
        <f t="shared" si="4"/>
        <v>09/01/2026NL300142</v>
      </c>
      <c r="C273" s="22" t="s">
        <v>525</v>
      </c>
      <c r="D273" s="22" t="s">
        <v>17</v>
      </c>
      <c r="E273" s="22" t="s">
        <v>431</v>
      </c>
      <c r="F273" s="21" t="s">
        <v>432</v>
      </c>
      <c r="G273" s="21" t="s">
        <v>433</v>
      </c>
      <c r="H273" s="21" t="s">
        <v>526</v>
      </c>
      <c r="I273" s="21" t="s">
        <v>317</v>
      </c>
      <c r="J273" s="21" t="s">
        <v>441</v>
      </c>
      <c r="K273" s="21" t="s">
        <v>442</v>
      </c>
      <c r="L273" s="23">
        <v>1.1000000000000001</v>
      </c>
      <c r="M273" s="24">
        <v>50000</v>
      </c>
      <c r="N273" s="24">
        <v>0</v>
      </c>
      <c r="O273" s="25">
        <v>55000</v>
      </c>
      <c r="P273" s="25">
        <v>0</v>
      </c>
      <c r="Q273" s="24">
        <v>50000</v>
      </c>
      <c r="R273" s="21" t="s">
        <v>506</v>
      </c>
      <c r="S273" s="21" t="s">
        <v>437</v>
      </c>
      <c r="T273" s="21" t="s">
        <v>17</v>
      </c>
      <c r="U273" s="21" t="s">
        <v>507</v>
      </c>
      <c r="V273" s="21" t="s">
        <v>17</v>
      </c>
      <c r="W273" s="21" t="s">
        <v>439</v>
      </c>
      <c r="X273" s="21" t="s">
        <v>439</v>
      </c>
    </row>
    <row r="274" spans="1:24" ht="10.5" customHeight="1" x14ac:dyDescent="0.25">
      <c r="A274" s="20">
        <v>46031</v>
      </c>
      <c r="B274" s="21" t="str">
        <f t="shared" si="4"/>
        <v>09/01/2026NL300132</v>
      </c>
      <c r="C274" s="22" t="s">
        <v>525</v>
      </c>
      <c r="D274" s="22" t="s">
        <v>17</v>
      </c>
      <c r="E274" s="22" t="s">
        <v>431</v>
      </c>
      <c r="F274" s="21" t="s">
        <v>432</v>
      </c>
      <c r="G274" s="21" t="s">
        <v>433</v>
      </c>
      <c r="H274" s="21" t="s">
        <v>526</v>
      </c>
      <c r="I274" s="21" t="s">
        <v>285</v>
      </c>
      <c r="J274" s="21" t="s">
        <v>82</v>
      </c>
      <c r="K274" s="21" t="s">
        <v>442</v>
      </c>
      <c r="L274" s="23">
        <v>0.5</v>
      </c>
      <c r="M274" s="24">
        <v>12000</v>
      </c>
      <c r="N274" s="24">
        <v>0</v>
      </c>
      <c r="O274" s="25">
        <v>6000</v>
      </c>
      <c r="P274" s="25">
        <v>0</v>
      </c>
      <c r="Q274" s="24">
        <v>12000</v>
      </c>
      <c r="R274" s="21" t="s">
        <v>506</v>
      </c>
      <c r="S274" s="21" t="s">
        <v>437</v>
      </c>
      <c r="T274" s="21" t="s">
        <v>17</v>
      </c>
      <c r="U274" s="21" t="s">
        <v>507</v>
      </c>
      <c r="V274" s="21" t="s">
        <v>17</v>
      </c>
      <c r="W274" s="21" t="s">
        <v>439</v>
      </c>
      <c r="X274" s="21" t="s">
        <v>439</v>
      </c>
    </row>
    <row r="275" spans="1:24" ht="10.5" customHeight="1" x14ac:dyDescent="0.25">
      <c r="A275" s="20">
        <v>46031</v>
      </c>
      <c r="B275" s="21" t="str">
        <f t="shared" si="4"/>
        <v>09/01/2026NL300137</v>
      </c>
      <c r="C275" s="22" t="s">
        <v>525</v>
      </c>
      <c r="D275" s="22" t="s">
        <v>17</v>
      </c>
      <c r="E275" s="22" t="s">
        <v>431</v>
      </c>
      <c r="F275" s="21" t="s">
        <v>432</v>
      </c>
      <c r="G275" s="21" t="s">
        <v>433</v>
      </c>
      <c r="H275" s="21" t="s">
        <v>526</v>
      </c>
      <c r="I275" s="21" t="s">
        <v>196</v>
      </c>
      <c r="J275" s="21" t="s">
        <v>458</v>
      </c>
      <c r="K275" s="21" t="s">
        <v>442</v>
      </c>
      <c r="L275" s="23">
        <v>1</v>
      </c>
      <c r="M275" s="24">
        <v>52000</v>
      </c>
      <c r="N275" s="24">
        <v>0</v>
      </c>
      <c r="O275" s="25">
        <v>52000</v>
      </c>
      <c r="P275" s="25">
        <v>0</v>
      </c>
      <c r="Q275" s="24">
        <v>52000</v>
      </c>
      <c r="R275" s="21" t="s">
        <v>506</v>
      </c>
      <c r="S275" s="21" t="s">
        <v>437</v>
      </c>
      <c r="T275" s="21" t="s">
        <v>17</v>
      </c>
      <c r="U275" s="21" t="s">
        <v>507</v>
      </c>
      <c r="V275" s="21" t="s">
        <v>17</v>
      </c>
      <c r="W275" s="21" t="s">
        <v>439</v>
      </c>
      <c r="X275" s="21" t="s">
        <v>439</v>
      </c>
    </row>
    <row r="276" spans="1:24" ht="10.5" customHeight="1" x14ac:dyDescent="0.25">
      <c r="A276" s="20">
        <v>46031</v>
      </c>
      <c r="B276" s="21" t="str">
        <f t="shared" si="4"/>
        <v>09/01/2026NL300147</v>
      </c>
      <c r="C276" s="22" t="s">
        <v>525</v>
      </c>
      <c r="D276" s="22" t="s">
        <v>17</v>
      </c>
      <c r="E276" s="22" t="s">
        <v>431</v>
      </c>
      <c r="F276" s="21" t="s">
        <v>432</v>
      </c>
      <c r="G276" s="21" t="s">
        <v>433</v>
      </c>
      <c r="H276" s="21" t="s">
        <v>526</v>
      </c>
      <c r="I276" s="21" t="s">
        <v>300</v>
      </c>
      <c r="J276" s="21" t="s">
        <v>459</v>
      </c>
      <c r="K276" s="21" t="s">
        <v>442</v>
      </c>
      <c r="L276" s="23">
        <v>2</v>
      </c>
      <c r="M276" s="24">
        <v>62000</v>
      </c>
      <c r="N276" s="24">
        <v>0</v>
      </c>
      <c r="O276" s="25">
        <v>124000</v>
      </c>
      <c r="P276" s="25">
        <v>0</v>
      </c>
      <c r="Q276" s="24">
        <v>62000</v>
      </c>
      <c r="R276" s="21" t="s">
        <v>506</v>
      </c>
      <c r="S276" s="21" t="s">
        <v>437</v>
      </c>
      <c r="T276" s="21" t="s">
        <v>17</v>
      </c>
      <c r="U276" s="21" t="s">
        <v>507</v>
      </c>
      <c r="V276" s="21" t="s">
        <v>17</v>
      </c>
      <c r="W276" s="21" t="s">
        <v>439</v>
      </c>
      <c r="X276" s="21" t="s">
        <v>439</v>
      </c>
    </row>
    <row r="277" spans="1:24" ht="10.5" customHeight="1" x14ac:dyDescent="0.25">
      <c r="A277" s="20">
        <v>46032</v>
      </c>
      <c r="B277" s="21" t="str">
        <f>""&amp;DAY(A277)&amp;"/01/2026"&amp;I277</f>
        <v>10/01/2026NL300061</v>
      </c>
      <c r="C277" s="22" t="s">
        <v>527</v>
      </c>
      <c r="D277" s="22" t="s">
        <v>17</v>
      </c>
      <c r="E277" s="22" t="s">
        <v>431</v>
      </c>
      <c r="F277" s="21" t="s">
        <v>432</v>
      </c>
      <c r="G277" s="21" t="s">
        <v>433</v>
      </c>
      <c r="H277" s="21" t="s">
        <v>528</v>
      </c>
      <c r="I277" s="21" t="s">
        <v>352</v>
      </c>
      <c r="J277" s="21" t="s">
        <v>477</v>
      </c>
      <c r="K277" s="21" t="s">
        <v>442</v>
      </c>
      <c r="L277" s="23">
        <v>0.5</v>
      </c>
      <c r="M277" s="24">
        <v>38000</v>
      </c>
      <c r="N277" s="24">
        <v>0</v>
      </c>
      <c r="O277" s="25">
        <v>19000</v>
      </c>
      <c r="P277" s="25">
        <v>0</v>
      </c>
      <c r="Q277" s="24">
        <v>38000</v>
      </c>
      <c r="R277" s="21" t="s">
        <v>506</v>
      </c>
      <c r="S277" s="21" t="s">
        <v>437</v>
      </c>
      <c r="T277" s="21" t="s">
        <v>17</v>
      </c>
      <c r="U277" s="21" t="s">
        <v>507</v>
      </c>
      <c r="V277" s="21" t="s">
        <v>17</v>
      </c>
      <c r="W277" s="21" t="s">
        <v>439</v>
      </c>
      <c r="X277" s="21" t="s">
        <v>439</v>
      </c>
    </row>
    <row r="278" spans="1:24" ht="10.5" customHeight="1" x14ac:dyDescent="0.25">
      <c r="A278" s="20">
        <v>46032</v>
      </c>
      <c r="B278" s="21" t="str">
        <f t="shared" ref="B278:B341" si="5">""&amp;DAY(A278)&amp;"/01/2026"&amp;I278</f>
        <v>10/01/2026NL300088</v>
      </c>
      <c r="C278" s="22" t="s">
        <v>527</v>
      </c>
      <c r="D278" s="22" t="s">
        <v>17</v>
      </c>
      <c r="E278" s="22" t="s">
        <v>431</v>
      </c>
      <c r="F278" s="21" t="s">
        <v>432</v>
      </c>
      <c r="G278" s="21" t="s">
        <v>433</v>
      </c>
      <c r="H278" s="21" t="s">
        <v>528</v>
      </c>
      <c r="I278" s="21" t="s">
        <v>254</v>
      </c>
      <c r="J278" s="21" t="s">
        <v>15</v>
      </c>
      <c r="K278" s="21" t="s">
        <v>442</v>
      </c>
      <c r="L278" s="23">
        <v>1.5</v>
      </c>
      <c r="M278" s="24">
        <v>27000</v>
      </c>
      <c r="N278" s="24">
        <v>0</v>
      </c>
      <c r="O278" s="25">
        <v>40500</v>
      </c>
      <c r="P278" s="25">
        <v>0</v>
      </c>
      <c r="Q278" s="24">
        <v>27000</v>
      </c>
      <c r="R278" s="21" t="s">
        <v>506</v>
      </c>
      <c r="S278" s="21" t="s">
        <v>437</v>
      </c>
      <c r="T278" s="21" t="s">
        <v>17</v>
      </c>
      <c r="U278" s="21" t="s">
        <v>507</v>
      </c>
      <c r="V278" s="21" t="s">
        <v>17</v>
      </c>
      <c r="W278" s="21" t="s">
        <v>439</v>
      </c>
      <c r="X278" s="21" t="s">
        <v>439</v>
      </c>
    </row>
    <row r="279" spans="1:24" ht="10.5" customHeight="1" x14ac:dyDescent="0.25">
      <c r="A279" s="20">
        <v>46032</v>
      </c>
      <c r="B279" s="21" t="str">
        <f t="shared" si="5"/>
        <v>10/01/2026NL300107</v>
      </c>
      <c r="C279" s="22" t="s">
        <v>527</v>
      </c>
      <c r="D279" s="22" t="s">
        <v>17</v>
      </c>
      <c r="E279" s="22" t="s">
        <v>431</v>
      </c>
      <c r="F279" s="21" t="s">
        <v>432</v>
      </c>
      <c r="G279" s="21" t="s">
        <v>433</v>
      </c>
      <c r="H279" s="21" t="s">
        <v>528</v>
      </c>
      <c r="I279" s="21" t="s">
        <v>193</v>
      </c>
      <c r="J279" s="21" t="s">
        <v>455</v>
      </c>
      <c r="K279" s="21" t="s">
        <v>450</v>
      </c>
      <c r="L279" s="23">
        <v>10</v>
      </c>
      <c r="M279" s="24">
        <v>8500</v>
      </c>
      <c r="N279" s="24">
        <v>0</v>
      </c>
      <c r="O279" s="25">
        <v>85000</v>
      </c>
      <c r="P279" s="25">
        <v>0</v>
      </c>
      <c r="Q279" s="24">
        <v>8500</v>
      </c>
      <c r="R279" s="21" t="s">
        <v>506</v>
      </c>
      <c r="S279" s="21" t="s">
        <v>437</v>
      </c>
      <c r="T279" s="21" t="s">
        <v>17</v>
      </c>
      <c r="U279" s="21" t="s">
        <v>507</v>
      </c>
      <c r="V279" s="21" t="s">
        <v>17</v>
      </c>
      <c r="W279" s="21" t="s">
        <v>439</v>
      </c>
      <c r="X279" s="21" t="s">
        <v>439</v>
      </c>
    </row>
    <row r="280" spans="1:24" ht="10.5" customHeight="1" x14ac:dyDescent="0.25">
      <c r="A280" s="20">
        <v>46032</v>
      </c>
      <c r="B280" s="21" t="str">
        <f t="shared" si="5"/>
        <v>10/01/2026NL300041</v>
      </c>
      <c r="C280" s="22" t="s">
        <v>527</v>
      </c>
      <c r="D280" s="22" t="s">
        <v>17</v>
      </c>
      <c r="E280" s="22" t="s">
        <v>431</v>
      </c>
      <c r="F280" s="21" t="s">
        <v>432</v>
      </c>
      <c r="G280" s="21" t="s">
        <v>433</v>
      </c>
      <c r="H280" s="21" t="s">
        <v>528</v>
      </c>
      <c r="I280" s="21" t="s">
        <v>222</v>
      </c>
      <c r="J280" s="21" t="s">
        <v>449</v>
      </c>
      <c r="K280" s="21" t="s">
        <v>450</v>
      </c>
      <c r="L280" s="23">
        <v>5</v>
      </c>
      <c r="M280" s="24">
        <v>15000</v>
      </c>
      <c r="N280" s="24">
        <v>0</v>
      </c>
      <c r="O280" s="25">
        <v>75000</v>
      </c>
      <c r="P280" s="25">
        <v>0</v>
      </c>
      <c r="Q280" s="24">
        <v>15000</v>
      </c>
      <c r="R280" s="21" t="s">
        <v>506</v>
      </c>
      <c r="S280" s="21" t="s">
        <v>437</v>
      </c>
      <c r="T280" s="21" t="s">
        <v>17</v>
      </c>
      <c r="U280" s="21" t="s">
        <v>507</v>
      </c>
      <c r="V280" s="21" t="s">
        <v>17</v>
      </c>
      <c r="W280" s="21" t="s">
        <v>439</v>
      </c>
      <c r="X280" s="21" t="s">
        <v>439</v>
      </c>
    </row>
    <row r="281" spans="1:24" ht="10.5" customHeight="1" x14ac:dyDescent="0.25">
      <c r="A281" s="20">
        <v>46032</v>
      </c>
      <c r="B281" s="21" t="str">
        <f t="shared" si="5"/>
        <v>10/01/2026NL300090</v>
      </c>
      <c r="C281" s="22" t="s">
        <v>527</v>
      </c>
      <c r="D281" s="22" t="s">
        <v>17</v>
      </c>
      <c r="E281" s="22" t="s">
        <v>431</v>
      </c>
      <c r="F281" s="21" t="s">
        <v>432</v>
      </c>
      <c r="G281" s="21" t="s">
        <v>433</v>
      </c>
      <c r="H281" s="21" t="s">
        <v>528</v>
      </c>
      <c r="I281" s="21" t="s">
        <v>255</v>
      </c>
      <c r="J281" s="21" t="s">
        <v>70</v>
      </c>
      <c r="K281" s="21" t="s">
        <v>442</v>
      </c>
      <c r="L281" s="23">
        <v>3</v>
      </c>
      <c r="M281" s="24">
        <v>145000</v>
      </c>
      <c r="N281" s="24">
        <v>0</v>
      </c>
      <c r="O281" s="25">
        <v>435000</v>
      </c>
      <c r="P281" s="25">
        <v>0</v>
      </c>
      <c r="Q281" s="24">
        <v>145000</v>
      </c>
      <c r="R281" s="21" t="s">
        <v>506</v>
      </c>
      <c r="S281" s="21" t="s">
        <v>437</v>
      </c>
      <c r="T281" s="21" t="s">
        <v>17</v>
      </c>
      <c r="U281" s="21" t="s">
        <v>507</v>
      </c>
      <c r="V281" s="21" t="s">
        <v>17</v>
      </c>
      <c r="W281" s="21" t="s">
        <v>439</v>
      </c>
      <c r="X281" s="21" t="s">
        <v>439</v>
      </c>
    </row>
    <row r="282" spans="1:24" ht="10.5" customHeight="1" x14ac:dyDescent="0.25">
      <c r="A282" s="20">
        <v>46032</v>
      </c>
      <c r="B282" s="21" t="str">
        <f t="shared" si="5"/>
        <v>10/01/2026NL300116</v>
      </c>
      <c r="C282" s="22" t="s">
        <v>527</v>
      </c>
      <c r="D282" s="22" t="s">
        <v>17</v>
      </c>
      <c r="E282" s="22" t="s">
        <v>431</v>
      </c>
      <c r="F282" s="21" t="s">
        <v>432</v>
      </c>
      <c r="G282" s="21" t="s">
        <v>433</v>
      </c>
      <c r="H282" s="21" t="s">
        <v>528</v>
      </c>
      <c r="I282" s="21" t="s">
        <v>315</v>
      </c>
      <c r="J282" s="21" t="s">
        <v>456</v>
      </c>
      <c r="K282" s="21" t="s">
        <v>442</v>
      </c>
      <c r="L282" s="23">
        <v>0.4</v>
      </c>
      <c r="M282" s="24">
        <v>148000</v>
      </c>
      <c r="N282" s="24">
        <v>0</v>
      </c>
      <c r="O282" s="25">
        <v>59200</v>
      </c>
      <c r="P282" s="25">
        <v>0</v>
      </c>
      <c r="Q282" s="24">
        <v>148000</v>
      </c>
      <c r="R282" s="21" t="s">
        <v>506</v>
      </c>
      <c r="S282" s="21" t="s">
        <v>437</v>
      </c>
      <c r="T282" s="21" t="s">
        <v>17</v>
      </c>
      <c r="U282" s="21" t="s">
        <v>507</v>
      </c>
      <c r="V282" s="21" t="s">
        <v>17</v>
      </c>
      <c r="W282" s="21" t="s">
        <v>439</v>
      </c>
      <c r="X282" s="21" t="s">
        <v>439</v>
      </c>
    </row>
    <row r="283" spans="1:24" ht="10.5" customHeight="1" x14ac:dyDescent="0.25">
      <c r="A283" s="20">
        <v>46032</v>
      </c>
      <c r="B283" s="21" t="str">
        <f t="shared" si="5"/>
        <v>10/01/2026NL300025</v>
      </c>
      <c r="C283" s="22" t="s">
        <v>527</v>
      </c>
      <c r="D283" s="22" t="s">
        <v>17</v>
      </c>
      <c r="E283" s="22" t="s">
        <v>431</v>
      </c>
      <c r="F283" s="21" t="s">
        <v>432</v>
      </c>
      <c r="G283" s="21" t="s">
        <v>433</v>
      </c>
      <c r="H283" s="21" t="s">
        <v>528</v>
      </c>
      <c r="I283" s="21" t="s">
        <v>211</v>
      </c>
      <c r="J283" s="21" t="s">
        <v>447</v>
      </c>
      <c r="K283" s="21" t="s">
        <v>442</v>
      </c>
      <c r="L283" s="23">
        <v>1.8</v>
      </c>
      <c r="M283" s="24">
        <v>44000</v>
      </c>
      <c r="N283" s="24">
        <v>0</v>
      </c>
      <c r="O283" s="25">
        <v>79200</v>
      </c>
      <c r="P283" s="25">
        <v>0</v>
      </c>
      <c r="Q283" s="24">
        <v>44000</v>
      </c>
      <c r="R283" s="21" t="s">
        <v>506</v>
      </c>
      <c r="S283" s="21" t="s">
        <v>437</v>
      </c>
      <c r="T283" s="21" t="s">
        <v>17</v>
      </c>
      <c r="U283" s="21" t="s">
        <v>507</v>
      </c>
      <c r="V283" s="21" t="s">
        <v>17</v>
      </c>
      <c r="W283" s="21" t="s">
        <v>439</v>
      </c>
      <c r="X283" s="21" t="s">
        <v>439</v>
      </c>
    </row>
    <row r="284" spans="1:24" ht="10.5" customHeight="1" x14ac:dyDescent="0.25">
      <c r="A284" s="20">
        <v>46032</v>
      </c>
      <c r="B284" s="21" t="str">
        <f t="shared" si="5"/>
        <v>10/01/2026NL300101</v>
      </c>
      <c r="C284" s="22" t="s">
        <v>527</v>
      </c>
      <c r="D284" s="22" t="s">
        <v>17</v>
      </c>
      <c r="E284" s="22" t="s">
        <v>431</v>
      </c>
      <c r="F284" s="21" t="s">
        <v>432</v>
      </c>
      <c r="G284" s="21" t="s">
        <v>433</v>
      </c>
      <c r="H284" s="21" t="s">
        <v>528</v>
      </c>
      <c r="I284" s="21" t="s">
        <v>343</v>
      </c>
      <c r="J284" s="21" t="s">
        <v>480</v>
      </c>
      <c r="K284" s="21" t="s">
        <v>442</v>
      </c>
      <c r="L284" s="23">
        <v>0.7</v>
      </c>
      <c r="M284" s="24">
        <v>195000</v>
      </c>
      <c r="N284" s="24">
        <v>0</v>
      </c>
      <c r="O284" s="25">
        <v>136500</v>
      </c>
      <c r="P284" s="25">
        <v>0</v>
      </c>
      <c r="Q284" s="24">
        <v>195000</v>
      </c>
      <c r="R284" s="21" t="s">
        <v>506</v>
      </c>
      <c r="S284" s="21" t="s">
        <v>437</v>
      </c>
      <c r="T284" s="21" t="s">
        <v>17</v>
      </c>
      <c r="U284" s="21" t="s">
        <v>507</v>
      </c>
      <c r="V284" s="21" t="s">
        <v>17</v>
      </c>
      <c r="W284" s="21" t="s">
        <v>439</v>
      </c>
      <c r="X284" s="21" t="s">
        <v>439</v>
      </c>
    </row>
    <row r="285" spans="1:24" ht="10.5" customHeight="1" x14ac:dyDescent="0.25">
      <c r="A285" s="20">
        <v>46032</v>
      </c>
      <c r="B285" s="21" t="str">
        <f t="shared" si="5"/>
        <v>10/01/2026NL300070</v>
      </c>
      <c r="C285" s="22" t="s">
        <v>527</v>
      </c>
      <c r="D285" s="22" t="s">
        <v>17</v>
      </c>
      <c r="E285" s="22" t="s">
        <v>431</v>
      </c>
      <c r="F285" s="21" t="s">
        <v>432</v>
      </c>
      <c r="G285" s="21" t="s">
        <v>433</v>
      </c>
      <c r="H285" s="21" t="s">
        <v>528</v>
      </c>
      <c r="I285" s="21" t="s">
        <v>345</v>
      </c>
      <c r="J285" s="21" t="s">
        <v>465</v>
      </c>
      <c r="K285" s="21" t="s">
        <v>442</v>
      </c>
      <c r="L285" s="23">
        <v>0.5</v>
      </c>
      <c r="M285" s="24">
        <v>23000</v>
      </c>
      <c r="N285" s="24">
        <v>0</v>
      </c>
      <c r="O285" s="25">
        <v>11500</v>
      </c>
      <c r="P285" s="25">
        <v>0</v>
      </c>
      <c r="Q285" s="24">
        <v>23000</v>
      </c>
      <c r="R285" s="21" t="s">
        <v>506</v>
      </c>
      <c r="S285" s="21" t="s">
        <v>437</v>
      </c>
      <c r="T285" s="21" t="s">
        <v>17</v>
      </c>
      <c r="U285" s="21" t="s">
        <v>507</v>
      </c>
      <c r="V285" s="21" t="s">
        <v>17</v>
      </c>
      <c r="W285" s="21" t="s">
        <v>439</v>
      </c>
      <c r="X285" s="21" t="s">
        <v>439</v>
      </c>
    </row>
    <row r="286" spans="1:24" ht="10.5" customHeight="1" x14ac:dyDescent="0.25">
      <c r="A286" s="20">
        <v>46032</v>
      </c>
      <c r="B286" s="21" t="str">
        <f t="shared" si="5"/>
        <v>10/01/2026NL100101</v>
      </c>
      <c r="C286" s="22" t="s">
        <v>527</v>
      </c>
      <c r="D286" s="22" t="s">
        <v>17</v>
      </c>
      <c r="E286" s="22" t="s">
        <v>431</v>
      </c>
      <c r="F286" s="21" t="s">
        <v>432</v>
      </c>
      <c r="G286" s="21" t="s">
        <v>433</v>
      </c>
      <c r="H286" s="21" t="s">
        <v>528</v>
      </c>
      <c r="I286" s="21" t="s">
        <v>344</v>
      </c>
      <c r="J286" s="21" t="s">
        <v>107</v>
      </c>
      <c r="K286" s="21" t="s">
        <v>435</v>
      </c>
      <c r="L286" s="23">
        <v>60</v>
      </c>
      <c r="M286" s="24">
        <v>5000</v>
      </c>
      <c r="N286" s="24">
        <v>0</v>
      </c>
      <c r="O286" s="25">
        <v>300000</v>
      </c>
      <c r="P286" s="25">
        <v>0</v>
      </c>
      <c r="Q286" s="24">
        <v>5000</v>
      </c>
      <c r="R286" s="21" t="s">
        <v>506</v>
      </c>
      <c r="S286" s="21" t="s">
        <v>437</v>
      </c>
      <c r="T286" s="21" t="s">
        <v>17</v>
      </c>
      <c r="U286" s="21" t="s">
        <v>507</v>
      </c>
      <c r="V286" s="21" t="s">
        <v>17</v>
      </c>
      <c r="W286" s="21" t="s">
        <v>439</v>
      </c>
      <c r="X286" s="21" t="s">
        <v>439</v>
      </c>
    </row>
    <row r="287" spans="1:24" ht="10.5" customHeight="1" x14ac:dyDescent="0.25">
      <c r="A287" s="20">
        <v>46032</v>
      </c>
      <c r="B287" s="21" t="str">
        <f t="shared" si="5"/>
        <v>10/01/2026NL600004</v>
      </c>
      <c r="C287" s="22" t="s">
        <v>527</v>
      </c>
      <c r="D287" s="22" t="s">
        <v>17</v>
      </c>
      <c r="E287" s="22" t="s">
        <v>431</v>
      </c>
      <c r="F287" s="21" t="s">
        <v>432</v>
      </c>
      <c r="G287" s="21" t="s">
        <v>433</v>
      </c>
      <c r="H287" s="21" t="s">
        <v>528</v>
      </c>
      <c r="I287" s="21" t="s">
        <v>225</v>
      </c>
      <c r="J287" s="21" t="s">
        <v>37</v>
      </c>
      <c r="K287" s="21" t="s">
        <v>442</v>
      </c>
      <c r="L287" s="23">
        <v>19</v>
      </c>
      <c r="M287" s="24">
        <v>18000</v>
      </c>
      <c r="N287" s="24">
        <v>0</v>
      </c>
      <c r="O287" s="25">
        <v>342000</v>
      </c>
      <c r="P287" s="25">
        <v>0</v>
      </c>
      <c r="Q287" s="24">
        <v>18000</v>
      </c>
      <c r="R287" s="21" t="s">
        <v>506</v>
      </c>
      <c r="S287" s="21" t="s">
        <v>437</v>
      </c>
      <c r="T287" s="21" t="s">
        <v>17</v>
      </c>
      <c r="U287" s="21" t="s">
        <v>507</v>
      </c>
      <c r="V287" s="21" t="s">
        <v>17</v>
      </c>
      <c r="W287" s="21" t="s">
        <v>439</v>
      </c>
      <c r="X287" s="21" t="s">
        <v>439</v>
      </c>
    </row>
    <row r="288" spans="1:24" ht="10.5" customHeight="1" x14ac:dyDescent="0.25">
      <c r="A288" s="20">
        <v>46032</v>
      </c>
      <c r="B288" s="21" t="str">
        <f t="shared" si="5"/>
        <v>10/01/2026NL300131</v>
      </c>
      <c r="C288" s="22" t="s">
        <v>527</v>
      </c>
      <c r="D288" s="22" t="s">
        <v>17</v>
      </c>
      <c r="E288" s="22" t="s">
        <v>431</v>
      </c>
      <c r="F288" s="21" t="s">
        <v>432</v>
      </c>
      <c r="G288" s="21" t="s">
        <v>433</v>
      </c>
      <c r="H288" s="21" t="s">
        <v>528</v>
      </c>
      <c r="I288" s="21" t="s">
        <v>340</v>
      </c>
      <c r="J288" s="21" t="s">
        <v>88</v>
      </c>
      <c r="K288" s="21" t="s">
        <v>442</v>
      </c>
      <c r="L288" s="23">
        <v>0.1</v>
      </c>
      <c r="M288" s="24">
        <v>220000</v>
      </c>
      <c r="N288" s="24">
        <v>0</v>
      </c>
      <c r="O288" s="25">
        <v>22000</v>
      </c>
      <c r="P288" s="25">
        <v>0</v>
      </c>
      <c r="Q288" s="24">
        <v>220000</v>
      </c>
      <c r="R288" s="21" t="s">
        <v>506</v>
      </c>
      <c r="S288" s="21" t="s">
        <v>437</v>
      </c>
      <c r="T288" s="21" t="s">
        <v>17</v>
      </c>
      <c r="U288" s="21" t="s">
        <v>507</v>
      </c>
      <c r="V288" s="21" t="s">
        <v>17</v>
      </c>
      <c r="W288" s="21" t="s">
        <v>439</v>
      </c>
      <c r="X288" s="21" t="s">
        <v>439</v>
      </c>
    </row>
    <row r="289" spans="1:24" ht="10.5" customHeight="1" x14ac:dyDescent="0.25">
      <c r="A289" s="20">
        <v>46032</v>
      </c>
      <c r="B289" s="21" t="str">
        <f t="shared" si="5"/>
        <v>10/01/2026NL300062</v>
      </c>
      <c r="C289" s="22" t="s">
        <v>527</v>
      </c>
      <c r="D289" s="22" t="s">
        <v>17</v>
      </c>
      <c r="E289" s="22" t="s">
        <v>431</v>
      </c>
      <c r="F289" s="21" t="s">
        <v>432</v>
      </c>
      <c r="G289" s="21" t="s">
        <v>433</v>
      </c>
      <c r="H289" s="21" t="s">
        <v>528</v>
      </c>
      <c r="I289" s="21" t="s">
        <v>236</v>
      </c>
      <c r="J289" s="21" t="s">
        <v>482</v>
      </c>
      <c r="K289" s="21" t="s">
        <v>442</v>
      </c>
      <c r="L289" s="23">
        <v>0.2</v>
      </c>
      <c r="M289" s="24">
        <v>65000</v>
      </c>
      <c r="N289" s="24">
        <v>0</v>
      </c>
      <c r="O289" s="25">
        <v>13000</v>
      </c>
      <c r="P289" s="25">
        <v>0</v>
      </c>
      <c r="Q289" s="24">
        <v>65000</v>
      </c>
      <c r="R289" s="21" t="s">
        <v>506</v>
      </c>
      <c r="S289" s="21" t="s">
        <v>437</v>
      </c>
      <c r="T289" s="21" t="s">
        <v>17</v>
      </c>
      <c r="U289" s="21" t="s">
        <v>507</v>
      </c>
      <c r="V289" s="21" t="s">
        <v>17</v>
      </c>
      <c r="W289" s="21" t="s">
        <v>439</v>
      </c>
      <c r="X289" s="21" t="s">
        <v>439</v>
      </c>
    </row>
    <row r="290" spans="1:24" ht="10.5" customHeight="1" x14ac:dyDescent="0.25">
      <c r="A290" s="20">
        <v>46032</v>
      </c>
      <c r="B290" s="21" t="str">
        <f t="shared" si="5"/>
        <v>10/01/2026NL300125</v>
      </c>
      <c r="C290" s="22" t="s">
        <v>527</v>
      </c>
      <c r="D290" s="22" t="s">
        <v>17</v>
      </c>
      <c r="E290" s="22" t="s">
        <v>431</v>
      </c>
      <c r="F290" s="21" t="s">
        <v>432</v>
      </c>
      <c r="G290" s="21" t="s">
        <v>433</v>
      </c>
      <c r="H290" s="21" t="s">
        <v>528</v>
      </c>
      <c r="I290" s="21" t="s">
        <v>337</v>
      </c>
      <c r="J290" s="21" t="s">
        <v>146</v>
      </c>
      <c r="K290" s="21" t="s">
        <v>442</v>
      </c>
      <c r="L290" s="23">
        <v>0.6</v>
      </c>
      <c r="M290" s="24">
        <v>42000</v>
      </c>
      <c r="N290" s="24">
        <v>0</v>
      </c>
      <c r="O290" s="25">
        <v>25200</v>
      </c>
      <c r="P290" s="25">
        <v>0</v>
      </c>
      <c r="Q290" s="24">
        <v>42000</v>
      </c>
      <c r="R290" s="21" t="s">
        <v>506</v>
      </c>
      <c r="S290" s="21" t="s">
        <v>437</v>
      </c>
      <c r="T290" s="21" t="s">
        <v>17</v>
      </c>
      <c r="U290" s="21" t="s">
        <v>507</v>
      </c>
      <c r="V290" s="21" t="s">
        <v>17</v>
      </c>
      <c r="W290" s="21" t="s">
        <v>439</v>
      </c>
      <c r="X290" s="21" t="s">
        <v>439</v>
      </c>
    </row>
    <row r="291" spans="1:24" ht="10.5" customHeight="1" x14ac:dyDescent="0.25">
      <c r="A291" s="20">
        <v>46032</v>
      </c>
      <c r="B291" s="21" t="str">
        <f t="shared" si="5"/>
        <v>10/01/2026NL300029</v>
      </c>
      <c r="C291" s="22" t="s">
        <v>527</v>
      </c>
      <c r="D291" s="22" t="s">
        <v>17</v>
      </c>
      <c r="E291" s="22" t="s">
        <v>431</v>
      </c>
      <c r="F291" s="21" t="s">
        <v>432</v>
      </c>
      <c r="G291" s="21" t="s">
        <v>433</v>
      </c>
      <c r="H291" s="21" t="s">
        <v>528</v>
      </c>
      <c r="I291" s="21" t="s">
        <v>213</v>
      </c>
      <c r="J291" s="21" t="s">
        <v>469</v>
      </c>
      <c r="K291" s="21" t="s">
        <v>442</v>
      </c>
      <c r="L291" s="23">
        <v>0.5</v>
      </c>
      <c r="M291" s="24">
        <v>22000</v>
      </c>
      <c r="N291" s="24">
        <v>0</v>
      </c>
      <c r="O291" s="25">
        <v>11000</v>
      </c>
      <c r="P291" s="25">
        <v>0</v>
      </c>
      <c r="Q291" s="24">
        <v>22000</v>
      </c>
      <c r="R291" s="21" t="s">
        <v>506</v>
      </c>
      <c r="S291" s="21" t="s">
        <v>437</v>
      </c>
      <c r="T291" s="21" t="s">
        <v>17</v>
      </c>
      <c r="U291" s="21" t="s">
        <v>507</v>
      </c>
      <c r="V291" s="21" t="s">
        <v>17</v>
      </c>
      <c r="W291" s="21" t="s">
        <v>439</v>
      </c>
      <c r="X291" s="21" t="s">
        <v>439</v>
      </c>
    </row>
    <row r="292" spans="1:24" ht="10.5" customHeight="1" x14ac:dyDescent="0.25">
      <c r="A292" s="20">
        <v>46032</v>
      </c>
      <c r="B292" s="21" t="str">
        <f t="shared" si="5"/>
        <v>10/01/2026NL600067</v>
      </c>
      <c r="C292" s="22" t="s">
        <v>527</v>
      </c>
      <c r="D292" s="22" t="s">
        <v>17</v>
      </c>
      <c r="E292" s="22" t="s">
        <v>431</v>
      </c>
      <c r="F292" s="21" t="s">
        <v>432</v>
      </c>
      <c r="G292" s="21" t="s">
        <v>433</v>
      </c>
      <c r="H292" s="21" t="s">
        <v>528</v>
      </c>
      <c r="I292" s="21" t="s">
        <v>376</v>
      </c>
      <c r="J292" s="21" t="s">
        <v>60</v>
      </c>
      <c r="K292" s="21" t="s">
        <v>442</v>
      </c>
      <c r="L292" s="23">
        <v>0.5</v>
      </c>
      <c r="M292" s="24">
        <v>75000</v>
      </c>
      <c r="N292" s="24">
        <v>0</v>
      </c>
      <c r="O292" s="25">
        <v>37500</v>
      </c>
      <c r="P292" s="25">
        <v>0</v>
      </c>
      <c r="Q292" s="24">
        <v>75000</v>
      </c>
      <c r="R292" s="21" t="s">
        <v>506</v>
      </c>
      <c r="S292" s="21" t="s">
        <v>437</v>
      </c>
      <c r="T292" s="21" t="s">
        <v>17</v>
      </c>
      <c r="U292" s="21" t="s">
        <v>507</v>
      </c>
      <c r="V292" s="21" t="s">
        <v>17</v>
      </c>
      <c r="W292" s="21" t="s">
        <v>439</v>
      </c>
      <c r="X292" s="21" t="s">
        <v>439</v>
      </c>
    </row>
    <row r="293" spans="1:24" ht="10.5" customHeight="1" x14ac:dyDescent="0.25">
      <c r="A293" s="20">
        <v>46032</v>
      </c>
      <c r="B293" s="21" t="str">
        <f t="shared" si="5"/>
        <v>10/01/2026NL300007</v>
      </c>
      <c r="C293" s="22" t="s">
        <v>527</v>
      </c>
      <c r="D293" s="22" t="s">
        <v>17</v>
      </c>
      <c r="E293" s="22" t="s">
        <v>431</v>
      </c>
      <c r="F293" s="21" t="s">
        <v>432</v>
      </c>
      <c r="G293" s="21" t="s">
        <v>433</v>
      </c>
      <c r="H293" s="21" t="s">
        <v>528</v>
      </c>
      <c r="I293" s="21" t="s">
        <v>309</v>
      </c>
      <c r="J293" s="21" t="s">
        <v>444</v>
      </c>
      <c r="K293" s="21" t="s">
        <v>442</v>
      </c>
      <c r="L293" s="23">
        <v>1.4</v>
      </c>
      <c r="M293" s="24">
        <v>30000</v>
      </c>
      <c r="N293" s="24">
        <v>0</v>
      </c>
      <c r="O293" s="25">
        <v>42000</v>
      </c>
      <c r="P293" s="25">
        <v>0</v>
      </c>
      <c r="Q293" s="24">
        <v>30000</v>
      </c>
      <c r="R293" s="21" t="s">
        <v>506</v>
      </c>
      <c r="S293" s="21" t="s">
        <v>437</v>
      </c>
      <c r="T293" s="21" t="s">
        <v>17</v>
      </c>
      <c r="U293" s="21" t="s">
        <v>507</v>
      </c>
      <c r="V293" s="21" t="s">
        <v>17</v>
      </c>
      <c r="W293" s="21" t="s">
        <v>439</v>
      </c>
      <c r="X293" s="21" t="s">
        <v>439</v>
      </c>
    </row>
    <row r="294" spans="1:24" ht="10.5" customHeight="1" x14ac:dyDescent="0.25">
      <c r="A294" s="20">
        <v>46032</v>
      </c>
      <c r="B294" s="21" t="str">
        <f t="shared" si="5"/>
        <v>10/01/2026NL300008</v>
      </c>
      <c r="C294" s="22" t="s">
        <v>527</v>
      </c>
      <c r="D294" s="22" t="s">
        <v>17</v>
      </c>
      <c r="E294" s="22" t="s">
        <v>431</v>
      </c>
      <c r="F294" s="21" t="s">
        <v>432</v>
      </c>
      <c r="G294" s="21" t="s">
        <v>433</v>
      </c>
      <c r="H294" s="21" t="s">
        <v>528</v>
      </c>
      <c r="I294" s="21" t="s">
        <v>320</v>
      </c>
      <c r="J294" s="21" t="s">
        <v>445</v>
      </c>
      <c r="K294" s="21" t="s">
        <v>442</v>
      </c>
      <c r="L294" s="23">
        <v>4</v>
      </c>
      <c r="M294" s="24">
        <v>40000</v>
      </c>
      <c r="N294" s="24">
        <v>0</v>
      </c>
      <c r="O294" s="25">
        <v>160000</v>
      </c>
      <c r="P294" s="25">
        <v>0</v>
      </c>
      <c r="Q294" s="24">
        <v>40000</v>
      </c>
      <c r="R294" s="21" t="s">
        <v>506</v>
      </c>
      <c r="S294" s="21" t="s">
        <v>437</v>
      </c>
      <c r="T294" s="21" t="s">
        <v>17</v>
      </c>
      <c r="U294" s="21" t="s">
        <v>507</v>
      </c>
      <c r="V294" s="21" t="s">
        <v>17</v>
      </c>
      <c r="W294" s="21" t="s">
        <v>439</v>
      </c>
      <c r="X294" s="21" t="s">
        <v>439</v>
      </c>
    </row>
    <row r="295" spans="1:24" ht="10.5" customHeight="1" x14ac:dyDescent="0.25">
      <c r="A295" s="20">
        <v>46032</v>
      </c>
      <c r="B295" s="21" t="str">
        <f t="shared" si="5"/>
        <v>10/01/2026NL300028</v>
      </c>
      <c r="C295" s="22" t="s">
        <v>527</v>
      </c>
      <c r="D295" s="22" t="s">
        <v>17</v>
      </c>
      <c r="E295" s="22" t="s">
        <v>431</v>
      </c>
      <c r="F295" s="21" t="s">
        <v>432</v>
      </c>
      <c r="G295" s="21" t="s">
        <v>433</v>
      </c>
      <c r="H295" s="21" t="s">
        <v>528</v>
      </c>
      <c r="I295" s="21" t="s">
        <v>325</v>
      </c>
      <c r="J295" s="21" t="s">
        <v>27</v>
      </c>
      <c r="K295" s="21" t="s">
        <v>442</v>
      </c>
      <c r="L295" s="23">
        <v>0.4</v>
      </c>
      <c r="M295" s="24">
        <v>75000</v>
      </c>
      <c r="N295" s="24">
        <v>0</v>
      </c>
      <c r="O295" s="25">
        <v>30000</v>
      </c>
      <c r="P295" s="25">
        <v>0</v>
      </c>
      <c r="Q295" s="24">
        <v>75000</v>
      </c>
      <c r="R295" s="21" t="s">
        <v>506</v>
      </c>
      <c r="S295" s="21" t="s">
        <v>437</v>
      </c>
      <c r="T295" s="21" t="s">
        <v>17</v>
      </c>
      <c r="U295" s="21" t="s">
        <v>507</v>
      </c>
      <c r="V295" s="21" t="s">
        <v>17</v>
      </c>
      <c r="W295" s="21" t="s">
        <v>439</v>
      </c>
      <c r="X295" s="21" t="s">
        <v>439</v>
      </c>
    </row>
    <row r="296" spans="1:24" ht="10.5" customHeight="1" x14ac:dyDescent="0.25">
      <c r="A296" s="20">
        <v>46032</v>
      </c>
      <c r="B296" s="21" t="str">
        <f t="shared" si="5"/>
        <v>10/01/2026NL300038</v>
      </c>
      <c r="C296" s="22" t="s">
        <v>527</v>
      </c>
      <c r="D296" s="22" t="s">
        <v>17</v>
      </c>
      <c r="E296" s="22" t="s">
        <v>431</v>
      </c>
      <c r="F296" s="21" t="s">
        <v>432</v>
      </c>
      <c r="G296" s="21" t="s">
        <v>433</v>
      </c>
      <c r="H296" s="21" t="s">
        <v>528</v>
      </c>
      <c r="I296" s="21" t="s">
        <v>217</v>
      </c>
      <c r="J296" s="21" t="s">
        <v>35</v>
      </c>
      <c r="K296" s="21" t="s">
        <v>442</v>
      </c>
      <c r="L296" s="23">
        <v>2.5</v>
      </c>
      <c r="M296" s="24">
        <v>32000</v>
      </c>
      <c r="N296" s="24">
        <v>0</v>
      </c>
      <c r="O296" s="25">
        <v>80000</v>
      </c>
      <c r="P296" s="25">
        <v>0</v>
      </c>
      <c r="Q296" s="24">
        <v>32000</v>
      </c>
      <c r="R296" s="21" t="s">
        <v>506</v>
      </c>
      <c r="S296" s="21" t="s">
        <v>437</v>
      </c>
      <c r="T296" s="21" t="s">
        <v>17</v>
      </c>
      <c r="U296" s="21" t="s">
        <v>507</v>
      </c>
      <c r="V296" s="21" t="s">
        <v>17</v>
      </c>
      <c r="W296" s="21" t="s">
        <v>439</v>
      </c>
      <c r="X296" s="21" t="s">
        <v>439</v>
      </c>
    </row>
    <row r="297" spans="1:24" ht="10.5" customHeight="1" x14ac:dyDescent="0.25">
      <c r="A297" s="20">
        <v>46032</v>
      </c>
      <c r="B297" s="21" t="str">
        <f t="shared" si="5"/>
        <v>10/01/2026NL300054</v>
      </c>
      <c r="C297" s="22" t="s">
        <v>527</v>
      </c>
      <c r="D297" s="22" t="s">
        <v>17</v>
      </c>
      <c r="E297" s="22" t="s">
        <v>431</v>
      </c>
      <c r="F297" s="21" t="s">
        <v>432</v>
      </c>
      <c r="G297" s="21" t="s">
        <v>433</v>
      </c>
      <c r="H297" s="21" t="s">
        <v>528</v>
      </c>
      <c r="I297" s="21" t="s">
        <v>216</v>
      </c>
      <c r="J297" s="21" t="s">
        <v>451</v>
      </c>
      <c r="K297" s="21" t="s">
        <v>442</v>
      </c>
      <c r="L297" s="23">
        <v>0.7</v>
      </c>
      <c r="M297" s="24">
        <v>38000</v>
      </c>
      <c r="N297" s="24">
        <v>0</v>
      </c>
      <c r="O297" s="25">
        <v>26600</v>
      </c>
      <c r="P297" s="25">
        <v>0</v>
      </c>
      <c r="Q297" s="24">
        <v>38000</v>
      </c>
      <c r="R297" s="21" t="s">
        <v>506</v>
      </c>
      <c r="S297" s="21" t="s">
        <v>437</v>
      </c>
      <c r="T297" s="21" t="s">
        <v>17</v>
      </c>
      <c r="U297" s="21" t="s">
        <v>507</v>
      </c>
      <c r="V297" s="21" t="s">
        <v>17</v>
      </c>
      <c r="W297" s="21" t="s">
        <v>439</v>
      </c>
      <c r="X297" s="21" t="s">
        <v>439</v>
      </c>
    </row>
    <row r="298" spans="1:24" ht="10.5" customHeight="1" x14ac:dyDescent="0.25">
      <c r="A298" s="20">
        <v>46032</v>
      </c>
      <c r="B298" s="21" t="str">
        <f t="shared" si="5"/>
        <v>10/01/2026NL300058</v>
      </c>
      <c r="C298" s="22" t="s">
        <v>527</v>
      </c>
      <c r="D298" s="22" t="s">
        <v>17</v>
      </c>
      <c r="E298" s="22" t="s">
        <v>431</v>
      </c>
      <c r="F298" s="21" t="s">
        <v>432</v>
      </c>
      <c r="G298" s="21" t="s">
        <v>433</v>
      </c>
      <c r="H298" s="21" t="s">
        <v>528</v>
      </c>
      <c r="I298" s="21" t="s">
        <v>228</v>
      </c>
      <c r="J298" s="21" t="s">
        <v>39</v>
      </c>
      <c r="K298" s="21" t="s">
        <v>442</v>
      </c>
      <c r="L298" s="23">
        <v>2.5</v>
      </c>
      <c r="M298" s="24">
        <v>55000</v>
      </c>
      <c r="N298" s="24">
        <v>0</v>
      </c>
      <c r="O298" s="25">
        <v>137500</v>
      </c>
      <c r="P298" s="25">
        <v>0</v>
      </c>
      <c r="Q298" s="24">
        <v>55000</v>
      </c>
      <c r="R298" s="21" t="s">
        <v>506</v>
      </c>
      <c r="S298" s="21" t="s">
        <v>437</v>
      </c>
      <c r="T298" s="21" t="s">
        <v>17</v>
      </c>
      <c r="U298" s="21" t="s">
        <v>507</v>
      </c>
      <c r="V298" s="21" t="s">
        <v>17</v>
      </c>
      <c r="W298" s="21" t="s">
        <v>439</v>
      </c>
      <c r="X298" s="21" t="s">
        <v>439</v>
      </c>
    </row>
    <row r="299" spans="1:24" ht="10.5" customHeight="1" x14ac:dyDescent="0.25">
      <c r="A299" s="20">
        <v>46032</v>
      </c>
      <c r="B299" s="21" t="str">
        <f t="shared" si="5"/>
        <v>10/01/2026NL300085</v>
      </c>
      <c r="C299" s="22" t="s">
        <v>527</v>
      </c>
      <c r="D299" s="22" t="s">
        <v>17</v>
      </c>
      <c r="E299" s="22" t="s">
        <v>431</v>
      </c>
      <c r="F299" s="21" t="s">
        <v>432</v>
      </c>
      <c r="G299" s="21" t="s">
        <v>433</v>
      </c>
      <c r="H299" s="21" t="s">
        <v>528</v>
      </c>
      <c r="I299" s="21" t="s">
        <v>263</v>
      </c>
      <c r="J299" s="21" t="s">
        <v>453</v>
      </c>
      <c r="K299" s="21" t="s">
        <v>442</v>
      </c>
      <c r="L299" s="23">
        <v>2.5</v>
      </c>
      <c r="M299" s="24">
        <v>45000</v>
      </c>
      <c r="N299" s="24">
        <v>0</v>
      </c>
      <c r="O299" s="25">
        <v>112500</v>
      </c>
      <c r="P299" s="25">
        <v>0</v>
      </c>
      <c r="Q299" s="24">
        <v>45000</v>
      </c>
      <c r="R299" s="21" t="s">
        <v>506</v>
      </c>
      <c r="S299" s="21" t="s">
        <v>437</v>
      </c>
      <c r="T299" s="21" t="s">
        <v>17</v>
      </c>
      <c r="U299" s="21" t="s">
        <v>507</v>
      </c>
      <c r="V299" s="21" t="s">
        <v>17</v>
      </c>
      <c r="W299" s="21" t="s">
        <v>439</v>
      </c>
      <c r="X299" s="21" t="s">
        <v>439</v>
      </c>
    </row>
    <row r="300" spans="1:24" ht="10.5" customHeight="1" x14ac:dyDescent="0.25">
      <c r="A300" s="20">
        <v>46032</v>
      </c>
      <c r="B300" s="21" t="str">
        <f t="shared" si="5"/>
        <v>10/01/2026NL300091</v>
      </c>
      <c r="C300" s="22" t="s">
        <v>527</v>
      </c>
      <c r="D300" s="22" t="s">
        <v>17</v>
      </c>
      <c r="E300" s="22" t="s">
        <v>431</v>
      </c>
      <c r="F300" s="21" t="s">
        <v>432</v>
      </c>
      <c r="G300" s="21" t="s">
        <v>433</v>
      </c>
      <c r="H300" s="21" t="s">
        <v>528</v>
      </c>
      <c r="I300" s="21" t="s">
        <v>256</v>
      </c>
      <c r="J300" s="21" t="s">
        <v>72</v>
      </c>
      <c r="K300" s="21" t="s">
        <v>442</v>
      </c>
      <c r="L300" s="23">
        <v>1.8</v>
      </c>
      <c r="M300" s="24">
        <v>47000</v>
      </c>
      <c r="N300" s="24">
        <v>0</v>
      </c>
      <c r="O300" s="25">
        <v>84600</v>
      </c>
      <c r="P300" s="25">
        <v>0</v>
      </c>
      <c r="Q300" s="24">
        <v>47000</v>
      </c>
      <c r="R300" s="21" t="s">
        <v>506</v>
      </c>
      <c r="S300" s="21" t="s">
        <v>437</v>
      </c>
      <c r="T300" s="21" t="s">
        <v>17</v>
      </c>
      <c r="U300" s="21" t="s">
        <v>507</v>
      </c>
      <c r="V300" s="21" t="s">
        <v>17</v>
      </c>
      <c r="W300" s="21" t="s">
        <v>439</v>
      </c>
      <c r="X300" s="21" t="s">
        <v>439</v>
      </c>
    </row>
    <row r="301" spans="1:24" ht="10.5" customHeight="1" x14ac:dyDescent="0.25">
      <c r="A301" s="20">
        <v>46032</v>
      </c>
      <c r="B301" s="21" t="str">
        <f t="shared" si="5"/>
        <v>10/01/2026NL300092</v>
      </c>
      <c r="C301" s="22" t="s">
        <v>527</v>
      </c>
      <c r="D301" s="22" t="s">
        <v>17</v>
      </c>
      <c r="E301" s="22" t="s">
        <v>431</v>
      </c>
      <c r="F301" s="21" t="s">
        <v>432</v>
      </c>
      <c r="G301" s="21" t="s">
        <v>433</v>
      </c>
      <c r="H301" s="21" t="s">
        <v>528</v>
      </c>
      <c r="I301" s="21" t="s">
        <v>329</v>
      </c>
      <c r="J301" s="21" t="s">
        <v>74</v>
      </c>
      <c r="K301" s="21" t="s">
        <v>442</v>
      </c>
      <c r="L301" s="23">
        <v>1.9</v>
      </c>
      <c r="M301" s="24">
        <v>90000</v>
      </c>
      <c r="N301" s="24">
        <v>0</v>
      </c>
      <c r="O301" s="25">
        <v>171000</v>
      </c>
      <c r="P301" s="25">
        <v>0</v>
      </c>
      <c r="Q301" s="24">
        <v>90000</v>
      </c>
      <c r="R301" s="21" t="s">
        <v>506</v>
      </c>
      <c r="S301" s="21" t="s">
        <v>437</v>
      </c>
      <c r="T301" s="21" t="s">
        <v>17</v>
      </c>
      <c r="U301" s="21" t="s">
        <v>507</v>
      </c>
      <c r="V301" s="21" t="s">
        <v>17</v>
      </c>
      <c r="W301" s="21" t="s">
        <v>439</v>
      </c>
      <c r="X301" s="21" t="s">
        <v>439</v>
      </c>
    </row>
    <row r="302" spans="1:24" ht="10.5" customHeight="1" x14ac:dyDescent="0.25">
      <c r="A302" s="20">
        <v>46032</v>
      </c>
      <c r="B302" s="21" t="str">
        <f t="shared" si="5"/>
        <v>10/01/2026NL300094</v>
      </c>
      <c r="C302" s="22" t="s">
        <v>527</v>
      </c>
      <c r="D302" s="22" t="s">
        <v>17</v>
      </c>
      <c r="E302" s="22" t="s">
        <v>431</v>
      </c>
      <c r="F302" s="21" t="s">
        <v>432</v>
      </c>
      <c r="G302" s="21" t="s">
        <v>433</v>
      </c>
      <c r="H302" s="21" t="s">
        <v>528</v>
      </c>
      <c r="I302" s="21" t="s">
        <v>257</v>
      </c>
      <c r="J302" s="21" t="s">
        <v>454</v>
      </c>
      <c r="K302" s="21" t="s">
        <v>442</v>
      </c>
      <c r="L302" s="23">
        <v>0.9</v>
      </c>
      <c r="M302" s="24">
        <v>80000</v>
      </c>
      <c r="N302" s="24">
        <v>0</v>
      </c>
      <c r="O302" s="25">
        <v>72000</v>
      </c>
      <c r="P302" s="25">
        <v>0</v>
      </c>
      <c r="Q302" s="24">
        <v>80000</v>
      </c>
      <c r="R302" s="21" t="s">
        <v>506</v>
      </c>
      <c r="S302" s="21" t="s">
        <v>437</v>
      </c>
      <c r="T302" s="21" t="s">
        <v>17</v>
      </c>
      <c r="U302" s="21" t="s">
        <v>507</v>
      </c>
      <c r="V302" s="21" t="s">
        <v>17</v>
      </c>
      <c r="W302" s="21" t="s">
        <v>439</v>
      </c>
      <c r="X302" s="21" t="s">
        <v>439</v>
      </c>
    </row>
    <row r="303" spans="1:24" ht="10.5" customHeight="1" x14ac:dyDescent="0.25">
      <c r="A303" s="20">
        <v>46032</v>
      </c>
      <c r="B303" s="21" t="str">
        <f t="shared" si="5"/>
        <v>10/01/2026NL300096</v>
      </c>
      <c r="C303" s="22" t="s">
        <v>527</v>
      </c>
      <c r="D303" s="22" t="s">
        <v>17</v>
      </c>
      <c r="E303" s="22" t="s">
        <v>431</v>
      </c>
      <c r="F303" s="21" t="s">
        <v>432</v>
      </c>
      <c r="G303" s="21" t="s">
        <v>433</v>
      </c>
      <c r="H303" s="21" t="s">
        <v>528</v>
      </c>
      <c r="I303" s="21" t="s">
        <v>258</v>
      </c>
      <c r="J303" s="21" t="s">
        <v>45</v>
      </c>
      <c r="K303" s="21" t="s">
        <v>442</v>
      </c>
      <c r="L303" s="23">
        <v>4.5</v>
      </c>
      <c r="M303" s="24">
        <v>45000</v>
      </c>
      <c r="N303" s="24">
        <v>0</v>
      </c>
      <c r="O303" s="25">
        <v>202500</v>
      </c>
      <c r="P303" s="25">
        <v>0</v>
      </c>
      <c r="Q303" s="24">
        <v>45000</v>
      </c>
      <c r="R303" s="21" t="s">
        <v>506</v>
      </c>
      <c r="S303" s="21" t="s">
        <v>437</v>
      </c>
      <c r="T303" s="21" t="s">
        <v>17</v>
      </c>
      <c r="U303" s="21" t="s">
        <v>507</v>
      </c>
      <c r="V303" s="21" t="s">
        <v>17</v>
      </c>
      <c r="W303" s="21" t="s">
        <v>439</v>
      </c>
      <c r="X303" s="21" t="s">
        <v>439</v>
      </c>
    </row>
    <row r="304" spans="1:24" ht="10.5" customHeight="1" x14ac:dyDescent="0.25">
      <c r="A304" s="20">
        <v>46032</v>
      </c>
      <c r="B304" s="21" t="str">
        <f t="shared" si="5"/>
        <v>10/01/2026NL300097</v>
      </c>
      <c r="C304" s="22" t="s">
        <v>527</v>
      </c>
      <c r="D304" s="22" t="s">
        <v>17</v>
      </c>
      <c r="E304" s="22" t="s">
        <v>431</v>
      </c>
      <c r="F304" s="21" t="s">
        <v>432</v>
      </c>
      <c r="G304" s="21" t="s">
        <v>433</v>
      </c>
      <c r="H304" s="21" t="s">
        <v>528</v>
      </c>
      <c r="I304" s="21" t="s">
        <v>331</v>
      </c>
      <c r="J304" s="21" t="s">
        <v>443</v>
      </c>
      <c r="K304" s="21" t="s">
        <v>442</v>
      </c>
      <c r="L304" s="23">
        <v>0.9</v>
      </c>
      <c r="M304" s="24">
        <v>90000</v>
      </c>
      <c r="N304" s="24">
        <v>0</v>
      </c>
      <c r="O304" s="25">
        <v>81000</v>
      </c>
      <c r="P304" s="25">
        <v>0</v>
      </c>
      <c r="Q304" s="24">
        <v>90000</v>
      </c>
      <c r="R304" s="21" t="s">
        <v>506</v>
      </c>
      <c r="S304" s="21" t="s">
        <v>437</v>
      </c>
      <c r="T304" s="21" t="s">
        <v>17</v>
      </c>
      <c r="U304" s="21" t="s">
        <v>507</v>
      </c>
      <c r="V304" s="21" t="s">
        <v>17</v>
      </c>
      <c r="W304" s="21" t="s">
        <v>439</v>
      </c>
      <c r="X304" s="21" t="s">
        <v>439</v>
      </c>
    </row>
    <row r="305" spans="1:24" ht="10.5" customHeight="1" x14ac:dyDescent="0.25">
      <c r="A305" s="20">
        <v>46032</v>
      </c>
      <c r="B305" s="21" t="str">
        <f t="shared" si="5"/>
        <v>10/01/2026NL300113</v>
      </c>
      <c r="C305" s="22" t="s">
        <v>527</v>
      </c>
      <c r="D305" s="22" t="s">
        <v>17</v>
      </c>
      <c r="E305" s="22" t="s">
        <v>431</v>
      </c>
      <c r="F305" s="21" t="s">
        <v>432</v>
      </c>
      <c r="G305" s="21" t="s">
        <v>433</v>
      </c>
      <c r="H305" s="21" t="s">
        <v>528</v>
      </c>
      <c r="I305" s="21" t="s">
        <v>271</v>
      </c>
      <c r="J305" s="21" t="s">
        <v>103</v>
      </c>
      <c r="K305" s="21" t="s">
        <v>442</v>
      </c>
      <c r="L305" s="23">
        <v>1</v>
      </c>
      <c r="M305" s="24">
        <v>145000</v>
      </c>
      <c r="N305" s="24">
        <v>0</v>
      </c>
      <c r="O305" s="25">
        <v>145000</v>
      </c>
      <c r="P305" s="25">
        <v>0</v>
      </c>
      <c r="Q305" s="24">
        <v>145000</v>
      </c>
      <c r="R305" s="21" t="s">
        <v>506</v>
      </c>
      <c r="S305" s="21" t="s">
        <v>437</v>
      </c>
      <c r="T305" s="21" t="s">
        <v>17</v>
      </c>
      <c r="U305" s="21" t="s">
        <v>507</v>
      </c>
      <c r="V305" s="21" t="s">
        <v>17</v>
      </c>
      <c r="W305" s="21" t="s">
        <v>439</v>
      </c>
      <c r="X305" s="21" t="s">
        <v>439</v>
      </c>
    </row>
    <row r="306" spans="1:24" ht="10.5" customHeight="1" x14ac:dyDescent="0.25">
      <c r="A306" s="20">
        <v>46032</v>
      </c>
      <c r="B306" s="21" t="str">
        <f t="shared" si="5"/>
        <v>10/01/2026NL300142</v>
      </c>
      <c r="C306" s="22" t="s">
        <v>527</v>
      </c>
      <c r="D306" s="22" t="s">
        <v>17</v>
      </c>
      <c r="E306" s="22" t="s">
        <v>431</v>
      </c>
      <c r="F306" s="21" t="s">
        <v>432</v>
      </c>
      <c r="G306" s="21" t="s">
        <v>433</v>
      </c>
      <c r="H306" s="21" t="s">
        <v>528</v>
      </c>
      <c r="I306" s="21" t="s">
        <v>317</v>
      </c>
      <c r="J306" s="21" t="s">
        <v>441</v>
      </c>
      <c r="K306" s="21" t="s">
        <v>442</v>
      </c>
      <c r="L306" s="23">
        <v>1.5</v>
      </c>
      <c r="M306" s="24">
        <v>50000</v>
      </c>
      <c r="N306" s="24">
        <v>0</v>
      </c>
      <c r="O306" s="25">
        <v>75000</v>
      </c>
      <c r="P306" s="25">
        <v>0</v>
      </c>
      <c r="Q306" s="24">
        <v>50000</v>
      </c>
      <c r="R306" s="21" t="s">
        <v>506</v>
      </c>
      <c r="S306" s="21" t="s">
        <v>437</v>
      </c>
      <c r="T306" s="21" t="s">
        <v>17</v>
      </c>
      <c r="U306" s="21" t="s">
        <v>507</v>
      </c>
      <c r="V306" s="21" t="s">
        <v>17</v>
      </c>
      <c r="W306" s="21" t="s">
        <v>439</v>
      </c>
      <c r="X306" s="21" t="s">
        <v>439</v>
      </c>
    </row>
    <row r="307" spans="1:24" ht="10.5" customHeight="1" x14ac:dyDescent="0.25">
      <c r="A307" s="20">
        <v>46032</v>
      </c>
      <c r="B307" s="21" t="str">
        <f t="shared" si="5"/>
        <v>10/01/2026NL300132</v>
      </c>
      <c r="C307" s="22" t="s">
        <v>527</v>
      </c>
      <c r="D307" s="22" t="s">
        <v>17</v>
      </c>
      <c r="E307" s="22" t="s">
        <v>431</v>
      </c>
      <c r="F307" s="21" t="s">
        <v>432</v>
      </c>
      <c r="G307" s="21" t="s">
        <v>433</v>
      </c>
      <c r="H307" s="21" t="s">
        <v>528</v>
      </c>
      <c r="I307" s="21" t="s">
        <v>285</v>
      </c>
      <c r="J307" s="21" t="s">
        <v>82</v>
      </c>
      <c r="K307" s="21" t="s">
        <v>442</v>
      </c>
      <c r="L307" s="23">
        <v>0.4</v>
      </c>
      <c r="M307" s="24">
        <v>12000</v>
      </c>
      <c r="N307" s="24">
        <v>0</v>
      </c>
      <c r="O307" s="25">
        <v>4800</v>
      </c>
      <c r="P307" s="25">
        <v>0</v>
      </c>
      <c r="Q307" s="24">
        <v>12000</v>
      </c>
      <c r="R307" s="21" t="s">
        <v>506</v>
      </c>
      <c r="S307" s="21" t="s">
        <v>437</v>
      </c>
      <c r="T307" s="21" t="s">
        <v>17</v>
      </c>
      <c r="U307" s="21" t="s">
        <v>507</v>
      </c>
      <c r="V307" s="21" t="s">
        <v>17</v>
      </c>
      <c r="W307" s="21" t="s">
        <v>439</v>
      </c>
      <c r="X307" s="21" t="s">
        <v>439</v>
      </c>
    </row>
    <row r="308" spans="1:24" ht="10.5" customHeight="1" x14ac:dyDescent="0.25">
      <c r="A308" s="20">
        <v>46032</v>
      </c>
      <c r="B308" s="21" t="str">
        <f t="shared" si="5"/>
        <v>10/01/2026NL300137</v>
      </c>
      <c r="C308" s="22" t="s">
        <v>527</v>
      </c>
      <c r="D308" s="22" t="s">
        <v>17</v>
      </c>
      <c r="E308" s="22" t="s">
        <v>431</v>
      </c>
      <c r="F308" s="21" t="s">
        <v>432</v>
      </c>
      <c r="G308" s="21" t="s">
        <v>433</v>
      </c>
      <c r="H308" s="21" t="s">
        <v>528</v>
      </c>
      <c r="I308" s="21" t="s">
        <v>196</v>
      </c>
      <c r="J308" s="21" t="s">
        <v>458</v>
      </c>
      <c r="K308" s="21" t="s">
        <v>442</v>
      </c>
      <c r="L308" s="23">
        <v>2</v>
      </c>
      <c r="M308" s="24">
        <v>52000</v>
      </c>
      <c r="N308" s="24">
        <v>0</v>
      </c>
      <c r="O308" s="25">
        <v>104000</v>
      </c>
      <c r="P308" s="25">
        <v>0</v>
      </c>
      <c r="Q308" s="24">
        <v>52000</v>
      </c>
      <c r="R308" s="21" t="s">
        <v>506</v>
      </c>
      <c r="S308" s="21" t="s">
        <v>437</v>
      </c>
      <c r="T308" s="21" t="s">
        <v>17</v>
      </c>
      <c r="U308" s="21" t="s">
        <v>507</v>
      </c>
      <c r="V308" s="21" t="s">
        <v>17</v>
      </c>
      <c r="W308" s="21" t="s">
        <v>439</v>
      </c>
      <c r="X308" s="21" t="s">
        <v>439</v>
      </c>
    </row>
    <row r="309" spans="1:24" ht="10.5" customHeight="1" x14ac:dyDescent="0.25">
      <c r="A309" s="20">
        <v>46032</v>
      </c>
      <c r="B309" s="21" t="str">
        <f t="shared" si="5"/>
        <v>10/01/2026NL300147</v>
      </c>
      <c r="C309" s="22" t="s">
        <v>527</v>
      </c>
      <c r="D309" s="22" t="s">
        <v>17</v>
      </c>
      <c r="E309" s="22" t="s">
        <v>431</v>
      </c>
      <c r="F309" s="21" t="s">
        <v>432</v>
      </c>
      <c r="G309" s="21" t="s">
        <v>433</v>
      </c>
      <c r="H309" s="21" t="s">
        <v>528</v>
      </c>
      <c r="I309" s="21" t="s">
        <v>300</v>
      </c>
      <c r="J309" s="21" t="s">
        <v>459</v>
      </c>
      <c r="K309" s="21" t="s">
        <v>442</v>
      </c>
      <c r="L309" s="23">
        <v>3</v>
      </c>
      <c r="M309" s="24">
        <v>62000</v>
      </c>
      <c r="N309" s="24">
        <v>0</v>
      </c>
      <c r="O309" s="25">
        <v>186000</v>
      </c>
      <c r="P309" s="25">
        <v>0</v>
      </c>
      <c r="Q309" s="24">
        <v>62000</v>
      </c>
      <c r="R309" s="21" t="s">
        <v>506</v>
      </c>
      <c r="S309" s="21" t="s">
        <v>437</v>
      </c>
      <c r="T309" s="21" t="s">
        <v>17</v>
      </c>
      <c r="U309" s="21" t="s">
        <v>507</v>
      </c>
      <c r="V309" s="21" t="s">
        <v>17</v>
      </c>
      <c r="W309" s="21" t="s">
        <v>439</v>
      </c>
      <c r="X309" s="21" t="s">
        <v>439</v>
      </c>
    </row>
    <row r="310" spans="1:24" ht="10.5" customHeight="1" x14ac:dyDescent="0.25">
      <c r="A310" s="20">
        <v>46032</v>
      </c>
      <c r="B310" s="21" t="str">
        <f t="shared" si="5"/>
        <v>10/01/2026NL300189</v>
      </c>
      <c r="C310" s="22" t="s">
        <v>527</v>
      </c>
      <c r="D310" s="22" t="s">
        <v>17</v>
      </c>
      <c r="E310" s="22" t="s">
        <v>431</v>
      </c>
      <c r="F310" s="21" t="s">
        <v>432</v>
      </c>
      <c r="G310" s="21" t="s">
        <v>433</v>
      </c>
      <c r="H310" s="21" t="s">
        <v>528</v>
      </c>
      <c r="I310" s="21" t="s">
        <v>378</v>
      </c>
      <c r="J310" s="21" t="s">
        <v>19</v>
      </c>
      <c r="K310" s="21" t="s">
        <v>442</v>
      </c>
      <c r="L310" s="23">
        <v>2</v>
      </c>
      <c r="M310" s="24">
        <v>15000</v>
      </c>
      <c r="N310" s="24">
        <v>0</v>
      </c>
      <c r="O310" s="25">
        <v>30000</v>
      </c>
      <c r="P310" s="25">
        <v>0</v>
      </c>
      <c r="Q310" s="24">
        <v>15000</v>
      </c>
      <c r="R310" s="21" t="s">
        <v>506</v>
      </c>
      <c r="S310" s="21" t="s">
        <v>437</v>
      </c>
      <c r="T310" s="21" t="s">
        <v>17</v>
      </c>
      <c r="U310" s="21" t="s">
        <v>507</v>
      </c>
      <c r="V310" s="21" t="s">
        <v>17</v>
      </c>
      <c r="W310" s="21" t="s">
        <v>439</v>
      </c>
      <c r="X310" s="21" t="s">
        <v>439</v>
      </c>
    </row>
    <row r="311" spans="1:24" ht="10.5" customHeight="1" x14ac:dyDescent="0.25">
      <c r="A311" s="20">
        <v>46032</v>
      </c>
      <c r="B311" s="21" t="str">
        <f t="shared" si="5"/>
        <v>10/01/2026NL300119</v>
      </c>
      <c r="C311" s="22" t="s">
        <v>527</v>
      </c>
      <c r="D311" s="22" t="s">
        <v>17</v>
      </c>
      <c r="E311" s="22" t="s">
        <v>431</v>
      </c>
      <c r="F311" s="21" t="s">
        <v>432</v>
      </c>
      <c r="G311" s="21" t="s">
        <v>433</v>
      </c>
      <c r="H311" s="21" t="s">
        <v>528</v>
      </c>
      <c r="I311" s="21" t="s">
        <v>310</v>
      </c>
      <c r="J311" s="21" t="s">
        <v>460</v>
      </c>
      <c r="K311" s="21" t="s">
        <v>442</v>
      </c>
      <c r="L311" s="23">
        <v>1</v>
      </c>
      <c r="M311" s="24">
        <v>21000</v>
      </c>
      <c r="N311" s="24">
        <v>0</v>
      </c>
      <c r="O311" s="25">
        <v>21000</v>
      </c>
      <c r="P311" s="25">
        <v>0</v>
      </c>
      <c r="Q311" s="24">
        <v>21000</v>
      </c>
      <c r="R311" s="21" t="s">
        <v>506</v>
      </c>
      <c r="S311" s="21" t="s">
        <v>437</v>
      </c>
      <c r="T311" s="21" t="s">
        <v>17</v>
      </c>
      <c r="U311" s="21" t="s">
        <v>507</v>
      </c>
      <c r="V311" s="21" t="s">
        <v>17</v>
      </c>
      <c r="W311" s="21" t="s">
        <v>439</v>
      </c>
      <c r="X311" s="21" t="s">
        <v>439</v>
      </c>
    </row>
    <row r="312" spans="1:24" ht="10.5" customHeight="1" x14ac:dyDescent="0.25">
      <c r="A312" s="20">
        <v>46033</v>
      </c>
      <c r="B312" s="21" t="str">
        <f t="shared" si="5"/>
        <v>11/01/2026NL300007</v>
      </c>
      <c r="C312" s="22" t="s">
        <v>529</v>
      </c>
      <c r="D312" s="22" t="s">
        <v>17</v>
      </c>
      <c r="E312" s="22" t="s">
        <v>431</v>
      </c>
      <c r="F312" s="21" t="s">
        <v>432</v>
      </c>
      <c r="G312" s="21" t="s">
        <v>433</v>
      </c>
      <c r="H312" s="21" t="s">
        <v>530</v>
      </c>
      <c r="I312" s="21" t="s">
        <v>309</v>
      </c>
      <c r="J312" s="21" t="s">
        <v>444</v>
      </c>
      <c r="K312" s="21" t="s">
        <v>442</v>
      </c>
      <c r="L312" s="23">
        <v>2</v>
      </c>
      <c r="M312" s="24">
        <v>30000</v>
      </c>
      <c r="N312" s="24">
        <v>0</v>
      </c>
      <c r="O312" s="25">
        <v>60000</v>
      </c>
      <c r="P312" s="25">
        <v>0</v>
      </c>
      <c r="Q312" s="24">
        <v>30000</v>
      </c>
      <c r="R312" s="21" t="s">
        <v>506</v>
      </c>
      <c r="S312" s="21" t="s">
        <v>437</v>
      </c>
      <c r="T312" s="21" t="s">
        <v>17</v>
      </c>
      <c r="U312" s="21" t="s">
        <v>507</v>
      </c>
      <c r="V312" s="21" t="s">
        <v>17</v>
      </c>
      <c r="W312" s="21" t="s">
        <v>439</v>
      </c>
      <c r="X312" s="21" t="s">
        <v>439</v>
      </c>
    </row>
    <row r="313" spans="1:24" ht="10.5" customHeight="1" x14ac:dyDescent="0.25">
      <c r="A313" s="20">
        <v>46033</v>
      </c>
      <c r="B313" s="21" t="str">
        <f t="shared" si="5"/>
        <v>11/01/2026NL300008</v>
      </c>
      <c r="C313" s="22" t="s">
        <v>529</v>
      </c>
      <c r="D313" s="22" t="s">
        <v>17</v>
      </c>
      <c r="E313" s="22" t="s">
        <v>431</v>
      </c>
      <c r="F313" s="21" t="s">
        <v>432</v>
      </c>
      <c r="G313" s="21" t="s">
        <v>433</v>
      </c>
      <c r="H313" s="21" t="s">
        <v>530</v>
      </c>
      <c r="I313" s="21" t="s">
        <v>320</v>
      </c>
      <c r="J313" s="21" t="s">
        <v>445</v>
      </c>
      <c r="K313" s="21" t="s">
        <v>442</v>
      </c>
      <c r="L313" s="23">
        <v>5</v>
      </c>
      <c r="M313" s="24">
        <v>40000</v>
      </c>
      <c r="N313" s="24">
        <v>0</v>
      </c>
      <c r="O313" s="25">
        <v>200000</v>
      </c>
      <c r="P313" s="25">
        <v>0</v>
      </c>
      <c r="Q313" s="24">
        <v>40000</v>
      </c>
      <c r="R313" s="21" t="s">
        <v>506</v>
      </c>
      <c r="S313" s="21" t="s">
        <v>437</v>
      </c>
      <c r="T313" s="21" t="s">
        <v>17</v>
      </c>
      <c r="U313" s="21" t="s">
        <v>507</v>
      </c>
      <c r="V313" s="21" t="s">
        <v>17</v>
      </c>
      <c r="W313" s="21" t="s">
        <v>439</v>
      </c>
      <c r="X313" s="21" t="s">
        <v>439</v>
      </c>
    </row>
    <row r="314" spans="1:24" ht="10.5" customHeight="1" x14ac:dyDescent="0.25">
      <c r="A314" s="20">
        <v>46033</v>
      </c>
      <c r="B314" s="21" t="str">
        <f t="shared" si="5"/>
        <v>11/01/2026NL300028</v>
      </c>
      <c r="C314" s="22" t="s">
        <v>529</v>
      </c>
      <c r="D314" s="22" t="s">
        <v>17</v>
      </c>
      <c r="E314" s="22" t="s">
        <v>431</v>
      </c>
      <c r="F314" s="21" t="s">
        <v>432</v>
      </c>
      <c r="G314" s="21" t="s">
        <v>433</v>
      </c>
      <c r="H314" s="21" t="s">
        <v>530</v>
      </c>
      <c r="I314" s="21" t="s">
        <v>325</v>
      </c>
      <c r="J314" s="21" t="s">
        <v>27</v>
      </c>
      <c r="K314" s="21" t="s">
        <v>442</v>
      </c>
      <c r="L314" s="23">
        <v>0.4</v>
      </c>
      <c r="M314" s="24">
        <v>75000</v>
      </c>
      <c r="N314" s="24">
        <v>0</v>
      </c>
      <c r="O314" s="25">
        <v>30000</v>
      </c>
      <c r="P314" s="25">
        <v>0</v>
      </c>
      <c r="Q314" s="24">
        <v>75000</v>
      </c>
      <c r="R314" s="21" t="s">
        <v>506</v>
      </c>
      <c r="S314" s="21" t="s">
        <v>437</v>
      </c>
      <c r="T314" s="21" t="s">
        <v>17</v>
      </c>
      <c r="U314" s="21" t="s">
        <v>507</v>
      </c>
      <c r="V314" s="21" t="s">
        <v>17</v>
      </c>
      <c r="W314" s="21" t="s">
        <v>439</v>
      </c>
      <c r="X314" s="21" t="s">
        <v>439</v>
      </c>
    </row>
    <row r="315" spans="1:24" ht="10.5" customHeight="1" x14ac:dyDescent="0.25">
      <c r="A315" s="20">
        <v>46033</v>
      </c>
      <c r="B315" s="21" t="str">
        <f t="shared" si="5"/>
        <v>11/01/2026NL300038</v>
      </c>
      <c r="C315" s="22" t="s">
        <v>529</v>
      </c>
      <c r="D315" s="22" t="s">
        <v>17</v>
      </c>
      <c r="E315" s="22" t="s">
        <v>431</v>
      </c>
      <c r="F315" s="21" t="s">
        <v>432</v>
      </c>
      <c r="G315" s="21" t="s">
        <v>433</v>
      </c>
      <c r="H315" s="21" t="s">
        <v>530</v>
      </c>
      <c r="I315" s="21" t="s">
        <v>217</v>
      </c>
      <c r="J315" s="21" t="s">
        <v>35</v>
      </c>
      <c r="K315" s="21" t="s">
        <v>442</v>
      </c>
      <c r="L315" s="23">
        <v>2</v>
      </c>
      <c r="M315" s="24">
        <v>32000</v>
      </c>
      <c r="N315" s="24">
        <v>0</v>
      </c>
      <c r="O315" s="25">
        <v>64000</v>
      </c>
      <c r="P315" s="25">
        <v>0</v>
      </c>
      <c r="Q315" s="24">
        <v>32000</v>
      </c>
      <c r="R315" s="21" t="s">
        <v>506</v>
      </c>
      <c r="S315" s="21" t="s">
        <v>437</v>
      </c>
      <c r="T315" s="21" t="s">
        <v>17</v>
      </c>
      <c r="U315" s="21" t="s">
        <v>507</v>
      </c>
      <c r="V315" s="21" t="s">
        <v>17</v>
      </c>
      <c r="W315" s="21" t="s">
        <v>439</v>
      </c>
      <c r="X315" s="21" t="s">
        <v>439</v>
      </c>
    </row>
    <row r="316" spans="1:24" ht="10.5" customHeight="1" x14ac:dyDescent="0.25">
      <c r="A316" s="20">
        <v>46033</v>
      </c>
      <c r="B316" s="21" t="str">
        <f t="shared" si="5"/>
        <v>11/01/2026NL300059</v>
      </c>
      <c r="C316" s="22" t="s">
        <v>529</v>
      </c>
      <c r="D316" s="22" t="s">
        <v>17</v>
      </c>
      <c r="E316" s="22" t="s">
        <v>431</v>
      </c>
      <c r="F316" s="21" t="s">
        <v>432</v>
      </c>
      <c r="G316" s="21" t="s">
        <v>433</v>
      </c>
      <c r="H316" s="21" t="s">
        <v>530</v>
      </c>
      <c r="I316" s="21" t="s">
        <v>229</v>
      </c>
      <c r="J316" s="21" t="s">
        <v>114</v>
      </c>
      <c r="K316" s="21" t="s">
        <v>442</v>
      </c>
      <c r="L316" s="23">
        <v>0.5</v>
      </c>
      <c r="M316" s="24">
        <v>13000</v>
      </c>
      <c r="N316" s="24">
        <v>0</v>
      </c>
      <c r="O316" s="25">
        <v>6500</v>
      </c>
      <c r="P316" s="25">
        <v>0</v>
      </c>
      <c r="Q316" s="24">
        <v>13000</v>
      </c>
      <c r="R316" s="21" t="s">
        <v>506</v>
      </c>
      <c r="S316" s="21" t="s">
        <v>437</v>
      </c>
      <c r="T316" s="21" t="s">
        <v>17</v>
      </c>
      <c r="U316" s="21" t="s">
        <v>507</v>
      </c>
      <c r="V316" s="21" t="s">
        <v>17</v>
      </c>
      <c r="W316" s="21" t="s">
        <v>439</v>
      </c>
      <c r="X316" s="21" t="s">
        <v>439</v>
      </c>
    </row>
    <row r="317" spans="1:24" ht="10.5" customHeight="1" x14ac:dyDescent="0.25">
      <c r="A317" s="20">
        <v>46033</v>
      </c>
      <c r="B317" s="21" t="str">
        <f t="shared" si="5"/>
        <v>11/01/2026NL300085</v>
      </c>
      <c r="C317" s="22" t="s">
        <v>529</v>
      </c>
      <c r="D317" s="22" t="s">
        <v>17</v>
      </c>
      <c r="E317" s="22" t="s">
        <v>431</v>
      </c>
      <c r="F317" s="21" t="s">
        <v>432</v>
      </c>
      <c r="G317" s="21" t="s">
        <v>433</v>
      </c>
      <c r="H317" s="21" t="s">
        <v>530</v>
      </c>
      <c r="I317" s="21" t="s">
        <v>263</v>
      </c>
      <c r="J317" s="21" t="s">
        <v>453</v>
      </c>
      <c r="K317" s="21" t="s">
        <v>442</v>
      </c>
      <c r="L317" s="23">
        <v>1.5</v>
      </c>
      <c r="M317" s="24">
        <v>45000</v>
      </c>
      <c r="N317" s="24">
        <v>0</v>
      </c>
      <c r="O317" s="25">
        <v>67500</v>
      </c>
      <c r="P317" s="25">
        <v>0</v>
      </c>
      <c r="Q317" s="24">
        <v>45000</v>
      </c>
      <c r="R317" s="21" t="s">
        <v>506</v>
      </c>
      <c r="S317" s="21" t="s">
        <v>437</v>
      </c>
      <c r="T317" s="21" t="s">
        <v>17</v>
      </c>
      <c r="U317" s="21" t="s">
        <v>507</v>
      </c>
      <c r="V317" s="21" t="s">
        <v>17</v>
      </c>
      <c r="W317" s="21" t="s">
        <v>439</v>
      </c>
      <c r="X317" s="21" t="s">
        <v>439</v>
      </c>
    </row>
    <row r="318" spans="1:24" ht="10.5" customHeight="1" x14ac:dyDescent="0.25">
      <c r="A318" s="20">
        <v>46033</v>
      </c>
      <c r="B318" s="21" t="str">
        <f t="shared" si="5"/>
        <v>11/01/2026NL300091</v>
      </c>
      <c r="C318" s="22" t="s">
        <v>529</v>
      </c>
      <c r="D318" s="22" t="s">
        <v>17</v>
      </c>
      <c r="E318" s="22" t="s">
        <v>431</v>
      </c>
      <c r="F318" s="21" t="s">
        <v>432</v>
      </c>
      <c r="G318" s="21" t="s">
        <v>433</v>
      </c>
      <c r="H318" s="21" t="s">
        <v>530</v>
      </c>
      <c r="I318" s="21" t="s">
        <v>256</v>
      </c>
      <c r="J318" s="21" t="s">
        <v>72</v>
      </c>
      <c r="K318" s="21" t="s">
        <v>442</v>
      </c>
      <c r="L318" s="23">
        <v>0.9</v>
      </c>
      <c r="M318" s="24">
        <v>47000</v>
      </c>
      <c r="N318" s="24">
        <v>0</v>
      </c>
      <c r="O318" s="25">
        <v>42300</v>
      </c>
      <c r="P318" s="25">
        <v>0</v>
      </c>
      <c r="Q318" s="24">
        <v>47000</v>
      </c>
      <c r="R318" s="21" t="s">
        <v>506</v>
      </c>
      <c r="S318" s="21" t="s">
        <v>437</v>
      </c>
      <c r="T318" s="21" t="s">
        <v>17</v>
      </c>
      <c r="U318" s="21" t="s">
        <v>507</v>
      </c>
      <c r="V318" s="21" t="s">
        <v>17</v>
      </c>
      <c r="W318" s="21" t="s">
        <v>439</v>
      </c>
      <c r="X318" s="21" t="s">
        <v>439</v>
      </c>
    </row>
    <row r="319" spans="1:24" ht="10.5" customHeight="1" x14ac:dyDescent="0.25">
      <c r="A319" s="20">
        <v>46033</v>
      </c>
      <c r="B319" s="21" t="str">
        <f t="shared" si="5"/>
        <v>11/01/2026NL300092</v>
      </c>
      <c r="C319" s="22" t="s">
        <v>529</v>
      </c>
      <c r="D319" s="22" t="s">
        <v>17</v>
      </c>
      <c r="E319" s="22" t="s">
        <v>431</v>
      </c>
      <c r="F319" s="21" t="s">
        <v>432</v>
      </c>
      <c r="G319" s="21" t="s">
        <v>433</v>
      </c>
      <c r="H319" s="21" t="s">
        <v>530</v>
      </c>
      <c r="I319" s="21" t="s">
        <v>329</v>
      </c>
      <c r="J319" s="21" t="s">
        <v>74</v>
      </c>
      <c r="K319" s="21" t="s">
        <v>442</v>
      </c>
      <c r="L319" s="23">
        <v>1.3</v>
      </c>
      <c r="M319" s="24">
        <v>90000</v>
      </c>
      <c r="N319" s="24">
        <v>0</v>
      </c>
      <c r="O319" s="25">
        <v>117000</v>
      </c>
      <c r="P319" s="25">
        <v>0</v>
      </c>
      <c r="Q319" s="24">
        <v>90000</v>
      </c>
      <c r="R319" s="21" t="s">
        <v>506</v>
      </c>
      <c r="S319" s="21" t="s">
        <v>437</v>
      </c>
      <c r="T319" s="21" t="s">
        <v>17</v>
      </c>
      <c r="U319" s="21" t="s">
        <v>507</v>
      </c>
      <c r="V319" s="21" t="s">
        <v>17</v>
      </c>
      <c r="W319" s="21" t="s">
        <v>439</v>
      </c>
      <c r="X319" s="21" t="s">
        <v>439</v>
      </c>
    </row>
    <row r="320" spans="1:24" ht="10.5" customHeight="1" x14ac:dyDescent="0.25">
      <c r="A320" s="20">
        <v>46033</v>
      </c>
      <c r="B320" s="21" t="str">
        <f t="shared" si="5"/>
        <v>11/01/2026NL300094</v>
      </c>
      <c r="C320" s="22" t="s">
        <v>529</v>
      </c>
      <c r="D320" s="22" t="s">
        <v>17</v>
      </c>
      <c r="E320" s="22" t="s">
        <v>431</v>
      </c>
      <c r="F320" s="21" t="s">
        <v>432</v>
      </c>
      <c r="G320" s="21" t="s">
        <v>433</v>
      </c>
      <c r="H320" s="21" t="s">
        <v>530</v>
      </c>
      <c r="I320" s="21" t="s">
        <v>257</v>
      </c>
      <c r="J320" s="21" t="s">
        <v>454</v>
      </c>
      <c r="K320" s="21" t="s">
        <v>442</v>
      </c>
      <c r="L320" s="23">
        <v>0.9</v>
      </c>
      <c r="M320" s="24">
        <v>80000</v>
      </c>
      <c r="N320" s="24">
        <v>0</v>
      </c>
      <c r="O320" s="25">
        <v>72000</v>
      </c>
      <c r="P320" s="25">
        <v>0</v>
      </c>
      <c r="Q320" s="24">
        <v>80000</v>
      </c>
      <c r="R320" s="21" t="s">
        <v>506</v>
      </c>
      <c r="S320" s="21" t="s">
        <v>437</v>
      </c>
      <c r="T320" s="21" t="s">
        <v>17</v>
      </c>
      <c r="U320" s="21" t="s">
        <v>507</v>
      </c>
      <c r="V320" s="21" t="s">
        <v>17</v>
      </c>
      <c r="W320" s="21" t="s">
        <v>439</v>
      </c>
      <c r="X320" s="21" t="s">
        <v>439</v>
      </c>
    </row>
    <row r="321" spans="1:24" ht="10.5" customHeight="1" x14ac:dyDescent="0.25">
      <c r="A321" s="20">
        <v>46033</v>
      </c>
      <c r="B321" s="21" t="str">
        <f t="shared" si="5"/>
        <v>11/01/2026NL300096</v>
      </c>
      <c r="C321" s="22" t="s">
        <v>529</v>
      </c>
      <c r="D321" s="22" t="s">
        <v>17</v>
      </c>
      <c r="E321" s="22" t="s">
        <v>431</v>
      </c>
      <c r="F321" s="21" t="s">
        <v>432</v>
      </c>
      <c r="G321" s="21" t="s">
        <v>433</v>
      </c>
      <c r="H321" s="21" t="s">
        <v>530</v>
      </c>
      <c r="I321" s="21" t="s">
        <v>258</v>
      </c>
      <c r="J321" s="21" t="s">
        <v>45</v>
      </c>
      <c r="K321" s="21" t="s">
        <v>442</v>
      </c>
      <c r="L321" s="23">
        <v>4.5</v>
      </c>
      <c r="M321" s="24">
        <v>45000</v>
      </c>
      <c r="N321" s="24">
        <v>0</v>
      </c>
      <c r="O321" s="25">
        <v>202500</v>
      </c>
      <c r="P321" s="25">
        <v>0</v>
      </c>
      <c r="Q321" s="24">
        <v>45000</v>
      </c>
      <c r="R321" s="21" t="s">
        <v>506</v>
      </c>
      <c r="S321" s="21" t="s">
        <v>437</v>
      </c>
      <c r="T321" s="21" t="s">
        <v>17</v>
      </c>
      <c r="U321" s="21" t="s">
        <v>507</v>
      </c>
      <c r="V321" s="21" t="s">
        <v>17</v>
      </c>
      <c r="W321" s="21" t="s">
        <v>439</v>
      </c>
      <c r="X321" s="21" t="s">
        <v>439</v>
      </c>
    </row>
    <row r="322" spans="1:24" ht="10.5" customHeight="1" x14ac:dyDescent="0.25">
      <c r="A322" s="20">
        <v>46033</v>
      </c>
      <c r="B322" s="21" t="str">
        <f t="shared" si="5"/>
        <v>11/01/2026NL300097</v>
      </c>
      <c r="C322" s="22" t="s">
        <v>529</v>
      </c>
      <c r="D322" s="22" t="s">
        <v>17</v>
      </c>
      <c r="E322" s="22" t="s">
        <v>431</v>
      </c>
      <c r="F322" s="21" t="s">
        <v>432</v>
      </c>
      <c r="G322" s="21" t="s">
        <v>433</v>
      </c>
      <c r="H322" s="21" t="s">
        <v>530</v>
      </c>
      <c r="I322" s="21" t="s">
        <v>331</v>
      </c>
      <c r="J322" s="21" t="s">
        <v>443</v>
      </c>
      <c r="K322" s="21" t="s">
        <v>442</v>
      </c>
      <c r="L322" s="23">
        <v>0.9</v>
      </c>
      <c r="M322" s="24">
        <v>90000</v>
      </c>
      <c r="N322" s="24">
        <v>0</v>
      </c>
      <c r="O322" s="25">
        <v>81000</v>
      </c>
      <c r="P322" s="25">
        <v>0</v>
      </c>
      <c r="Q322" s="24">
        <v>90000</v>
      </c>
      <c r="R322" s="21" t="s">
        <v>506</v>
      </c>
      <c r="S322" s="21" t="s">
        <v>437</v>
      </c>
      <c r="T322" s="21" t="s">
        <v>17</v>
      </c>
      <c r="U322" s="21" t="s">
        <v>507</v>
      </c>
      <c r="V322" s="21" t="s">
        <v>17</v>
      </c>
      <c r="W322" s="21" t="s">
        <v>439</v>
      </c>
      <c r="X322" s="21" t="s">
        <v>439</v>
      </c>
    </row>
    <row r="323" spans="1:24" ht="10.5" customHeight="1" x14ac:dyDescent="0.25">
      <c r="A323" s="20">
        <v>46033</v>
      </c>
      <c r="B323" s="21" t="str">
        <f t="shared" si="5"/>
        <v>11/01/2026NL300098</v>
      </c>
      <c r="C323" s="22" t="s">
        <v>529</v>
      </c>
      <c r="D323" s="22" t="s">
        <v>17</v>
      </c>
      <c r="E323" s="22" t="s">
        <v>431</v>
      </c>
      <c r="F323" s="21" t="s">
        <v>432</v>
      </c>
      <c r="G323" s="21" t="s">
        <v>433</v>
      </c>
      <c r="H323" s="21" t="s">
        <v>530</v>
      </c>
      <c r="I323" s="21" t="s">
        <v>330</v>
      </c>
      <c r="J323" s="21" t="s">
        <v>468</v>
      </c>
      <c r="K323" s="21" t="s">
        <v>442</v>
      </c>
      <c r="L323" s="23">
        <v>0.3</v>
      </c>
      <c r="M323" s="24">
        <v>95000</v>
      </c>
      <c r="N323" s="24">
        <v>0</v>
      </c>
      <c r="O323" s="25">
        <v>28500</v>
      </c>
      <c r="P323" s="25">
        <v>0</v>
      </c>
      <c r="Q323" s="24">
        <v>95000</v>
      </c>
      <c r="R323" s="21" t="s">
        <v>506</v>
      </c>
      <c r="S323" s="21" t="s">
        <v>437</v>
      </c>
      <c r="T323" s="21" t="s">
        <v>17</v>
      </c>
      <c r="U323" s="21" t="s">
        <v>507</v>
      </c>
      <c r="V323" s="21" t="s">
        <v>17</v>
      </c>
      <c r="W323" s="21" t="s">
        <v>439</v>
      </c>
      <c r="X323" s="21" t="s">
        <v>439</v>
      </c>
    </row>
    <row r="324" spans="1:24" ht="10.5" customHeight="1" x14ac:dyDescent="0.25">
      <c r="A324" s="20">
        <v>46033</v>
      </c>
      <c r="B324" s="21" t="str">
        <f t="shared" si="5"/>
        <v>11/01/2026NL300113</v>
      </c>
      <c r="C324" s="22" t="s">
        <v>529</v>
      </c>
      <c r="D324" s="22" t="s">
        <v>17</v>
      </c>
      <c r="E324" s="22" t="s">
        <v>431</v>
      </c>
      <c r="F324" s="21" t="s">
        <v>432</v>
      </c>
      <c r="G324" s="21" t="s">
        <v>433</v>
      </c>
      <c r="H324" s="21" t="s">
        <v>530</v>
      </c>
      <c r="I324" s="21" t="s">
        <v>271</v>
      </c>
      <c r="J324" s="21" t="s">
        <v>103</v>
      </c>
      <c r="K324" s="21" t="s">
        <v>442</v>
      </c>
      <c r="L324" s="23">
        <v>0.5</v>
      </c>
      <c r="M324" s="24">
        <v>145000</v>
      </c>
      <c r="N324" s="24">
        <v>0</v>
      </c>
      <c r="O324" s="25">
        <v>72500</v>
      </c>
      <c r="P324" s="25">
        <v>0</v>
      </c>
      <c r="Q324" s="24">
        <v>145000</v>
      </c>
      <c r="R324" s="21" t="s">
        <v>506</v>
      </c>
      <c r="S324" s="21" t="s">
        <v>437</v>
      </c>
      <c r="T324" s="21" t="s">
        <v>17</v>
      </c>
      <c r="U324" s="21" t="s">
        <v>507</v>
      </c>
      <c r="V324" s="21" t="s">
        <v>17</v>
      </c>
      <c r="W324" s="21" t="s">
        <v>439</v>
      </c>
      <c r="X324" s="21" t="s">
        <v>439</v>
      </c>
    </row>
    <row r="325" spans="1:24" ht="10.5" customHeight="1" x14ac:dyDescent="0.25">
      <c r="A325" s="20">
        <v>46033</v>
      </c>
      <c r="B325" s="21" t="str">
        <f t="shared" si="5"/>
        <v>11/01/2026NL300142</v>
      </c>
      <c r="C325" s="22" t="s">
        <v>529</v>
      </c>
      <c r="D325" s="22" t="s">
        <v>17</v>
      </c>
      <c r="E325" s="22" t="s">
        <v>431</v>
      </c>
      <c r="F325" s="21" t="s">
        <v>432</v>
      </c>
      <c r="G325" s="21" t="s">
        <v>433</v>
      </c>
      <c r="H325" s="21" t="s">
        <v>530</v>
      </c>
      <c r="I325" s="21" t="s">
        <v>317</v>
      </c>
      <c r="J325" s="21" t="s">
        <v>441</v>
      </c>
      <c r="K325" s="21" t="s">
        <v>442</v>
      </c>
      <c r="L325" s="23">
        <v>1.5</v>
      </c>
      <c r="M325" s="24">
        <v>50000</v>
      </c>
      <c r="N325" s="24">
        <v>0</v>
      </c>
      <c r="O325" s="25">
        <v>75000</v>
      </c>
      <c r="P325" s="25">
        <v>0</v>
      </c>
      <c r="Q325" s="24">
        <v>50000</v>
      </c>
      <c r="R325" s="21" t="s">
        <v>506</v>
      </c>
      <c r="S325" s="21" t="s">
        <v>437</v>
      </c>
      <c r="T325" s="21" t="s">
        <v>17</v>
      </c>
      <c r="U325" s="21" t="s">
        <v>507</v>
      </c>
      <c r="V325" s="21" t="s">
        <v>17</v>
      </c>
      <c r="W325" s="21" t="s">
        <v>439</v>
      </c>
      <c r="X325" s="21" t="s">
        <v>439</v>
      </c>
    </row>
    <row r="326" spans="1:24" ht="10.5" customHeight="1" x14ac:dyDescent="0.25">
      <c r="A326" s="20">
        <v>46033</v>
      </c>
      <c r="B326" s="21" t="str">
        <f t="shared" si="5"/>
        <v>11/01/2026NL300137</v>
      </c>
      <c r="C326" s="22" t="s">
        <v>529</v>
      </c>
      <c r="D326" s="22" t="s">
        <v>17</v>
      </c>
      <c r="E326" s="22" t="s">
        <v>431</v>
      </c>
      <c r="F326" s="21" t="s">
        <v>432</v>
      </c>
      <c r="G326" s="21" t="s">
        <v>433</v>
      </c>
      <c r="H326" s="21" t="s">
        <v>530</v>
      </c>
      <c r="I326" s="21" t="s">
        <v>196</v>
      </c>
      <c r="J326" s="21" t="s">
        <v>458</v>
      </c>
      <c r="K326" s="21" t="s">
        <v>442</v>
      </c>
      <c r="L326" s="23">
        <v>3</v>
      </c>
      <c r="M326" s="24">
        <v>52000</v>
      </c>
      <c r="N326" s="24">
        <v>0</v>
      </c>
      <c r="O326" s="25">
        <v>156000</v>
      </c>
      <c r="P326" s="25">
        <v>0</v>
      </c>
      <c r="Q326" s="24">
        <v>52000</v>
      </c>
      <c r="R326" s="21" t="s">
        <v>506</v>
      </c>
      <c r="S326" s="21" t="s">
        <v>437</v>
      </c>
      <c r="T326" s="21" t="s">
        <v>17</v>
      </c>
      <c r="U326" s="21" t="s">
        <v>507</v>
      </c>
      <c r="V326" s="21" t="s">
        <v>17</v>
      </c>
      <c r="W326" s="21" t="s">
        <v>439</v>
      </c>
      <c r="X326" s="21" t="s">
        <v>439</v>
      </c>
    </row>
    <row r="327" spans="1:24" ht="10.5" customHeight="1" x14ac:dyDescent="0.25">
      <c r="A327" s="20">
        <v>46033</v>
      </c>
      <c r="B327" s="21" t="str">
        <f t="shared" si="5"/>
        <v>11/01/2026NL300147</v>
      </c>
      <c r="C327" s="22" t="s">
        <v>529</v>
      </c>
      <c r="D327" s="22" t="s">
        <v>17</v>
      </c>
      <c r="E327" s="22" t="s">
        <v>431</v>
      </c>
      <c r="F327" s="21" t="s">
        <v>432</v>
      </c>
      <c r="G327" s="21" t="s">
        <v>433</v>
      </c>
      <c r="H327" s="21" t="s">
        <v>530</v>
      </c>
      <c r="I327" s="21" t="s">
        <v>300</v>
      </c>
      <c r="J327" s="21" t="s">
        <v>459</v>
      </c>
      <c r="K327" s="21" t="s">
        <v>442</v>
      </c>
      <c r="L327" s="23">
        <v>3</v>
      </c>
      <c r="M327" s="24">
        <v>62000</v>
      </c>
      <c r="N327" s="24">
        <v>0</v>
      </c>
      <c r="O327" s="25">
        <v>186000</v>
      </c>
      <c r="P327" s="25">
        <v>0</v>
      </c>
      <c r="Q327" s="24">
        <v>62000</v>
      </c>
      <c r="R327" s="21" t="s">
        <v>506</v>
      </c>
      <c r="S327" s="21" t="s">
        <v>437</v>
      </c>
      <c r="T327" s="21" t="s">
        <v>17</v>
      </c>
      <c r="U327" s="21" t="s">
        <v>507</v>
      </c>
      <c r="V327" s="21" t="s">
        <v>17</v>
      </c>
      <c r="W327" s="21" t="s">
        <v>439</v>
      </c>
      <c r="X327" s="21" t="s">
        <v>439</v>
      </c>
    </row>
    <row r="328" spans="1:24" ht="10.5" customHeight="1" x14ac:dyDescent="0.25">
      <c r="A328" s="20">
        <v>46033</v>
      </c>
      <c r="B328" s="21" t="str">
        <f t="shared" si="5"/>
        <v>11/01/2026NL300189</v>
      </c>
      <c r="C328" s="22" t="s">
        <v>529</v>
      </c>
      <c r="D328" s="22" t="s">
        <v>17</v>
      </c>
      <c r="E328" s="22" t="s">
        <v>431</v>
      </c>
      <c r="F328" s="21" t="s">
        <v>432</v>
      </c>
      <c r="G328" s="21" t="s">
        <v>433</v>
      </c>
      <c r="H328" s="21" t="s">
        <v>530</v>
      </c>
      <c r="I328" s="21" t="s">
        <v>378</v>
      </c>
      <c r="J328" s="21" t="s">
        <v>19</v>
      </c>
      <c r="K328" s="21" t="s">
        <v>442</v>
      </c>
      <c r="L328" s="23">
        <v>1</v>
      </c>
      <c r="M328" s="24">
        <v>15000</v>
      </c>
      <c r="N328" s="24">
        <v>0</v>
      </c>
      <c r="O328" s="25">
        <v>15000</v>
      </c>
      <c r="P328" s="25">
        <v>0</v>
      </c>
      <c r="Q328" s="24">
        <v>15000</v>
      </c>
      <c r="R328" s="21" t="s">
        <v>506</v>
      </c>
      <c r="S328" s="21" t="s">
        <v>437</v>
      </c>
      <c r="T328" s="21" t="s">
        <v>17</v>
      </c>
      <c r="U328" s="21" t="s">
        <v>507</v>
      </c>
      <c r="V328" s="21" t="s">
        <v>17</v>
      </c>
      <c r="W328" s="21" t="s">
        <v>439</v>
      </c>
      <c r="X328" s="21" t="s">
        <v>439</v>
      </c>
    </row>
    <row r="329" spans="1:24" ht="10.5" customHeight="1" x14ac:dyDescent="0.25">
      <c r="A329" s="20">
        <v>46033</v>
      </c>
      <c r="B329" s="21" t="str">
        <f t="shared" si="5"/>
        <v>11/01/2026NL300119</v>
      </c>
      <c r="C329" s="22" t="s">
        <v>529</v>
      </c>
      <c r="D329" s="22" t="s">
        <v>17</v>
      </c>
      <c r="E329" s="22" t="s">
        <v>431</v>
      </c>
      <c r="F329" s="21" t="s">
        <v>432</v>
      </c>
      <c r="G329" s="21" t="s">
        <v>433</v>
      </c>
      <c r="H329" s="21" t="s">
        <v>530</v>
      </c>
      <c r="I329" s="21" t="s">
        <v>310</v>
      </c>
      <c r="J329" s="21" t="s">
        <v>460</v>
      </c>
      <c r="K329" s="21" t="s">
        <v>442</v>
      </c>
      <c r="L329" s="23">
        <v>1</v>
      </c>
      <c r="M329" s="24">
        <v>21000</v>
      </c>
      <c r="N329" s="24">
        <v>0</v>
      </c>
      <c r="O329" s="25">
        <v>21000</v>
      </c>
      <c r="P329" s="25">
        <v>0</v>
      </c>
      <c r="Q329" s="24">
        <v>21000</v>
      </c>
      <c r="R329" s="21" t="s">
        <v>506</v>
      </c>
      <c r="S329" s="21" t="s">
        <v>437</v>
      </c>
      <c r="T329" s="21" t="s">
        <v>17</v>
      </c>
      <c r="U329" s="21" t="s">
        <v>507</v>
      </c>
      <c r="V329" s="21" t="s">
        <v>17</v>
      </c>
      <c r="W329" s="21" t="s">
        <v>439</v>
      </c>
      <c r="X329" s="21" t="s">
        <v>439</v>
      </c>
    </row>
    <row r="330" spans="1:24" ht="10.5" customHeight="1" x14ac:dyDescent="0.25">
      <c r="A330" s="20">
        <v>46033</v>
      </c>
      <c r="B330" s="21" t="str">
        <f t="shared" si="5"/>
        <v>11/01/2026NL300061</v>
      </c>
      <c r="C330" s="22" t="s">
        <v>529</v>
      </c>
      <c r="D330" s="22" t="s">
        <v>17</v>
      </c>
      <c r="E330" s="22" t="s">
        <v>431</v>
      </c>
      <c r="F330" s="21" t="s">
        <v>432</v>
      </c>
      <c r="G330" s="21" t="s">
        <v>433</v>
      </c>
      <c r="H330" s="21" t="s">
        <v>530</v>
      </c>
      <c r="I330" s="21" t="s">
        <v>352</v>
      </c>
      <c r="J330" s="21" t="s">
        <v>477</v>
      </c>
      <c r="K330" s="21" t="s">
        <v>442</v>
      </c>
      <c r="L330" s="23">
        <v>0.4</v>
      </c>
      <c r="M330" s="24">
        <v>38000</v>
      </c>
      <c r="N330" s="24">
        <v>0</v>
      </c>
      <c r="O330" s="25">
        <v>15200</v>
      </c>
      <c r="P330" s="25">
        <v>0</v>
      </c>
      <c r="Q330" s="24">
        <v>38000</v>
      </c>
      <c r="R330" s="21" t="s">
        <v>506</v>
      </c>
      <c r="S330" s="21" t="s">
        <v>437</v>
      </c>
      <c r="T330" s="21" t="s">
        <v>17</v>
      </c>
      <c r="U330" s="21" t="s">
        <v>507</v>
      </c>
      <c r="V330" s="21" t="s">
        <v>17</v>
      </c>
      <c r="W330" s="21" t="s">
        <v>439</v>
      </c>
      <c r="X330" s="21" t="s">
        <v>439</v>
      </c>
    </row>
    <row r="331" spans="1:24" ht="10.5" customHeight="1" x14ac:dyDescent="0.25">
      <c r="A331" s="20">
        <v>46033</v>
      </c>
      <c r="B331" s="21" t="str">
        <f t="shared" si="5"/>
        <v>11/01/2026NL300088</v>
      </c>
      <c r="C331" s="22" t="s">
        <v>529</v>
      </c>
      <c r="D331" s="22" t="s">
        <v>17</v>
      </c>
      <c r="E331" s="22" t="s">
        <v>431</v>
      </c>
      <c r="F331" s="21" t="s">
        <v>432</v>
      </c>
      <c r="G331" s="21" t="s">
        <v>433</v>
      </c>
      <c r="H331" s="21" t="s">
        <v>530</v>
      </c>
      <c r="I331" s="21" t="s">
        <v>254</v>
      </c>
      <c r="J331" s="21" t="s">
        <v>15</v>
      </c>
      <c r="K331" s="21" t="s">
        <v>442</v>
      </c>
      <c r="L331" s="23">
        <v>2</v>
      </c>
      <c r="M331" s="24">
        <v>27000</v>
      </c>
      <c r="N331" s="24">
        <v>0</v>
      </c>
      <c r="O331" s="25">
        <v>54000</v>
      </c>
      <c r="P331" s="25">
        <v>0</v>
      </c>
      <c r="Q331" s="24">
        <v>27000</v>
      </c>
      <c r="R331" s="21" t="s">
        <v>506</v>
      </c>
      <c r="S331" s="21" t="s">
        <v>437</v>
      </c>
      <c r="T331" s="21" t="s">
        <v>17</v>
      </c>
      <c r="U331" s="21" t="s">
        <v>507</v>
      </c>
      <c r="V331" s="21" t="s">
        <v>17</v>
      </c>
      <c r="W331" s="21" t="s">
        <v>439</v>
      </c>
      <c r="X331" s="21" t="s">
        <v>439</v>
      </c>
    </row>
    <row r="332" spans="1:24" ht="10.5" customHeight="1" x14ac:dyDescent="0.25">
      <c r="A332" s="20">
        <v>46033</v>
      </c>
      <c r="B332" s="21" t="str">
        <f t="shared" si="5"/>
        <v>11/01/2026NL300126</v>
      </c>
      <c r="C332" s="22" t="s">
        <v>529</v>
      </c>
      <c r="D332" s="22" t="s">
        <v>17</v>
      </c>
      <c r="E332" s="22" t="s">
        <v>431</v>
      </c>
      <c r="F332" s="21" t="s">
        <v>432</v>
      </c>
      <c r="G332" s="21" t="s">
        <v>433</v>
      </c>
      <c r="H332" s="21" t="s">
        <v>530</v>
      </c>
      <c r="I332" s="21" t="s">
        <v>264</v>
      </c>
      <c r="J332" s="21" t="s">
        <v>457</v>
      </c>
      <c r="K332" s="21" t="s">
        <v>442</v>
      </c>
      <c r="L332" s="23">
        <v>0.4</v>
      </c>
      <c r="M332" s="24">
        <v>70000</v>
      </c>
      <c r="N332" s="24">
        <v>0</v>
      </c>
      <c r="O332" s="25">
        <v>28000</v>
      </c>
      <c r="P332" s="25">
        <v>0</v>
      </c>
      <c r="Q332" s="24">
        <v>70000</v>
      </c>
      <c r="R332" s="21" t="s">
        <v>506</v>
      </c>
      <c r="S332" s="21" t="s">
        <v>437</v>
      </c>
      <c r="T332" s="21" t="s">
        <v>17</v>
      </c>
      <c r="U332" s="21" t="s">
        <v>507</v>
      </c>
      <c r="V332" s="21" t="s">
        <v>17</v>
      </c>
      <c r="W332" s="21" t="s">
        <v>439</v>
      </c>
      <c r="X332" s="21" t="s">
        <v>439</v>
      </c>
    </row>
    <row r="333" spans="1:24" ht="10.5" customHeight="1" x14ac:dyDescent="0.25">
      <c r="A333" s="20">
        <v>46033</v>
      </c>
      <c r="B333" s="21" t="str">
        <f t="shared" si="5"/>
        <v>11/01/2026NL300107</v>
      </c>
      <c r="C333" s="22" t="s">
        <v>529</v>
      </c>
      <c r="D333" s="22" t="s">
        <v>17</v>
      </c>
      <c r="E333" s="22" t="s">
        <v>431</v>
      </c>
      <c r="F333" s="21" t="s">
        <v>432</v>
      </c>
      <c r="G333" s="21" t="s">
        <v>433</v>
      </c>
      <c r="H333" s="21" t="s">
        <v>530</v>
      </c>
      <c r="I333" s="21" t="s">
        <v>193</v>
      </c>
      <c r="J333" s="21" t="s">
        <v>455</v>
      </c>
      <c r="K333" s="21" t="s">
        <v>450</v>
      </c>
      <c r="L333" s="23">
        <v>10</v>
      </c>
      <c r="M333" s="24">
        <v>8500</v>
      </c>
      <c r="N333" s="24">
        <v>0</v>
      </c>
      <c r="O333" s="25">
        <v>85000</v>
      </c>
      <c r="P333" s="25">
        <v>0</v>
      </c>
      <c r="Q333" s="24">
        <v>8500</v>
      </c>
      <c r="R333" s="21" t="s">
        <v>506</v>
      </c>
      <c r="S333" s="21" t="s">
        <v>437</v>
      </c>
      <c r="T333" s="21" t="s">
        <v>17</v>
      </c>
      <c r="U333" s="21" t="s">
        <v>507</v>
      </c>
      <c r="V333" s="21" t="s">
        <v>17</v>
      </c>
      <c r="W333" s="21" t="s">
        <v>439</v>
      </c>
      <c r="X333" s="21" t="s">
        <v>439</v>
      </c>
    </row>
    <row r="334" spans="1:24" ht="10.5" customHeight="1" x14ac:dyDescent="0.25">
      <c r="A334" s="20">
        <v>46033</v>
      </c>
      <c r="B334" s="21" t="str">
        <f t="shared" si="5"/>
        <v>11/01/2026NL300055</v>
      </c>
      <c r="C334" s="22" t="s">
        <v>529</v>
      </c>
      <c r="D334" s="22" t="s">
        <v>17</v>
      </c>
      <c r="E334" s="22" t="s">
        <v>431</v>
      </c>
      <c r="F334" s="21" t="s">
        <v>432</v>
      </c>
      <c r="G334" s="21" t="s">
        <v>433</v>
      </c>
      <c r="H334" s="21" t="s">
        <v>530</v>
      </c>
      <c r="I334" s="21" t="s">
        <v>230</v>
      </c>
      <c r="J334" s="21" t="s">
        <v>452</v>
      </c>
      <c r="K334" s="21" t="s">
        <v>442</v>
      </c>
      <c r="L334" s="23">
        <v>0.2</v>
      </c>
      <c r="M334" s="24">
        <v>80000</v>
      </c>
      <c r="N334" s="24">
        <v>0</v>
      </c>
      <c r="O334" s="25">
        <v>16000</v>
      </c>
      <c r="P334" s="25">
        <v>0</v>
      </c>
      <c r="Q334" s="24">
        <v>80000</v>
      </c>
      <c r="R334" s="21" t="s">
        <v>506</v>
      </c>
      <c r="S334" s="21" t="s">
        <v>437</v>
      </c>
      <c r="T334" s="21" t="s">
        <v>17</v>
      </c>
      <c r="U334" s="21" t="s">
        <v>507</v>
      </c>
      <c r="V334" s="21" t="s">
        <v>17</v>
      </c>
      <c r="W334" s="21" t="s">
        <v>439</v>
      </c>
      <c r="X334" s="21" t="s">
        <v>439</v>
      </c>
    </row>
    <row r="335" spans="1:24" ht="10.5" customHeight="1" x14ac:dyDescent="0.25">
      <c r="A335" s="20">
        <v>46033</v>
      </c>
      <c r="B335" s="21" t="str">
        <f t="shared" si="5"/>
        <v>11/01/2026NL300090</v>
      </c>
      <c r="C335" s="22" t="s">
        <v>529</v>
      </c>
      <c r="D335" s="22" t="s">
        <v>17</v>
      </c>
      <c r="E335" s="22" t="s">
        <v>431</v>
      </c>
      <c r="F335" s="21" t="s">
        <v>432</v>
      </c>
      <c r="G335" s="21" t="s">
        <v>433</v>
      </c>
      <c r="H335" s="21" t="s">
        <v>530</v>
      </c>
      <c r="I335" s="21" t="s">
        <v>255</v>
      </c>
      <c r="J335" s="21" t="s">
        <v>70</v>
      </c>
      <c r="K335" s="21" t="s">
        <v>442</v>
      </c>
      <c r="L335" s="23">
        <v>2</v>
      </c>
      <c r="M335" s="24">
        <v>145000</v>
      </c>
      <c r="N335" s="24">
        <v>0</v>
      </c>
      <c r="O335" s="25">
        <v>290000</v>
      </c>
      <c r="P335" s="25">
        <v>0</v>
      </c>
      <c r="Q335" s="24">
        <v>145000</v>
      </c>
      <c r="R335" s="21" t="s">
        <v>506</v>
      </c>
      <c r="S335" s="21" t="s">
        <v>437</v>
      </c>
      <c r="T335" s="21" t="s">
        <v>17</v>
      </c>
      <c r="U335" s="21" t="s">
        <v>507</v>
      </c>
      <c r="V335" s="21" t="s">
        <v>17</v>
      </c>
      <c r="W335" s="21" t="s">
        <v>439</v>
      </c>
      <c r="X335" s="21" t="s">
        <v>439</v>
      </c>
    </row>
    <row r="336" spans="1:24" ht="10.5" customHeight="1" x14ac:dyDescent="0.25">
      <c r="A336" s="20">
        <v>46033</v>
      </c>
      <c r="B336" s="21" t="str">
        <f t="shared" si="5"/>
        <v>11/01/2026NL300116</v>
      </c>
      <c r="C336" s="22" t="s">
        <v>529</v>
      </c>
      <c r="D336" s="22" t="s">
        <v>17</v>
      </c>
      <c r="E336" s="22" t="s">
        <v>431</v>
      </c>
      <c r="F336" s="21" t="s">
        <v>432</v>
      </c>
      <c r="G336" s="21" t="s">
        <v>433</v>
      </c>
      <c r="H336" s="21" t="s">
        <v>530</v>
      </c>
      <c r="I336" s="21" t="s">
        <v>315</v>
      </c>
      <c r="J336" s="21" t="s">
        <v>456</v>
      </c>
      <c r="K336" s="21" t="s">
        <v>442</v>
      </c>
      <c r="L336" s="23">
        <v>0.4</v>
      </c>
      <c r="M336" s="24">
        <v>148000</v>
      </c>
      <c r="N336" s="24">
        <v>0</v>
      </c>
      <c r="O336" s="25">
        <v>59200</v>
      </c>
      <c r="P336" s="25">
        <v>0</v>
      </c>
      <c r="Q336" s="24">
        <v>148000</v>
      </c>
      <c r="R336" s="21" t="s">
        <v>506</v>
      </c>
      <c r="S336" s="21" t="s">
        <v>437</v>
      </c>
      <c r="T336" s="21" t="s">
        <v>17</v>
      </c>
      <c r="U336" s="21" t="s">
        <v>507</v>
      </c>
      <c r="V336" s="21" t="s">
        <v>17</v>
      </c>
      <c r="W336" s="21" t="s">
        <v>439</v>
      </c>
      <c r="X336" s="21" t="s">
        <v>439</v>
      </c>
    </row>
    <row r="337" spans="1:24" ht="10.5" customHeight="1" x14ac:dyDescent="0.25">
      <c r="A337" s="20">
        <v>46033</v>
      </c>
      <c r="B337" s="21" t="str">
        <f t="shared" si="5"/>
        <v>11/01/2026NL300025</v>
      </c>
      <c r="C337" s="22" t="s">
        <v>529</v>
      </c>
      <c r="D337" s="22" t="s">
        <v>17</v>
      </c>
      <c r="E337" s="22" t="s">
        <v>431</v>
      </c>
      <c r="F337" s="21" t="s">
        <v>432</v>
      </c>
      <c r="G337" s="21" t="s">
        <v>433</v>
      </c>
      <c r="H337" s="21" t="s">
        <v>530</v>
      </c>
      <c r="I337" s="21" t="s">
        <v>211</v>
      </c>
      <c r="J337" s="21" t="s">
        <v>447</v>
      </c>
      <c r="K337" s="21" t="s">
        <v>442</v>
      </c>
      <c r="L337" s="23">
        <v>1</v>
      </c>
      <c r="M337" s="24">
        <v>44000</v>
      </c>
      <c r="N337" s="24">
        <v>0</v>
      </c>
      <c r="O337" s="25">
        <v>44000</v>
      </c>
      <c r="P337" s="25">
        <v>0</v>
      </c>
      <c r="Q337" s="24">
        <v>44000</v>
      </c>
      <c r="R337" s="21" t="s">
        <v>506</v>
      </c>
      <c r="S337" s="21" t="s">
        <v>437</v>
      </c>
      <c r="T337" s="21" t="s">
        <v>17</v>
      </c>
      <c r="U337" s="21" t="s">
        <v>507</v>
      </c>
      <c r="V337" s="21" t="s">
        <v>17</v>
      </c>
      <c r="W337" s="21" t="s">
        <v>439</v>
      </c>
      <c r="X337" s="21" t="s">
        <v>439</v>
      </c>
    </row>
    <row r="338" spans="1:24" ht="10.5" customHeight="1" x14ac:dyDescent="0.25">
      <c r="A338" s="20">
        <v>46033</v>
      </c>
      <c r="B338" s="21" t="str">
        <f t="shared" si="5"/>
        <v>11/01/2026NL300036</v>
      </c>
      <c r="C338" s="22" t="s">
        <v>529</v>
      </c>
      <c r="D338" s="22" t="s">
        <v>17</v>
      </c>
      <c r="E338" s="22" t="s">
        <v>431</v>
      </c>
      <c r="F338" s="21" t="s">
        <v>432</v>
      </c>
      <c r="G338" s="21" t="s">
        <v>433</v>
      </c>
      <c r="H338" s="21" t="s">
        <v>530</v>
      </c>
      <c r="I338" s="21" t="s">
        <v>380</v>
      </c>
      <c r="J338" s="21" t="s">
        <v>96</v>
      </c>
      <c r="K338" s="21" t="s">
        <v>442</v>
      </c>
      <c r="L338" s="23">
        <v>0.4</v>
      </c>
      <c r="M338" s="24">
        <v>47000</v>
      </c>
      <c r="N338" s="24">
        <v>0</v>
      </c>
      <c r="O338" s="25">
        <v>18800</v>
      </c>
      <c r="P338" s="25">
        <v>0</v>
      </c>
      <c r="Q338" s="24">
        <v>47000</v>
      </c>
      <c r="R338" s="21" t="s">
        <v>506</v>
      </c>
      <c r="S338" s="21" t="s">
        <v>437</v>
      </c>
      <c r="T338" s="21" t="s">
        <v>17</v>
      </c>
      <c r="U338" s="21" t="s">
        <v>507</v>
      </c>
      <c r="V338" s="21" t="s">
        <v>17</v>
      </c>
      <c r="W338" s="21" t="s">
        <v>439</v>
      </c>
      <c r="X338" s="21" t="s">
        <v>439</v>
      </c>
    </row>
    <row r="339" spans="1:24" ht="10.5" customHeight="1" x14ac:dyDescent="0.25">
      <c r="A339" s="20">
        <v>46033</v>
      </c>
      <c r="B339" s="21" t="str">
        <f t="shared" si="5"/>
        <v>11/01/2026NL300035</v>
      </c>
      <c r="C339" s="22" t="s">
        <v>529</v>
      </c>
      <c r="D339" s="22" t="s">
        <v>17</v>
      </c>
      <c r="E339" s="22" t="s">
        <v>431</v>
      </c>
      <c r="F339" s="21" t="s">
        <v>432</v>
      </c>
      <c r="G339" s="21" t="s">
        <v>433</v>
      </c>
      <c r="H339" s="21" t="s">
        <v>530</v>
      </c>
      <c r="I339" s="21" t="s">
        <v>383</v>
      </c>
      <c r="J339" s="21" t="s">
        <v>448</v>
      </c>
      <c r="K339" s="21" t="s">
        <v>442</v>
      </c>
      <c r="L339" s="23">
        <v>0.1</v>
      </c>
      <c r="M339" s="24">
        <v>25000</v>
      </c>
      <c r="N339" s="24">
        <v>0</v>
      </c>
      <c r="O339" s="25">
        <v>2500</v>
      </c>
      <c r="P339" s="25">
        <v>0</v>
      </c>
      <c r="Q339" s="24">
        <v>25000</v>
      </c>
      <c r="R339" s="21" t="s">
        <v>506</v>
      </c>
      <c r="S339" s="21" t="s">
        <v>437</v>
      </c>
      <c r="T339" s="21" t="s">
        <v>17</v>
      </c>
      <c r="U339" s="21" t="s">
        <v>507</v>
      </c>
      <c r="V339" s="21" t="s">
        <v>17</v>
      </c>
      <c r="W339" s="21" t="s">
        <v>439</v>
      </c>
      <c r="X339" s="21" t="s">
        <v>439</v>
      </c>
    </row>
    <row r="340" spans="1:24" ht="10.5" customHeight="1" x14ac:dyDescent="0.25">
      <c r="A340" s="20">
        <v>46033</v>
      </c>
      <c r="B340" s="21" t="str">
        <f t="shared" si="5"/>
        <v>11/01/2026NL300121</v>
      </c>
      <c r="C340" s="22" t="s">
        <v>529</v>
      </c>
      <c r="D340" s="22" t="s">
        <v>17</v>
      </c>
      <c r="E340" s="22" t="s">
        <v>431</v>
      </c>
      <c r="F340" s="21" t="s">
        <v>432</v>
      </c>
      <c r="G340" s="21" t="s">
        <v>433</v>
      </c>
      <c r="H340" s="21" t="s">
        <v>530</v>
      </c>
      <c r="I340" s="21" t="s">
        <v>281</v>
      </c>
      <c r="J340" s="21" t="s">
        <v>51</v>
      </c>
      <c r="K340" s="21" t="s">
        <v>442</v>
      </c>
      <c r="L340" s="23">
        <v>0.2</v>
      </c>
      <c r="M340" s="24">
        <v>22000</v>
      </c>
      <c r="N340" s="24">
        <v>0</v>
      </c>
      <c r="O340" s="25">
        <v>4400</v>
      </c>
      <c r="P340" s="25">
        <v>0</v>
      </c>
      <c r="Q340" s="24">
        <v>22000</v>
      </c>
      <c r="R340" s="21" t="s">
        <v>506</v>
      </c>
      <c r="S340" s="21" t="s">
        <v>437</v>
      </c>
      <c r="T340" s="21" t="s">
        <v>17</v>
      </c>
      <c r="U340" s="21" t="s">
        <v>507</v>
      </c>
      <c r="V340" s="21" t="s">
        <v>17</v>
      </c>
      <c r="W340" s="21" t="s">
        <v>439</v>
      </c>
      <c r="X340" s="21" t="s">
        <v>439</v>
      </c>
    </row>
    <row r="341" spans="1:24" ht="10.5" customHeight="1" x14ac:dyDescent="0.25">
      <c r="A341" s="20">
        <v>46033</v>
      </c>
      <c r="B341" s="21" t="str">
        <f t="shared" si="5"/>
        <v>11/01/2026NL100101</v>
      </c>
      <c r="C341" s="22" t="s">
        <v>529</v>
      </c>
      <c r="D341" s="22" t="s">
        <v>17</v>
      </c>
      <c r="E341" s="22" t="s">
        <v>431</v>
      </c>
      <c r="F341" s="21" t="s">
        <v>432</v>
      </c>
      <c r="G341" s="21" t="s">
        <v>433</v>
      </c>
      <c r="H341" s="21" t="s">
        <v>530</v>
      </c>
      <c r="I341" s="21" t="s">
        <v>344</v>
      </c>
      <c r="J341" s="21" t="s">
        <v>107</v>
      </c>
      <c r="K341" s="21" t="s">
        <v>435</v>
      </c>
      <c r="L341" s="23">
        <v>15</v>
      </c>
      <c r="M341" s="24">
        <v>5000</v>
      </c>
      <c r="N341" s="24">
        <v>0</v>
      </c>
      <c r="O341" s="25">
        <v>75000</v>
      </c>
      <c r="P341" s="25">
        <v>0</v>
      </c>
      <c r="Q341" s="24">
        <v>5000</v>
      </c>
      <c r="R341" s="21" t="s">
        <v>506</v>
      </c>
      <c r="S341" s="21" t="s">
        <v>437</v>
      </c>
      <c r="T341" s="21" t="s">
        <v>17</v>
      </c>
      <c r="U341" s="21" t="s">
        <v>507</v>
      </c>
      <c r="V341" s="21" t="s">
        <v>17</v>
      </c>
      <c r="W341" s="21" t="s">
        <v>439</v>
      </c>
      <c r="X341" s="21" t="s">
        <v>439</v>
      </c>
    </row>
    <row r="342" spans="1:24" ht="10.5" customHeight="1" x14ac:dyDescent="0.25">
      <c r="A342" s="20">
        <v>46033</v>
      </c>
      <c r="B342" s="21" t="str">
        <f t="shared" ref="B342:B405" si="6">""&amp;DAY(A342)&amp;"/01/2026"&amp;I342</f>
        <v>11/01/2026NL100279</v>
      </c>
      <c r="C342" s="22" t="s">
        <v>529</v>
      </c>
      <c r="D342" s="22" t="s">
        <v>17</v>
      </c>
      <c r="E342" s="22" t="s">
        <v>431</v>
      </c>
      <c r="F342" s="21" t="s">
        <v>432</v>
      </c>
      <c r="G342" s="21" t="s">
        <v>433</v>
      </c>
      <c r="H342" s="21" t="s">
        <v>530</v>
      </c>
      <c r="I342" s="21" t="s">
        <v>403</v>
      </c>
      <c r="J342" s="21" t="s">
        <v>440</v>
      </c>
      <c r="K342" s="21" t="s">
        <v>108</v>
      </c>
      <c r="L342" s="23">
        <v>20</v>
      </c>
      <c r="M342" s="24">
        <v>9000</v>
      </c>
      <c r="N342" s="24">
        <v>0</v>
      </c>
      <c r="O342" s="25">
        <v>180000</v>
      </c>
      <c r="P342" s="25">
        <v>0</v>
      </c>
      <c r="Q342" s="24">
        <v>9000</v>
      </c>
      <c r="R342" s="21" t="s">
        <v>506</v>
      </c>
      <c r="S342" s="21" t="s">
        <v>437</v>
      </c>
      <c r="T342" s="21" t="s">
        <v>17</v>
      </c>
      <c r="U342" s="21" t="s">
        <v>507</v>
      </c>
      <c r="V342" s="21" t="s">
        <v>17</v>
      </c>
      <c r="W342" s="21" t="s">
        <v>439</v>
      </c>
      <c r="X342" s="21" t="s">
        <v>439</v>
      </c>
    </row>
    <row r="343" spans="1:24" ht="10.5" customHeight="1" x14ac:dyDescent="0.25">
      <c r="A343" s="20">
        <v>46033</v>
      </c>
      <c r="B343" s="21" t="str">
        <f t="shared" si="6"/>
        <v>11/01/2026NL600004</v>
      </c>
      <c r="C343" s="22" t="s">
        <v>529</v>
      </c>
      <c r="D343" s="22" t="s">
        <v>17</v>
      </c>
      <c r="E343" s="22" t="s">
        <v>431</v>
      </c>
      <c r="F343" s="21" t="s">
        <v>432</v>
      </c>
      <c r="G343" s="21" t="s">
        <v>433</v>
      </c>
      <c r="H343" s="21" t="s">
        <v>530</v>
      </c>
      <c r="I343" s="21" t="s">
        <v>225</v>
      </c>
      <c r="J343" s="21" t="s">
        <v>37</v>
      </c>
      <c r="K343" s="21" t="s">
        <v>442</v>
      </c>
      <c r="L343" s="23">
        <v>20</v>
      </c>
      <c r="M343" s="24">
        <v>18000</v>
      </c>
      <c r="N343" s="24">
        <v>0</v>
      </c>
      <c r="O343" s="25">
        <v>360000</v>
      </c>
      <c r="P343" s="25">
        <v>0</v>
      </c>
      <c r="Q343" s="24">
        <v>18000</v>
      </c>
      <c r="R343" s="21" t="s">
        <v>506</v>
      </c>
      <c r="S343" s="21" t="s">
        <v>437</v>
      </c>
      <c r="T343" s="21" t="s">
        <v>17</v>
      </c>
      <c r="U343" s="21" t="s">
        <v>507</v>
      </c>
      <c r="V343" s="21" t="s">
        <v>17</v>
      </c>
      <c r="W343" s="21" t="s">
        <v>439</v>
      </c>
      <c r="X343" s="21" t="s">
        <v>439</v>
      </c>
    </row>
    <row r="344" spans="1:24" ht="10.5" customHeight="1" x14ac:dyDescent="0.25">
      <c r="A344" s="20">
        <v>46033</v>
      </c>
      <c r="B344" s="21" t="str">
        <f t="shared" si="6"/>
        <v>11/01/2026NL300062</v>
      </c>
      <c r="C344" s="22" t="s">
        <v>529</v>
      </c>
      <c r="D344" s="22" t="s">
        <v>17</v>
      </c>
      <c r="E344" s="22" t="s">
        <v>431</v>
      </c>
      <c r="F344" s="21" t="s">
        <v>432</v>
      </c>
      <c r="G344" s="21" t="s">
        <v>433</v>
      </c>
      <c r="H344" s="21" t="s">
        <v>530</v>
      </c>
      <c r="I344" s="21" t="s">
        <v>236</v>
      </c>
      <c r="J344" s="21" t="s">
        <v>482</v>
      </c>
      <c r="K344" s="21" t="s">
        <v>442</v>
      </c>
      <c r="L344" s="23">
        <v>0.3</v>
      </c>
      <c r="M344" s="24">
        <v>65000</v>
      </c>
      <c r="N344" s="24">
        <v>0</v>
      </c>
      <c r="O344" s="25">
        <v>19500</v>
      </c>
      <c r="P344" s="25">
        <v>0</v>
      </c>
      <c r="Q344" s="24">
        <v>65000</v>
      </c>
      <c r="R344" s="21" t="s">
        <v>506</v>
      </c>
      <c r="S344" s="21" t="s">
        <v>437</v>
      </c>
      <c r="T344" s="21" t="s">
        <v>17</v>
      </c>
      <c r="U344" s="21" t="s">
        <v>507</v>
      </c>
      <c r="V344" s="21" t="s">
        <v>17</v>
      </c>
      <c r="W344" s="21" t="s">
        <v>439</v>
      </c>
      <c r="X344" s="21" t="s">
        <v>439</v>
      </c>
    </row>
    <row r="345" spans="1:24" ht="10.5" customHeight="1" x14ac:dyDescent="0.25">
      <c r="A345" s="20">
        <v>46033</v>
      </c>
      <c r="B345" s="21" t="str">
        <f t="shared" si="6"/>
        <v>11/01/2026NL300030</v>
      </c>
      <c r="C345" s="22" t="s">
        <v>529</v>
      </c>
      <c r="D345" s="22" t="s">
        <v>17</v>
      </c>
      <c r="E345" s="22" t="s">
        <v>431</v>
      </c>
      <c r="F345" s="21" t="s">
        <v>432</v>
      </c>
      <c r="G345" s="21" t="s">
        <v>433</v>
      </c>
      <c r="H345" s="21" t="s">
        <v>530</v>
      </c>
      <c r="I345" s="21" t="s">
        <v>313</v>
      </c>
      <c r="J345" s="21" t="s">
        <v>470</v>
      </c>
      <c r="K345" s="21" t="s">
        <v>442</v>
      </c>
      <c r="L345" s="23">
        <v>0.5</v>
      </c>
      <c r="M345" s="24">
        <v>34000</v>
      </c>
      <c r="N345" s="24">
        <v>0</v>
      </c>
      <c r="O345" s="25">
        <v>17000</v>
      </c>
      <c r="P345" s="25">
        <v>0</v>
      </c>
      <c r="Q345" s="24">
        <v>34000</v>
      </c>
      <c r="R345" s="21" t="s">
        <v>506</v>
      </c>
      <c r="S345" s="21" t="s">
        <v>437</v>
      </c>
      <c r="T345" s="21" t="s">
        <v>17</v>
      </c>
      <c r="U345" s="21" t="s">
        <v>507</v>
      </c>
      <c r="V345" s="21" t="s">
        <v>17</v>
      </c>
      <c r="W345" s="21" t="s">
        <v>439</v>
      </c>
      <c r="X345" s="21" t="s">
        <v>439</v>
      </c>
    </row>
    <row r="346" spans="1:24" ht="10.5" customHeight="1" x14ac:dyDescent="0.25">
      <c r="A346" s="20">
        <v>46033</v>
      </c>
      <c r="B346" s="21" t="str">
        <f t="shared" si="6"/>
        <v>11/01/2026NL300029</v>
      </c>
      <c r="C346" s="22" t="s">
        <v>529</v>
      </c>
      <c r="D346" s="22" t="s">
        <v>17</v>
      </c>
      <c r="E346" s="22" t="s">
        <v>431</v>
      </c>
      <c r="F346" s="21" t="s">
        <v>432</v>
      </c>
      <c r="G346" s="21" t="s">
        <v>433</v>
      </c>
      <c r="H346" s="21" t="s">
        <v>530</v>
      </c>
      <c r="I346" s="21" t="s">
        <v>213</v>
      </c>
      <c r="J346" s="21" t="s">
        <v>469</v>
      </c>
      <c r="K346" s="21" t="s">
        <v>442</v>
      </c>
      <c r="L346" s="23">
        <v>1</v>
      </c>
      <c r="M346" s="24">
        <v>22000</v>
      </c>
      <c r="N346" s="24">
        <v>0</v>
      </c>
      <c r="O346" s="25">
        <v>22000</v>
      </c>
      <c r="P346" s="25">
        <v>0</v>
      </c>
      <c r="Q346" s="24">
        <v>22000</v>
      </c>
      <c r="R346" s="21" t="s">
        <v>506</v>
      </c>
      <c r="S346" s="21" t="s">
        <v>437</v>
      </c>
      <c r="T346" s="21" t="s">
        <v>17</v>
      </c>
      <c r="U346" s="21" t="s">
        <v>507</v>
      </c>
      <c r="V346" s="21" t="s">
        <v>17</v>
      </c>
      <c r="W346" s="21" t="s">
        <v>439</v>
      </c>
      <c r="X346" s="21" t="s">
        <v>439</v>
      </c>
    </row>
    <row r="347" spans="1:24" ht="10.5" customHeight="1" x14ac:dyDescent="0.25">
      <c r="A347" s="20">
        <v>46033</v>
      </c>
      <c r="B347" s="21" t="str">
        <f t="shared" si="6"/>
        <v>11/01/2026NL300184</v>
      </c>
      <c r="C347" s="22" t="s">
        <v>529</v>
      </c>
      <c r="D347" s="22" t="s">
        <v>17</v>
      </c>
      <c r="E347" s="22" t="s">
        <v>431</v>
      </c>
      <c r="F347" s="21" t="s">
        <v>432</v>
      </c>
      <c r="G347" s="21" t="s">
        <v>433</v>
      </c>
      <c r="H347" s="21" t="s">
        <v>530</v>
      </c>
      <c r="I347" s="21" t="s">
        <v>368</v>
      </c>
      <c r="J347" s="21" t="s">
        <v>462</v>
      </c>
      <c r="K347" s="21" t="s">
        <v>442</v>
      </c>
      <c r="L347" s="23">
        <v>0.6</v>
      </c>
      <c r="M347" s="24">
        <v>18000</v>
      </c>
      <c r="N347" s="24">
        <v>0</v>
      </c>
      <c r="O347" s="25">
        <v>10800</v>
      </c>
      <c r="P347" s="25">
        <v>0</v>
      </c>
      <c r="Q347" s="24">
        <v>18000</v>
      </c>
      <c r="R347" s="21" t="s">
        <v>506</v>
      </c>
      <c r="S347" s="21" t="s">
        <v>437</v>
      </c>
      <c r="T347" s="21" t="s">
        <v>17</v>
      </c>
      <c r="U347" s="21" t="s">
        <v>507</v>
      </c>
      <c r="V347" s="21" t="s">
        <v>17</v>
      </c>
      <c r="W347" s="21" t="s">
        <v>439</v>
      </c>
      <c r="X347" s="21" t="s">
        <v>439</v>
      </c>
    </row>
    <row r="348" spans="1:24" ht="10.5" customHeight="1" x14ac:dyDescent="0.25">
      <c r="A348" s="20">
        <v>46034</v>
      </c>
      <c r="B348" s="21" t="str">
        <f t="shared" si="6"/>
        <v>12/01/2026NL600004</v>
      </c>
      <c r="C348" s="22" t="s">
        <v>531</v>
      </c>
      <c r="D348" s="22" t="s">
        <v>17</v>
      </c>
      <c r="E348" s="22" t="s">
        <v>431</v>
      </c>
      <c r="F348" s="21" t="s">
        <v>432</v>
      </c>
      <c r="G348" s="21" t="s">
        <v>433</v>
      </c>
      <c r="H348" s="21" t="s">
        <v>532</v>
      </c>
      <c r="I348" s="21" t="s">
        <v>225</v>
      </c>
      <c r="J348" s="21" t="s">
        <v>37</v>
      </c>
      <c r="K348" s="21" t="s">
        <v>442</v>
      </c>
      <c r="L348" s="23">
        <v>21</v>
      </c>
      <c r="M348" s="24">
        <v>18000</v>
      </c>
      <c r="N348" s="24">
        <v>0</v>
      </c>
      <c r="O348" s="25">
        <v>378000</v>
      </c>
      <c r="P348" s="25">
        <v>0</v>
      </c>
      <c r="Q348" s="24">
        <v>18000</v>
      </c>
      <c r="R348" s="21" t="s">
        <v>506</v>
      </c>
      <c r="S348" s="21" t="s">
        <v>437</v>
      </c>
      <c r="T348" s="21" t="s">
        <v>17</v>
      </c>
      <c r="U348" s="21" t="s">
        <v>507</v>
      </c>
      <c r="V348" s="21" t="s">
        <v>17</v>
      </c>
      <c r="W348" s="21" t="s">
        <v>439</v>
      </c>
      <c r="X348" s="21" t="s">
        <v>439</v>
      </c>
    </row>
    <row r="349" spans="1:24" ht="10.5" customHeight="1" x14ac:dyDescent="0.25">
      <c r="A349" s="20">
        <v>46034</v>
      </c>
      <c r="B349" s="21" t="str">
        <f t="shared" si="6"/>
        <v>12/01/2026NL300008</v>
      </c>
      <c r="C349" s="22" t="s">
        <v>531</v>
      </c>
      <c r="D349" s="22" t="s">
        <v>17</v>
      </c>
      <c r="E349" s="22" t="s">
        <v>431</v>
      </c>
      <c r="F349" s="21" t="s">
        <v>432</v>
      </c>
      <c r="G349" s="21" t="s">
        <v>433</v>
      </c>
      <c r="H349" s="21" t="s">
        <v>532</v>
      </c>
      <c r="I349" s="21" t="s">
        <v>320</v>
      </c>
      <c r="J349" s="21" t="s">
        <v>445</v>
      </c>
      <c r="K349" s="21" t="s">
        <v>442</v>
      </c>
      <c r="L349" s="23">
        <v>4</v>
      </c>
      <c r="M349" s="24">
        <v>40000</v>
      </c>
      <c r="N349" s="24">
        <v>0</v>
      </c>
      <c r="O349" s="25">
        <v>160000</v>
      </c>
      <c r="P349" s="25">
        <v>0</v>
      </c>
      <c r="Q349" s="24">
        <v>40000</v>
      </c>
      <c r="R349" s="21" t="s">
        <v>506</v>
      </c>
      <c r="S349" s="21" t="s">
        <v>437</v>
      </c>
      <c r="T349" s="21" t="s">
        <v>17</v>
      </c>
      <c r="U349" s="21" t="s">
        <v>507</v>
      </c>
      <c r="V349" s="21" t="s">
        <v>17</v>
      </c>
      <c r="W349" s="21" t="s">
        <v>439</v>
      </c>
      <c r="X349" s="21" t="s">
        <v>439</v>
      </c>
    </row>
    <row r="350" spans="1:24" ht="10.5" customHeight="1" x14ac:dyDescent="0.25">
      <c r="A350" s="20">
        <v>46034</v>
      </c>
      <c r="B350" s="21" t="str">
        <f t="shared" si="6"/>
        <v>12/01/2026NL300020</v>
      </c>
      <c r="C350" s="22" t="s">
        <v>531</v>
      </c>
      <c r="D350" s="22" t="s">
        <v>17</v>
      </c>
      <c r="E350" s="22" t="s">
        <v>431</v>
      </c>
      <c r="F350" s="21" t="s">
        <v>432</v>
      </c>
      <c r="G350" s="21" t="s">
        <v>433</v>
      </c>
      <c r="H350" s="21" t="s">
        <v>532</v>
      </c>
      <c r="I350" s="21" t="s">
        <v>326</v>
      </c>
      <c r="J350" s="21" t="s">
        <v>446</v>
      </c>
      <c r="K350" s="21" t="s">
        <v>442</v>
      </c>
      <c r="L350" s="23">
        <v>1</v>
      </c>
      <c r="M350" s="24">
        <v>30000</v>
      </c>
      <c r="N350" s="24">
        <v>0</v>
      </c>
      <c r="O350" s="25">
        <v>30000</v>
      </c>
      <c r="P350" s="25">
        <v>0</v>
      </c>
      <c r="Q350" s="24">
        <v>30000</v>
      </c>
      <c r="R350" s="21" t="s">
        <v>506</v>
      </c>
      <c r="S350" s="21" t="s">
        <v>437</v>
      </c>
      <c r="T350" s="21" t="s">
        <v>17</v>
      </c>
      <c r="U350" s="21" t="s">
        <v>507</v>
      </c>
      <c r="V350" s="21" t="s">
        <v>17</v>
      </c>
      <c r="W350" s="21" t="s">
        <v>439</v>
      </c>
      <c r="X350" s="21" t="s">
        <v>439</v>
      </c>
    </row>
    <row r="351" spans="1:24" ht="10.5" customHeight="1" x14ac:dyDescent="0.25">
      <c r="A351" s="20">
        <v>46034</v>
      </c>
      <c r="B351" s="21" t="str">
        <f t="shared" si="6"/>
        <v>12/01/2026NL300038</v>
      </c>
      <c r="C351" s="22" t="s">
        <v>531</v>
      </c>
      <c r="D351" s="22" t="s">
        <v>17</v>
      </c>
      <c r="E351" s="22" t="s">
        <v>431</v>
      </c>
      <c r="F351" s="21" t="s">
        <v>432</v>
      </c>
      <c r="G351" s="21" t="s">
        <v>433</v>
      </c>
      <c r="H351" s="21" t="s">
        <v>532</v>
      </c>
      <c r="I351" s="21" t="s">
        <v>217</v>
      </c>
      <c r="J351" s="21" t="s">
        <v>35</v>
      </c>
      <c r="K351" s="21" t="s">
        <v>442</v>
      </c>
      <c r="L351" s="23">
        <v>0.5</v>
      </c>
      <c r="M351" s="24">
        <v>32000</v>
      </c>
      <c r="N351" s="24">
        <v>0</v>
      </c>
      <c r="O351" s="25">
        <v>16000</v>
      </c>
      <c r="P351" s="25">
        <v>0</v>
      </c>
      <c r="Q351" s="24">
        <v>32000</v>
      </c>
      <c r="R351" s="21" t="s">
        <v>506</v>
      </c>
      <c r="S351" s="21" t="s">
        <v>437</v>
      </c>
      <c r="T351" s="21" t="s">
        <v>17</v>
      </c>
      <c r="U351" s="21" t="s">
        <v>507</v>
      </c>
      <c r="V351" s="21" t="s">
        <v>17</v>
      </c>
      <c r="W351" s="21" t="s">
        <v>439</v>
      </c>
      <c r="X351" s="21" t="s">
        <v>439</v>
      </c>
    </row>
    <row r="352" spans="1:24" ht="10.5" customHeight="1" x14ac:dyDescent="0.25">
      <c r="A352" s="20">
        <v>46034</v>
      </c>
      <c r="B352" s="21" t="str">
        <f t="shared" si="6"/>
        <v>12/01/2026NL300054</v>
      </c>
      <c r="C352" s="22" t="s">
        <v>531</v>
      </c>
      <c r="D352" s="22" t="s">
        <v>17</v>
      </c>
      <c r="E352" s="22" t="s">
        <v>431</v>
      </c>
      <c r="F352" s="21" t="s">
        <v>432</v>
      </c>
      <c r="G352" s="21" t="s">
        <v>433</v>
      </c>
      <c r="H352" s="21" t="s">
        <v>532</v>
      </c>
      <c r="I352" s="21" t="s">
        <v>216</v>
      </c>
      <c r="J352" s="21" t="s">
        <v>451</v>
      </c>
      <c r="K352" s="21" t="s">
        <v>442</v>
      </c>
      <c r="L352" s="23">
        <v>0.4</v>
      </c>
      <c r="M352" s="24">
        <v>38000</v>
      </c>
      <c r="N352" s="24">
        <v>0</v>
      </c>
      <c r="O352" s="25">
        <v>15200</v>
      </c>
      <c r="P352" s="25">
        <v>0</v>
      </c>
      <c r="Q352" s="24">
        <v>38000</v>
      </c>
      <c r="R352" s="21" t="s">
        <v>506</v>
      </c>
      <c r="S352" s="21" t="s">
        <v>437</v>
      </c>
      <c r="T352" s="21" t="s">
        <v>17</v>
      </c>
      <c r="U352" s="21" t="s">
        <v>507</v>
      </c>
      <c r="V352" s="21" t="s">
        <v>17</v>
      </c>
      <c r="W352" s="21" t="s">
        <v>439</v>
      </c>
      <c r="X352" s="21" t="s">
        <v>439</v>
      </c>
    </row>
    <row r="353" spans="1:24" ht="10.5" customHeight="1" x14ac:dyDescent="0.25">
      <c r="A353" s="20">
        <v>46034</v>
      </c>
      <c r="B353" s="21" t="str">
        <f t="shared" si="6"/>
        <v>12/01/2026NL300058</v>
      </c>
      <c r="C353" s="22" t="s">
        <v>531</v>
      </c>
      <c r="D353" s="22" t="s">
        <v>17</v>
      </c>
      <c r="E353" s="22" t="s">
        <v>431</v>
      </c>
      <c r="F353" s="21" t="s">
        <v>432</v>
      </c>
      <c r="G353" s="21" t="s">
        <v>433</v>
      </c>
      <c r="H353" s="21" t="s">
        <v>532</v>
      </c>
      <c r="I353" s="21" t="s">
        <v>228</v>
      </c>
      <c r="J353" s="21" t="s">
        <v>39</v>
      </c>
      <c r="K353" s="21" t="s">
        <v>442</v>
      </c>
      <c r="L353" s="23">
        <v>0.5</v>
      </c>
      <c r="M353" s="24">
        <v>55000</v>
      </c>
      <c r="N353" s="24">
        <v>0</v>
      </c>
      <c r="O353" s="25">
        <v>27500</v>
      </c>
      <c r="P353" s="25">
        <v>0</v>
      </c>
      <c r="Q353" s="24">
        <v>55000</v>
      </c>
      <c r="R353" s="21" t="s">
        <v>506</v>
      </c>
      <c r="S353" s="21" t="s">
        <v>437</v>
      </c>
      <c r="T353" s="21" t="s">
        <v>17</v>
      </c>
      <c r="U353" s="21" t="s">
        <v>507</v>
      </c>
      <c r="V353" s="21" t="s">
        <v>17</v>
      </c>
      <c r="W353" s="21" t="s">
        <v>439</v>
      </c>
      <c r="X353" s="21" t="s">
        <v>439</v>
      </c>
    </row>
    <row r="354" spans="1:24" ht="10.5" customHeight="1" x14ac:dyDescent="0.25">
      <c r="A354" s="20">
        <v>46034</v>
      </c>
      <c r="B354" s="21" t="str">
        <f t="shared" si="6"/>
        <v>12/01/2026NL300059</v>
      </c>
      <c r="C354" s="22" t="s">
        <v>531</v>
      </c>
      <c r="D354" s="22" t="s">
        <v>17</v>
      </c>
      <c r="E354" s="22" t="s">
        <v>431</v>
      </c>
      <c r="F354" s="21" t="s">
        <v>432</v>
      </c>
      <c r="G354" s="21" t="s">
        <v>433</v>
      </c>
      <c r="H354" s="21" t="s">
        <v>532</v>
      </c>
      <c r="I354" s="21" t="s">
        <v>229</v>
      </c>
      <c r="J354" s="21" t="s">
        <v>114</v>
      </c>
      <c r="K354" s="21" t="s">
        <v>442</v>
      </c>
      <c r="L354" s="23">
        <v>0.4</v>
      </c>
      <c r="M354" s="24">
        <v>13000</v>
      </c>
      <c r="N354" s="24">
        <v>0</v>
      </c>
      <c r="O354" s="25">
        <v>5200</v>
      </c>
      <c r="P354" s="25">
        <v>0</v>
      </c>
      <c r="Q354" s="24">
        <v>13000</v>
      </c>
      <c r="R354" s="21" t="s">
        <v>506</v>
      </c>
      <c r="S354" s="21" t="s">
        <v>437</v>
      </c>
      <c r="T354" s="21" t="s">
        <v>17</v>
      </c>
      <c r="U354" s="21" t="s">
        <v>507</v>
      </c>
      <c r="V354" s="21" t="s">
        <v>17</v>
      </c>
      <c r="W354" s="21" t="s">
        <v>439</v>
      </c>
      <c r="X354" s="21" t="s">
        <v>439</v>
      </c>
    </row>
    <row r="355" spans="1:24" ht="10.5" customHeight="1" x14ac:dyDescent="0.25">
      <c r="A355" s="20">
        <v>46034</v>
      </c>
      <c r="B355" s="21" t="str">
        <f t="shared" si="6"/>
        <v>12/01/2026NL300085</v>
      </c>
      <c r="C355" s="22" t="s">
        <v>531</v>
      </c>
      <c r="D355" s="22" t="s">
        <v>17</v>
      </c>
      <c r="E355" s="22" t="s">
        <v>431</v>
      </c>
      <c r="F355" s="21" t="s">
        <v>432</v>
      </c>
      <c r="G355" s="21" t="s">
        <v>433</v>
      </c>
      <c r="H355" s="21" t="s">
        <v>532</v>
      </c>
      <c r="I355" s="21" t="s">
        <v>263</v>
      </c>
      <c r="J355" s="21" t="s">
        <v>453</v>
      </c>
      <c r="K355" s="21" t="s">
        <v>442</v>
      </c>
      <c r="L355" s="23">
        <v>0.5</v>
      </c>
      <c r="M355" s="24">
        <v>45000</v>
      </c>
      <c r="N355" s="24">
        <v>0</v>
      </c>
      <c r="O355" s="25">
        <v>22500</v>
      </c>
      <c r="P355" s="25">
        <v>0</v>
      </c>
      <c r="Q355" s="24">
        <v>45000</v>
      </c>
      <c r="R355" s="21" t="s">
        <v>506</v>
      </c>
      <c r="S355" s="21" t="s">
        <v>437</v>
      </c>
      <c r="T355" s="21" t="s">
        <v>17</v>
      </c>
      <c r="U355" s="21" t="s">
        <v>507</v>
      </c>
      <c r="V355" s="21" t="s">
        <v>17</v>
      </c>
      <c r="W355" s="21" t="s">
        <v>439</v>
      </c>
      <c r="X355" s="21" t="s">
        <v>439</v>
      </c>
    </row>
    <row r="356" spans="1:24" ht="10.5" customHeight="1" x14ac:dyDescent="0.25">
      <c r="A356" s="20">
        <v>46034</v>
      </c>
      <c r="B356" s="21" t="str">
        <f t="shared" si="6"/>
        <v>12/01/2026NL300091</v>
      </c>
      <c r="C356" s="22" t="s">
        <v>531</v>
      </c>
      <c r="D356" s="22" t="s">
        <v>17</v>
      </c>
      <c r="E356" s="22" t="s">
        <v>431</v>
      </c>
      <c r="F356" s="21" t="s">
        <v>432</v>
      </c>
      <c r="G356" s="21" t="s">
        <v>433</v>
      </c>
      <c r="H356" s="21" t="s">
        <v>532</v>
      </c>
      <c r="I356" s="21" t="s">
        <v>256</v>
      </c>
      <c r="J356" s="21" t="s">
        <v>72</v>
      </c>
      <c r="K356" s="21" t="s">
        <v>442</v>
      </c>
      <c r="L356" s="23">
        <v>0.9</v>
      </c>
      <c r="M356" s="24">
        <v>47000</v>
      </c>
      <c r="N356" s="24">
        <v>0</v>
      </c>
      <c r="O356" s="25">
        <v>42300</v>
      </c>
      <c r="P356" s="25">
        <v>0</v>
      </c>
      <c r="Q356" s="24">
        <v>47000</v>
      </c>
      <c r="R356" s="21" t="s">
        <v>506</v>
      </c>
      <c r="S356" s="21" t="s">
        <v>437</v>
      </c>
      <c r="T356" s="21" t="s">
        <v>17</v>
      </c>
      <c r="U356" s="21" t="s">
        <v>507</v>
      </c>
      <c r="V356" s="21" t="s">
        <v>17</v>
      </c>
      <c r="W356" s="21" t="s">
        <v>439</v>
      </c>
      <c r="X356" s="21" t="s">
        <v>439</v>
      </c>
    </row>
    <row r="357" spans="1:24" ht="10.5" customHeight="1" x14ac:dyDescent="0.25">
      <c r="A357" s="20">
        <v>46034</v>
      </c>
      <c r="B357" s="21" t="str">
        <f t="shared" si="6"/>
        <v>12/01/2026NL300092</v>
      </c>
      <c r="C357" s="22" t="s">
        <v>531</v>
      </c>
      <c r="D357" s="22" t="s">
        <v>17</v>
      </c>
      <c r="E357" s="22" t="s">
        <v>431</v>
      </c>
      <c r="F357" s="21" t="s">
        <v>432</v>
      </c>
      <c r="G357" s="21" t="s">
        <v>433</v>
      </c>
      <c r="H357" s="21" t="s">
        <v>532</v>
      </c>
      <c r="I357" s="21" t="s">
        <v>329</v>
      </c>
      <c r="J357" s="21" t="s">
        <v>74</v>
      </c>
      <c r="K357" s="21" t="s">
        <v>442</v>
      </c>
      <c r="L357" s="23">
        <v>0.4</v>
      </c>
      <c r="M357" s="24">
        <v>90000</v>
      </c>
      <c r="N357" s="24">
        <v>0</v>
      </c>
      <c r="O357" s="25">
        <v>36000</v>
      </c>
      <c r="P357" s="25">
        <v>0</v>
      </c>
      <c r="Q357" s="24">
        <v>90000</v>
      </c>
      <c r="R357" s="21" t="s">
        <v>506</v>
      </c>
      <c r="S357" s="21" t="s">
        <v>437</v>
      </c>
      <c r="T357" s="21" t="s">
        <v>17</v>
      </c>
      <c r="U357" s="21" t="s">
        <v>507</v>
      </c>
      <c r="V357" s="21" t="s">
        <v>17</v>
      </c>
      <c r="W357" s="21" t="s">
        <v>439</v>
      </c>
      <c r="X357" s="21" t="s">
        <v>439</v>
      </c>
    </row>
    <row r="358" spans="1:24" ht="10.5" customHeight="1" x14ac:dyDescent="0.25">
      <c r="A358" s="20">
        <v>46034</v>
      </c>
      <c r="B358" s="21" t="str">
        <f t="shared" si="6"/>
        <v>12/01/2026NL300096</v>
      </c>
      <c r="C358" s="22" t="s">
        <v>531</v>
      </c>
      <c r="D358" s="22" t="s">
        <v>17</v>
      </c>
      <c r="E358" s="22" t="s">
        <v>431</v>
      </c>
      <c r="F358" s="21" t="s">
        <v>432</v>
      </c>
      <c r="G358" s="21" t="s">
        <v>433</v>
      </c>
      <c r="H358" s="21" t="s">
        <v>532</v>
      </c>
      <c r="I358" s="21" t="s">
        <v>258</v>
      </c>
      <c r="J358" s="21" t="s">
        <v>45</v>
      </c>
      <c r="K358" s="21" t="s">
        <v>442</v>
      </c>
      <c r="L358" s="23">
        <v>2.5</v>
      </c>
      <c r="M358" s="24">
        <v>45000</v>
      </c>
      <c r="N358" s="24">
        <v>0</v>
      </c>
      <c r="O358" s="25">
        <v>112500</v>
      </c>
      <c r="P358" s="25">
        <v>0</v>
      </c>
      <c r="Q358" s="24">
        <v>45000</v>
      </c>
      <c r="R358" s="21" t="s">
        <v>506</v>
      </c>
      <c r="S358" s="21" t="s">
        <v>437</v>
      </c>
      <c r="T358" s="21" t="s">
        <v>17</v>
      </c>
      <c r="U358" s="21" t="s">
        <v>507</v>
      </c>
      <c r="V358" s="21" t="s">
        <v>17</v>
      </c>
      <c r="W358" s="21" t="s">
        <v>439</v>
      </c>
      <c r="X358" s="21" t="s">
        <v>439</v>
      </c>
    </row>
    <row r="359" spans="1:24" ht="10.5" customHeight="1" x14ac:dyDescent="0.25">
      <c r="A359" s="20">
        <v>46034</v>
      </c>
      <c r="B359" s="21" t="str">
        <f t="shared" si="6"/>
        <v>12/01/2026NL300113</v>
      </c>
      <c r="C359" s="22" t="s">
        <v>531</v>
      </c>
      <c r="D359" s="22" t="s">
        <v>17</v>
      </c>
      <c r="E359" s="22" t="s">
        <v>431</v>
      </c>
      <c r="F359" s="21" t="s">
        <v>432</v>
      </c>
      <c r="G359" s="21" t="s">
        <v>433</v>
      </c>
      <c r="H359" s="21" t="s">
        <v>532</v>
      </c>
      <c r="I359" s="21" t="s">
        <v>271</v>
      </c>
      <c r="J359" s="21" t="s">
        <v>103</v>
      </c>
      <c r="K359" s="21" t="s">
        <v>442</v>
      </c>
      <c r="L359" s="23">
        <v>0.4</v>
      </c>
      <c r="M359" s="24">
        <v>145000</v>
      </c>
      <c r="N359" s="24">
        <v>0</v>
      </c>
      <c r="O359" s="25">
        <v>58000</v>
      </c>
      <c r="P359" s="25">
        <v>0</v>
      </c>
      <c r="Q359" s="24">
        <v>145000</v>
      </c>
      <c r="R359" s="21" t="s">
        <v>506</v>
      </c>
      <c r="S359" s="21" t="s">
        <v>437</v>
      </c>
      <c r="T359" s="21" t="s">
        <v>17</v>
      </c>
      <c r="U359" s="21" t="s">
        <v>507</v>
      </c>
      <c r="V359" s="21" t="s">
        <v>17</v>
      </c>
      <c r="W359" s="21" t="s">
        <v>439</v>
      </c>
      <c r="X359" s="21" t="s">
        <v>439</v>
      </c>
    </row>
    <row r="360" spans="1:24" ht="10.5" customHeight="1" x14ac:dyDescent="0.25">
      <c r="A360" s="20">
        <v>46034</v>
      </c>
      <c r="B360" s="21" t="str">
        <f t="shared" si="6"/>
        <v>12/01/2026NL300142</v>
      </c>
      <c r="C360" s="22" t="s">
        <v>531</v>
      </c>
      <c r="D360" s="22" t="s">
        <v>17</v>
      </c>
      <c r="E360" s="22" t="s">
        <v>431</v>
      </c>
      <c r="F360" s="21" t="s">
        <v>432</v>
      </c>
      <c r="G360" s="21" t="s">
        <v>433</v>
      </c>
      <c r="H360" s="21" t="s">
        <v>532</v>
      </c>
      <c r="I360" s="21" t="s">
        <v>317</v>
      </c>
      <c r="J360" s="21" t="s">
        <v>441</v>
      </c>
      <c r="K360" s="21" t="s">
        <v>442</v>
      </c>
      <c r="L360" s="23">
        <v>0.5</v>
      </c>
      <c r="M360" s="24">
        <v>50000</v>
      </c>
      <c r="N360" s="24">
        <v>0</v>
      </c>
      <c r="O360" s="25">
        <v>25000</v>
      </c>
      <c r="P360" s="25">
        <v>0</v>
      </c>
      <c r="Q360" s="24">
        <v>50000</v>
      </c>
      <c r="R360" s="21" t="s">
        <v>506</v>
      </c>
      <c r="S360" s="21" t="s">
        <v>437</v>
      </c>
      <c r="T360" s="21" t="s">
        <v>17</v>
      </c>
      <c r="U360" s="21" t="s">
        <v>507</v>
      </c>
      <c r="V360" s="21" t="s">
        <v>17</v>
      </c>
      <c r="W360" s="21" t="s">
        <v>439</v>
      </c>
      <c r="X360" s="21" t="s">
        <v>439</v>
      </c>
    </row>
    <row r="361" spans="1:24" ht="10.5" customHeight="1" x14ac:dyDescent="0.25">
      <c r="A361" s="20">
        <v>46034</v>
      </c>
      <c r="B361" s="21" t="str">
        <f t="shared" si="6"/>
        <v>12/01/2026NL300132</v>
      </c>
      <c r="C361" s="22" t="s">
        <v>531</v>
      </c>
      <c r="D361" s="22" t="s">
        <v>17</v>
      </c>
      <c r="E361" s="22" t="s">
        <v>431</v>
      </c>
      <c r="F361" s="21" t="s">
        <v>432</v>
      </c>
      <c r="G361" s="21" t="s">
        <v>433</v>
      </c>
      <c r="H361" s="21" t="s">
        <v>532</v>
      </c>
      <c r="I361" s="21" t="s">
        <v>285</v>
      </c>
      <c r="J361" s="21" t="s">
        <v>82</v>
      </c>
      <c r="K361" s="21" t="s">
        <v>442</v>
      </c>
      <c r="L361" s="23">
        <v>0.3</v>
      </c>
      <c r="M361" s="24">
        <v>12000</v>
      </c>
      <c r="N361" s="24">
        <v>0</v>
      </c>
      <c r="O361" s="25">
        <v>3600</v>
      </c>
      <c r="P361" s="25">
        <v>0</v>
      </c>
      <c r="Q361" s="24">
        <v>12000</v>
      </c>
      <c r="R361" s="21" t="s">
        <v>506</v>
      </c>
      <c r="S361" s="21" t="s">
        <v>437</v>
      </c>
      <c r="T361" s="21" t="s">
        <v>17</v>
      </c>
      <c r="U361" s="21" t="s">
        <v>507</v>
      </c>
      <c r="V361" s="21" t="s">
        <v>17</v>
      </c>
      <c r="W361" s="21" t="s">
        <v>439</v>
      </c>
      <c r="X361" s="21" t="s">
        <v>439</v>
      </c>
    </row>
    <row r="362" spans="1:24" ht="10.5" customHeight="1" x14ac:dyDescent="0.25">
      <c r="A362" s="20">
        <v>46034</v>
      </c>
      <c r="B362" s="21" t="str">
        <f t="shared" si="6"/>
        <v>12/01/2026NL300137</v>
      </c>
      <c r="C362" s="22" t="s">
        <v>531</v>
      </c>
      <c r="D362" s="22" t="s">
        <v>17</v>
      </c>
      <c r="E362" s="22" t="s">
        <v>431</v>
      </c>
      <c r="F362" s="21" t="s">
        <v>432</v>
      </c>
      <c r="G362" s="21" t="s">
        <v>433</v>
      </c>
      <c r="H362" s="21" t="s">
        <v>532</v>
      </c>
      <c r="I362" s="21" t="s">
        <v>196</v>
      </c>
      <c r="J362" s="21" t="s">
        <v>458</v>
      </c>
      <c r="K362" s="21" t="s">
        <v>442</v>
      </c>
      <c r="L362" s="23">
        <v>1</v>
      </c>
      <c r="M362" s="24">
        <v>52000</v>
      </c>
      <c r="N362" s="24">
        <v>0</v>
      </c>
      <c r="O362" s="25">
        <v>52000</v>
      </c>
      <c r="P362" s="25">
        <v>0</v>
      </c>
      <c r="Q362" s="24">
        <v>52000</v>
      </c>
      <c r="R362" s="21" t="s">
        <v>506</v>
      </c>
      <c r="S362" s="21" t="s">
        <v>437</v>
      </c>
      <c r="T362" s="21" t="s">
        <v>17</v>
      </c>
      <c r="U362" s="21" t="s">
        <v>507</v>
      </c>
      <c r="V362" s="21" t="s">
        <v>17</v>
      </c>
      <c r="W362" s="21" t="s">
        <v>439</v>
      </c>
      <c r="X362" s="21" t="s">
        <v>439</v>
      </c>
    </row>
    <row r="363" spans="1:24" ht="10.5" customHeight="1" x14ac:dyDescent="0.25">
      <c r="A363" s="20">
        <v>46034</v>
      </c>
      <c r="B363" s="21" t="str">
        <f t="shared" si="6"/>
        <v>12/01/2026NL300147</v>
      </c>
      <c r="C363" s="22" t="s">
        <v>531</v>
      </c>
      <c r="D363" s="22" t="s">
        <v>17</v>
      </c>
      <c r="E363" s="22" t="s">
        <v>431</v>
      </c>
      <c r="F363" s="21" t="s">
        <v>432</v>
      </c>
      <c r="G363" s="21" t="s">
        <v>433</v>
      </c>
      <c r="H363" s="21" t="s">
        <v>532</v>
      </c>
      <c r="I363" s="21" t="s">
        <v>300</v>
      </c>
      <c r="J363" s="21" t="s">
        <v>459</v>
      </c>
      <c r="K363" s="21" t="s">
        <v>442</v>
      </c>
      <c r="L363" s="23">
        <v>4</v>
      </c>
      <c r="M363" s="24">
        <v>62000</v>
      </c>
      <c r="N363" s="24">
        <v>0</v>
      </c>
      <c r="O363" s="25">
        <v>248000</v>
      </c>
      <c r="P363" s="25">
        <v>0</v>
      </c>
      <c r="Q363" s="24">
        <v>62000</v>
      </c>
      <c r="R363" s="21" t="s">
        <v>506</v>
      </c>
      <c r="S363" s="21" t="s">
        <v>437</v>
      </c>
      <c r="T363" s="21" t="s">
        <v>17</v>
      </c>
      <c r="U363" s="21" t="s">
        <v>507</v>
      </c>
      <c r="V363" s="21" t="s">
        <v>17</v>
      </c>
      <c r="W363" s="21" t="s">
        <v>439</v>
      </c>
      <c r="X363" s="21" t="s">
        <v>439</v>
      </c>
    </row>
    <row r="364" spans="1:24" ht="10.5" customHeight="1" x14ac:dyDescent="0.25">
      <c r="A364" s="20">
        <v>46034</v>
      </c>
      <c r="B364" s="21" t="str">
        <f t="shared" si="6"/>
        <v>12/01/2026NL300189</v>
      </c>
      <c r="C364" s="22" t="s">
        <v>531</v>
      </c>
      <c r="D364" s="22" t="s">
        <v>17</v>
      </c>
      <c r="E364" s="22" t="s">
        <v>431</v>
      </c>
      <c r="F364" s="21" t="s">
        <v>432</v>
      </c>
      <c r="G364" s="21" t="s">
        <v>433</v>
      </c>
      <c r="H364" s="21" t="s">
        <v>532</v>
      </c>
      <c r="I364" s="21" t="s">
        <v>378</v>
      </c>
      <c r="J364" s="21" t="s">
        <v>19</v>
      </c>
      <c r="K364" s="21" t="s">
        <v>442</v>
      </c>
      <c r="L364" s="23">
        <v>1</v>
      </c>
      <c r="M364" s="24">
        <v>15000</v>
      </c>
      <c r="N364" s="24">
        <v>0</v>
      </c>
      <c r="O364" s="25">
        <v>15000</v>
      </c>
      <c r="P364" s="25">
        <v>0</v>
      </c>
      <c r="Q364" s="24">
        <v>15000</v>
      </c>
      <c r="R364" s="21" t="s">
        <v>506</v>
      </c>
      <c r="S364" s="21" t="s">
        <v>437</v>
      </c>
      <c r="T364" s="21" t="s">
        <v>17</v>
      </c>
      <c r="U364" s="21" t="s">
        <v>507</v>
      </c>
      <c r="V364" s="21" t="s">
        <v>17</v>
      </c>
      <c r="W364" s="21" t="s">
        <v>439</v>
      </c>
      <c r="X364" s="21" t="s">
        <v>439</v>
      </c>
    </row>
    <row r="365" spans="1:24" ht="10.5" customHeight="1" x14ac:dyDescent="0.25">
      <c r="A365" s="20">
        <v>46034</v>
      </c>
      <c r="B365" s="21" t="str">
        <f t="shared" si="6"/>
        <v>12/01/2026NL300119</v>
      </c>
      <c r="C365" s="22" t="s">
        <v>531</v>
      </c>
      <c r="D365" s="22" t="s">
        <v>17</v>
      </c>
      <c r="E365" s="22" t="s">
        <v>431</v>
      </c>
      <c r="F365" s="21" t="s">
        <v>432</v>
      </c>
      <c r="G365" s="21" t="s">
        <v>433</v>
      </c>
      <c r="H365" s="21" t="s">
        <v>532</v>
      </c>
      <c r="I365" s="21" t="s">
        <v>310</v>
      </c>
      <c r="J365" s="21" t="s">
        <v>460</v>
      </c>
      <c r="K365" s="21" t="s">
        <v>442</v>
      </c>
      <c r="L365" s="23">
        <v>0.5</v>
      </c>
      <c r="M365" s="24">
        <v>21000</v>
      </c>
      <c r="N365" s="24">
        <v>0</v>
      </c>
      <c r="O365" s="25">
        <v>10500</v>
      </c>
      <c r="P365" s="25">
        <v>0</v>
      </c>
      <c r="Q365" s="24">
        <v>21000</v>
      </c>
      <c r="R365" s="21" t="s">
        <v>506</v>
      </c>
      <c r="S365" s="21" t="s">
        <v>437</v>
      </c>
      <c r="T365" s="21" t="s">
        <v>17</v>
      </c>
      <c r="U365" s="21" t="s">
        <v>507</v>
      </c>
      <c r="V365" s="21" t="s">
        <v>17</v>
      </c>
      <c r="W365" s="21" t="s">
        <v>439</v>
      </c>
      <c r="X365" s="21" t="s">
        <v>439</v>
      </c>
    </row>
    <row r="366" spans="1:24" ht="10.5" customHeight="1" x14ac:dyDescent="0.25">
      <c r="A366" s="20">
        <v>46034</v>
      </c>
      <c r="B366" s="21" t="str">
        <f t="shared" si="6"/>
        <v>12/01/2026NL300131</v>
      </c>
      <c r="C366" s="22" t="s">
        <v>531</v>
      </c>
      <c r="D366" s="22" t="s">
        <v>17</v>
      </c>
      <c r="E366" s="22" t="s">
        <v>431</v>
      </c>
      <c r="F366" s="21" t="s">
        <v>432</v>
      </c>
      <c r="G366" s="21" t="s">
        <v>433</v>
      </c>
      <c r="H366" s="21" t="s">
        <v>532</v>
      </c>
      <c r="I366" s="21" t="s">
        <v>340</v>
      </c>
      <c r="J366" s="21" t="s">
        <v>88</v>
      </c>
      <c r="K366" s="21" t="s">
        <v>442</v>
      </c>
      <c r="L366" s="23">
        <v>0.2</v>
      </c>
      <c r="M366" s="24">
        <v>220000</v>
      </c>
      <c r="N366" s="24">
        <v>0</v>
      </c>
      <c r="O366" s="25">
        <v>44000</v>
      </c>
      <c r="P366" s="25">
        <v>0</v>
      </c>
      <c r="Q366" s="24">
        <v>220000</v>
      </c>
      <c r="R366" s="21" t="s">
        <v>506</v>
      </c>
      <c r="S366" s="21" t="s">
        <v>437</v>
      </c>
      <c r="T366" s="21" t="s">
        <v>17</v>
      </c>
      <c r="U366" s="21" t="s">
        <v>507</v>
      </c>
      <c r="V366" s="21" t="s">
        <v>17</v>
      </c>
      <c r="W366" s="21" t="s">
        <v>439</v>
      </c>
      <c r="X366" s="21" t="s">
        <v>439</v>
      </c>
    </row>
    <row r="367" spans="1:24" ht="10.5" customHeight="1" x14ac:dyDescent="0.25">
      <c r="A367" s="20">
        <v>46034</v>
      </c>
      <c r="B367" s="21" t="str">
        <f t="shared" si="6"/>
        <v>12/01/2026NL300088</v>
      </c>
      <c r="C367" s="22" t="s">
        <v>531</v>
      </c>
      <c r="D367" s="22" t="s">
        <v>17</v>
      </c>
      <c r="E367" s="22" t="s">
        <v>431</v>
      </c>
      <c r="F367" s="21" t="s">
        <v>432</v>
      </c>
      <c r="G367" s="21" t="s">
        <v>433</v>
      </c>
      <c r="H367" s="21" t="s">
        <v>532</v>
      </c>
      <c r="I367" s="21" t="s">
        <v>254</v>
      </c>
      <c r="J367" s="21" t="s">
        <v>15</v>
      </c>
      <c r="K367" s="21" t="s">
        <v>442</v>
      </c>
      <c r="L367" s="23">
        <v>2</v>
      </c>
      <c r="M367" s="24">
        <v>27000</v>
      </c>
      <c r="N367" s="24">
        <v>0</v>
      </c>
      <c r="O367" s="25">
        <v>54000</v>
      </c>
      <c r="P367" s="25">
        <v>0</v>
      </c>
      <c r="Q367" s="24">
        <v>27000</v>
      </c>
      <c r="R367" s="21" t="s">
        <v>506</v>
      </c>
      <c r="S367" s="21" t="s">
        <v>437</v>
      </c>
      <c r="T367" s="21" t="s">
        <v>17</v>
      </c>
      <c r="U367" s="21" t="s">
        <v>507</v>
      </c>
      <c r="V367" s="21" t="s">
        <v>17</v>
      </c>
      <c r="W367" s="21" t="s">
        <v>439</v>
      </c>
      <c r="X367" s="21" t="s">
        <v>439</v>
      </c>
    </row>
    <row r="368" spans="1:24" ht="10.5" customHeight="1" x14ac:dyDescent="0.25">
      <c r="A368" s="20">
        <v>46034</v>
      </c>
      <c r="B368" s="21" t="str">
        <f t="shared" si="6"/>
        <v>12/01/2026NL300139</v>
      </c>
      <c r="C368" s="22" t="s">
        <v>531</v>
      </c>
      <c r="D368" s="22" t="s">
        <v>17</v>
      </c>
      <c r="E368" s="22" t="s">
        <v>431</v>
      </c>
      <c r="F368" s="21" t="s">
        <v>432</v>
      </c>
      <c r="G368" s="21" t="s">
        <v>433</v>
      </c>
      <c r="H368" s="21" t="s">
        <v>532</v>
      </c>
      <c r="I368" s="21" t="s">
        <v>348</v>
      </c>
      <c r="J368" s="21" t="s">
        <v>84</v>
      </c>
      <c r="K368" s="21" t="s">
        <v>442</v>
      </c>
      <c r="L368" s="23">
        <v>0.3</v>
      </c>
      <c r="M368" s="24">
        <v>42000</v>
      </c>
      <c r="N368" s="24">
        <v>0</v>
      </c>
      <c r="O368" s="25">
        <v>12600</v>
      </c>
      <c r="P368" s="25">
        <v>0</v>
      </c>
      <c r="Q368" s="24">
        <v>42000</v>
      </c>
      <c r="R368" s="21" t="s">
        <v>506</v>
      </c>
      <c r="S368" s="21" t="s">
        <v>437</v>
      </c>
      <c r="T368" s="21" t="s">
        <v>17</v>
      </c>
      <c r="U368" s="21" t="s">
        <v>507</v>
      </c>
      <c r="V368" s="21" t="s">
        <v>17</v>
      </c>
      <c r="W368" s="21" t="s">
        <v>439</v>
      </c>
      <c r="X368" s="21" t="s">
        <v>439</v>
      </c>
    </row>
    <row r="369" spans="1:24" ht="10.5" customHeight="1" x14ac:dyDescent="0.25">
      <c r="A369" s="20">
        <v>46034</v>
      </c>
      <c r="B369" s="21" t="str">
        <f t="shared" si="6"/>
        <v>12/01/2026NL300041</v>
      </c>
      <c r="C369" s="22" t="s">
        <v>531</v>
      </c>
      <c r="D369" s="22" t="s">
        <v>17</v>
      </c>
      <c r="E369" s="22" t="s">
        <v>431</v>
      </c>
      <c r="F369" s="21" t="s">
        <v>432</v>
      </c>
      <c r="G369" s="21" t="s">
        <v>433</v>
      </c>
      <c r="H369" s="21" t="s">
        <v>532</v>
      </c>
      <c r="I369" s="21" t="s">
        <v>222</v>
      </c>
      <c r="J369" s="21" t="s">
        <v>449</v>
      </c>
      <c r="K369" s="21" t="s">
        <v>450</v>
      </c>
      <c r="L369" s="23">
        <v>3</v>
      </c>
      <c r="M369" s="24">
        <v>15000</v>
      </c>
      <c r="N369" s="24">
        <v>0</v>
      </c>
      <c r="O369" s="25">
        <v>45000</v>
      </c>
      <c r="P369" s="25">
        <v>0</v>
      </c>
      <c r="Q369" s="24">
        <v>15000</v>
      </c>
      <c r="R369" s="21" t="s">
        <v>506</v>
      </c>
      <c r="S369" s="21" t="s">
        <v>437</v>
      </c>
      <c r="T369" s="21" t="s">
        <v>17</v>
      </c>
      <c r="U369" s="21" t="s">
        <v>507</v>
      </c>
      <c r="V369" s="21" t="s">
        <v>17</v>
      </c>
      <c r="W369" s="21" t="s">
        <v>439</v>
      </c>
      <c r="X369" s="21" t="s">
        <v>439</v>
      </c>
    </row>
    <row r="370" spans="1:24" ht="10.5" customHeight="1" x14ac:dyDescent="0.25">
      <c r="A370" s="20">
        <v>46034</v>
      </c>
      <c r="B370" s="21" t="str">
        <f t="shared" si="6"/>
        <v>12/01/2026NL300090</v>
      </c>
      <c r="C370" s="22" t="s">
        <v>531</v>
      </c>
      <c r="D370" s="22" t="s">
        <v>17</v>
      </c>
      <c r="E370" s="22" t="s">
        <v>431</v>
      </c>
      <c r="F370" s="21" t="s">
        <v>432</v>
      </c>
      <c r="G370" s="21" t="s">
        <v>433</v>
      </c>
      <c r="H370" s="21" t="s">
        <v>532</v>
      </c>
      <c r="I370" s="21" t="s">
        <v>255</v>
      </c>
      <c r="J370" s="21" t="s">
        <v>70</v>
      </c>
      <c r="K370" s="21" t="s">
        <v>442</v>
      </c>
      <c r="L370" s="23">
        <v>1</v>
      </c>
      <c r="M370" s="24">
        <v>145000</v>
      </c>
      <c r="N370" s="24">
        <v>0</v>
      </c>
      <c r="O370" s="25">
        <v>145000</v>
      </c>
      <c r="P370" s="25">
        <v>0</v>
      </c>
      <c r="Q370" s="24">
        <v>145000</v>
      </c>
      <c r="R370" s="21" t="s">
        <v>506</v>
      </c>
      <c r="S370" s="21" t="s">
        <v>437</v>
      </c>
      <c r="T370" s="21" t="s">
        <v>17</v>
      </c>
      <c r="U370" s="21" t="s">
        <v>507</v>
      </c>
      <c r="V370" s="21" t="s">
        <v>17</v>
      </c>
      <c r="W370" s="21" t="s">
        <v>439</v>
      </c>
      <c r="X370" s="21" t="s">
        <v>439</v>
      </c>
    </row>
    <row r="371" spans="1:24" ht="10.5" customHeight="1" x14ac:dyDescent="0.25">
      <c r="A371" s="20">
        <v>46034</v>
      </c>
      <c r="B371" s="21" t="str">
        <f t="shared" si="6"/>
        <v>12/01/2026NL300116</v>
      </c>
      <c r="C371" s="22" t="s">
        <v>531</v>
      </c>
      <c r="D371" s="22" t="s">
        <v>17</v>
      </c>
      <c r="E371" s="22" t="s">
        <v>431</v>
      </c>
      <c r="F371" s="21" t="s">
        <v>432</v>
      </c>
      <c r="G371" s="21" t="s">
        <v>433</v>
      </c>
      <c r="H371" s="21" t="s">
        <v>532</v>
      </c>
      <c r="I371" s="21" t="s">
        <v>315</v>
      </c>
      <c r="J371" s="21" t="s">
        <v>456</v>
      </c>
      <c r="K371" s="21" t="s">
        <v>442</v>
      </c>
      <c r="L371" s="23">
        <v>0.4</v>
      </c>
      <c r="M371" s="24">
        <v>148000</v>
      </c>
      <c r="N371" s="24">
        <v>0</v>
      </c>
      <c r="O371" s="25">
        <v>59200</v>
      </c>
      <c r="P371" s="25">
        <v>0</v>
      </c>
      <c r="Q371" s="24">
        <v>148000</v>
      </c>
      <c r="R371" s="21" t="s">
        <v>506</v>
      </c>
      <c r="S371" s="21" t="s">
        <v>437</v>
      </c>
      <c r="T371" s="21" t="s">
        <v>17</v>
      </c>
      <c r="U371" s="21" t="s">
        <v>507</v>
      </c>
      <c r="V371" s="21" t="s">
        <v>17</v>
      </c>
      <c r="W371" s="21" t="s">
        <v>439</v>
      </c>
      <c r="X371" s="21" t="s">
        <v>439</v>
      </c>
    </row>
    <row r="372" spans="1:24" ht="10.5" customHeight="1" x14ac:dyDescent="0.25">
      <c r="A372" s="20">
        <v>46034</v>
      </c>
      <c r="B372" s="21" t="str">
        <f t="shared" si="6"/>
        <v>12/01/2026NL300036</v>
      </c>
      <c r="C372" s="22" t="s">
        <v>531</v>
      </c>
      <c r="D372" s="22" t="s">
        <v>17</v>
      </c>
      <c r="E372" s="22" t="s">
        <v>431</v>
      </c>
      <c r="F372" s="21" t="s">
        <v>432</v>
      </c>
      <c r="G372" s="21" t="s">
        <v>433</v>
      </c>
      <c r="H372" s="21" t="s">
        <v>532</v>
      </c>
      <c r="I372" s="21" t="s">
        <v>380</v>
      </c>
      <c r="J372" s="21" t="s">
        <v>96</v>
      </c>
      <c r="K372" s="21" t="s">
        <v>442</v>
      </c>
      <c r="L372" s="23">
        <v>0.4</v>
      </c>
      <c r="M372" s="24">
        <v>47000</v>
      </c>
      <c r="N372" s="24">
        <v>0</v>
      </c>
      <c r="O372" s="25">
        <v>18800</v>
      </c>
      <c r="P372" s="25">
        <v>0</v>
      </c>
      <c r="Q372" s="24">
        <v>47000</v>
      </c>
      <c r="R372" s="21" t="s">
        <v>506</v>
      </c>
      <c r="S372" s="21" t="s">
        <v>437</v>
      </c>
      <c r="T372" s="21" t="s">
        <v>17</v>
      </c>
      <c r="U372" s="21" t="s">
        <v>507</v>
      </c>
      <c r="V372" s="21" t="s">
        <v>17</v>
      </c>
      <c r="W372" s="21" t="s">
        <v>439</v>
      </c>
      <c r="X372" s="21" t="s">
        <v>439</v>
      </c>
    </row>
    <row r="373" spans="1:24" ht="10.5" customHeight="1" x14ac:dyDescent="0.25">
      <c r="A373" s="20">
        <v>46034</v>
      </c>
      <c r="B373" s="21" t="str">
        <f t="shared" si="6"/>
        <v>12/01/2026NL300035</v>
      </c>
      <c r="C373" s="22" t="s">
        <v>531</v>
      </c>
      <c r="D373" s="22" t="s">
        <v>17</v>
      </c>
      <c r="E373" s="22" t="s">
        <v>431</v>
      </c>
      <c r="F373" s="21" t="s">
        <v>432</v>
      </c>
      <c r="G373" s="21" t="s">
        <v>433</v>
      </c>
      <c r="H373" s="21" t="s">
        <v>532</v>
      </c>
      <c r="I373" s="21" t="s">
        <v>383</v>
      </c>
      <c r="J373" s="21" t="s">
        <v>448</v>
      </c>
      <c r="K373" s="21" t="s">
        <v>442</v>
      </c>
      <c r="L373" s="23">
        <v>0.2</v>
      </c>
      <c r="M373" s="24">
        <v>25000</v>
      </c>
      <c r="N373" s="24">
        <v>0</v>
      </c>
      <c r="O373" s="25">
        <v>5000</v>
      </c>
      <c r="P373" s="25">
        <v>0</v>
      </c>
      <c r="Q373" s="24">
        <v>25000</v>
      </c>
      <c r="R373" s="21" t="s">
        <v>506</v>
      </c>
      <c r="S373" s="21" t="s">
        <v>437</v>
      </c>
      <c r="T373" s="21" t="s">
        <v>17</v>
      </c>
      <c r="U373" s="21" t="s">
        <v>507</v>
      </c>
      <c r="V373" s="21" t="s">
        <v>17</v>
      </c>
      <c r="W373" s="21" t="s">
        <v>439</v>
      </c>
      <c r="X373" s="21" t="s">
        <v>439</v>
      </c>
    </row>
    <row r="374" spans="1:24" ht="10.5" customHeight="1" x14ac:dyDescent="0.25">
      <c r="A374" s="20">
        <v>46034</v>
      </c>
      <c r="B374" s="21" t="str">
        <f t="shared" si="6"/>
        <v>12/01/2026NL600067</v>
      </c>
      <c r="C374" s="22" t="s">
        <v>531</v>
      </c>
      <c r="D374" s="22" t="s">
        <v>17</v>
      </c>
      <c r="E374" s="22" t="s">
        <v>431</v>
      </c>
      <c r="F374" s="21" t="s">
        <v>432</v>
      </c>
      <c r="G374" s="21" t="s">
        <v>433</v>
      </c>
      <c r="H374" s="21" t="s">
        <v>532</v>
      </c>
      <c r="I374" s="21" t="s">
        <v>376</v>
      </c>
      <c r="J374" s="21" t="s">
        <v>60</v>
      </c>
      <c r="K374" s="21" t="s">
        <v>442</v>
      </c>
      <c r="L374" s="23">
        <v>0.5</v>
      </c>
      <c r="M374" s="24">
        <v>75000</v>
      </c>
      <c r="N374" s="24">
        <v>0</v>
      </c>
      <c r="O374" s="25">
        <v>37500</v>
      </c>
      <c r="P374" s="25">
        <v>0</v>
      </c>
      <c r="Q374" s="24">
        <v>75000</v>
      </c>
      <c r="R374" s="21" t="s">
        <v>506</v>
      </c>
      <c r="S374" s="21" t="s">
        <v>437</v>
      </c>
      <c r="T374" s="21" t="s">
        <v>17</v>
      </c>
      <c r="U374" s="21" t="s">
        <v>507</v>
      </c>
      <c r="V374" s="21" t="s">
        <v>17</v>
      </c>
      <c r="W374" s="21" t="s">
        <v>439</v>
      </c>
      <c r="X374" s="21" t="s">
        <v>439</v>
      </c>
    </row>
    <row r="375" spans="1:24" ht="10.5" customHeight="1" x14ac:dyDescent="0.25">
      <c r="A375" s="20">
        <v>46034</v>
      </c>
      <c r="B375" s="21" t="str">
        <f t="shared" si="6"/>
        <v>12/01/2026NL300111</v>
      </c>
      <c r="C375" s="22" t="s">
        <v>531</v>
      </c>
      <c r="D375" s="22" t="s">
        <v>17</v>
      </c>
      <c r="E375" s="22" t="s">
        <v>431</v>
      </c>
      <c r="F375" s="21" t="s">
        <v>432</v>
      </c>
      <c r="G375" s="21" t="s">
        <v>433</v>
      </c>
      <c r="H375" s="21" t="s">
        <v>532</v>
      </c>
      <c r="I375" s="21" t="s">
        <v>379</v>
      </c>
      <c r="J375" s="21" t="s">
        <v>485</v>
      </c>
      <c r="K375" s="21" t="s">
        <v>442</v>
      </c>
      <c r="L375" s="23">
        <v>0.1</v>
      </c>
      <c r="M375" s="24">
        <v>185000</v>
      </c>
      <c r="N375" s="24">
        <v>0</v>
      </c>
      <c r="O375" s="25">
        <v>18500</v>
      </c>
      <c r="P375" s="25">
        <v>0</v>
      </c>
      <c r="Q375" s="24">
        <v>185000</v>
      </c>
      <c r="R375" s="21" t="s">
        <v>506</v>
      </c>
      <c r="S375" s="21" t="s">
        <v>437</v>
      </c>
      <c r="T375" s="21" t="s">
        <v>17</v>
      </c>
      <c r="U375" s="21" t="s">
        <v>507</v>
      </c>
      <c r="V375" s="21" t="s">
        <v>17</v>
      </c>
      <c r="W375" s="21" t="s">
        <v>439</v>
      </c>
      <c r="X375" s="21" t="s">
        <v>439</v>
      </c>
    </row>
    <row r="376" spans="1:24" ht="10.5" customHeight="1" x14ac:dyDescent="0.25">
      <c r="A376" s="20">
        <v>46034</v>
      </c>
      <c r="B376" s="21" t="str">
        <f t="shared" si="6"/>
        <v>12/01/2026NL300141</v>
      </c>
      <c r="C376" s="22" t="s">
        <v>531</v>
      </c>
      <c r="D376" s="22" t="s">
        <v>17</v>
      </c>
      <c r="E376" s="22" t="s">
        <v>431</v>
      </c>
      <c r="F376" s="21" t="s">
        <v>432</v>
      </c>
      <c r="G376" s="21" t="s">
        <v>433</v>
      </c>
      <c r="H376" s="21" t="s">
        <v>532</v>
      </c>
      <c r="I376" s="21" t="s">
        <v>375</v>
      </c>
      <c r="J376" s="21" t="s">
        <v>488</v>
      </c>
      <c r="K376" s="21" t="s">
        <v>442</v>
      </c>
      <c r="L376" s="23">
        <v>0.2</v>
      </c>
      <c r="M376" s="24">
        <v>92000</v>
      </c>
      <c r="N376" s="24">
        <v>0</v>
      </c>
      <c r="O376" s="25">
        <v>18400</v>
      </c>
      <c r="P376" s="25">
        <v>0</v>
      </c>
      <c r="Q376" s="24">
        <v>92000</v>
      </c>
      <c r="R376" s="21" t="s">
        <v>506</v>
      </c>
      <c r="S376" s="21" t="s">
        <v>437</v>
      </c>
      <c r="T376" s="21" t="s">
        <v>17</v>
      </c>
      <c r="U376" s="21" t="s">
        <v>507</v>
      </c>
      <c r="V376" s="21" t="s">
        <v>17</v>
      </c>
      <c r="W376" s="21" t="s">
        <v>439</v>
      </c>
      <c r="X376" s="21" t="s">
        <v>439</v>
      </c>
    </row>
    <row r="377" spans="1:24" ht="10.5" customHeight="1" x14ac:dyDescent="0.25">
      <c r="A377" s="20">
        <v>46034</v>
      </c>
      <c r="B377" s="21" t="str">
        <f t="shared" si="6"/>
        <v>12/01/2026NL100101</v>
      </c>
      <c r="C377" s="22" t="s">
        <v>531</v>
      </c>
      <c r="D377" s="22" t="s">
        <v>17</v>
      </c>
      <c r="E377" s="22" t="s">
        <v>431</v>
      </c>
      <c r="F377" s="21" t="s">
        <v>432</v>
      </c>
      <c r="G377" s="21" t="s">
        <v>433</v>
      </c>
      <c r="H377" s="21" t="s">
        <v>532</v>
      </c>
      <c r="I377" s="21" t="s">
        <v>344</v>
      </c>
      <c r="J377" s="21" t="s">
        <v>107</v>
      </c>
      <c r="K377" s="21" t="s">
        <v>435</v>
      </c>
      <c r="L377" s="23">
        <v>15</v>
      </c>
      <c r="M377" s="24">
        <v>5000</v>
      </c>
      <c r="N377" s="24">
        <v>0</v>
      </c>
      <c r="O377" s="25">
        <v>75000</v>
      </c>
      <c r="P377" s="25">
        <v>0</v>
      </c>
      <c r="Q377" s="24">
        <v>5000</v>
      </c>
      <c r="R377" s="21" t="s">
        <v>506</v>
      </c>
      <c r="S377" s="21" t="s">
        <v>437</v>
      </c>
      <c r="T377" s="21" t="s">
        <v>17</v>
      </c>
      <c r="U377" s="21" t="s">
        <v>507</v>
      </c>
      <c r="V377" s="21" t="s">
        <v>17</v>
      </c>
      <c r="W377" s="21" t="s">
        <v>439</v>
      </c>
      <c r="X377" s="21" t="s">
        <v>439</v>
      </c>
    </row>
    <row r="378" spans="1:24" ht="10.5" customHeight="1" x14ac:dyDescent="0.25">
      <c r="A378" s="20">
        <v>46035</v>
      </c>
      <c r="B378" s="21" t="str">
        <f t="shared" si="6"/>
        <v>13/01/2026NL600004</v>
      </c>
      <c r="C378" s="22" t="s">
        <v>533</v>
      </c>
      <c r="D378" s="22" t="s">
        <v>17</v>
      </c>
      <c r="E378" s="22" t="s">
        <v>431</v>
      </c>
      <c r="F378" s="21" t="s">
        <v>432</v>
      </c>
      <c r="G378" s="21" t="s">
        <v>433</v>
      </c>
      <c r="H378" s="21" t="s">
        <v>534</v>
      </c>
      <c r="I378" s="21" t="s">
        <v>225</v>
      </c>
      <c r="J378" s="21" t="s">
        <v>37</v>
      </c>
      <c r="K378" s="21" t="s">
        <v>442</v>
      </c>
      <c r="L378" s="23">
        <v>17.5</v>
      </c>
      <c r="M378" s="24">
        <v>18000</v>
      </c>
      <c r="N378" s="24">
        <v>0</v>
      </c>
      <c r="O378" s="25">
        <v>315000</v>
      </c>
      <c r="P378" s="25">
        <v>0</v>
      </c>
      <c r="Q378" s="24">
        <v>18000</v>
      </c>
      <c r="R378" s="21" t="s">
        <v>506</v>
      </c>
      <c r="S378" s="21" t="s">
        <v>437</v>
      </c>
      <c r="T378" s="21" t="s">
        <v>17</v>
      </c>
      <c r="U378" s="21" t="s">
        <v>507</v>
      </c>
      <c r="V378" s="21" t="s">
        <v>17</v>
      </c>
      <c r="W378" s="21" t="s">
        <v>439</v>
      </c>
      <c r="X378" s="21" t="s">
        <v>439</v>
      </c>
    </row>
    <row r="379" spans="1:24" ht="10.5" customHeight="1" x14ac:dyDescent="0.25">
      <c r="A379" s="20">
        <v>46035</v>
      </c>
      <c r="B379" s="21" t="str">
        <f t="shared" si="6"/>
        <v>13/01/2026NL300007</v>
      </c>
      <c r="C379" s="22" t="s">
        <v>533</v>
      </c>
      <c r="D379" s="22" t="s">
        <v>17</v>
      </c>
      <c r="E379" s="22" t="s">
        <v>431</v>
      </c>
      <c r="F379" s="21" t="s">
        <v>432</v>
      </c>
      <c r="G379" s="21" t="s">
        <v>433</v>
      </c>
      <c r="H379" s="21" t="s">
        <v>534</v>
      </c>
      <c r="I379" s="21" t="s">
        <v>309</v>
      </c>
      <c r="J379" s="21" t="s">
        <v>444</v>
      </c>
      <c r="K379" s="21" t="s">
        <v>442</v>
      </c>
      <c r="L379" s="23">
        <v>3</v>
      </c>
      <c r="M379" s="24">
        <v>30000</v>
      </c>
      <c r="N379" s="24">
        <v>0</v>
      </c>
      <c r="O379" s="25">
        <v>90000</v>
      </c>
      <c r="P379" s="25">
        <v>0</v>
      </c>
      <c r="Q379" s="24">
        <v>30000</v>
      </c>
      <c r="R379" s="21" t="s">
        <v>506</v>
      </c>
      <c r="S379" s="21" t="s">
        <v>437</v>
      </c>
      <c r="T379" s="21" t="s">
        <v>17</v>
      </c>
      <c r="U379" s="21" t="s">
        <v>507</v>
      </c>
      <c r="V379" s="21" t="s">
        <v>17</v>
      </c>
      <c r="W379" s="21" t="s">
        <v>439</v>
      </c>
      <c r="X379" s="21" t="s">
        <v>439</v>
      </c>
    </row>
    <row r="380" spans="1:24" ht="10.5" customHeight="1" x14ac:dyDescent="0.25">
      <c r="A380" s="20">
        <v>46035</v>
      </c>
      <c r="B380" s="21" t="str">
        <f t="shared" si="6"/>
        <v>13/01/2026NL300008</v>
      </c>
      <c r="C380" s="22" t="s">
        <v>533</v>
      </c>
      <c r="D380" s="22" t="s">
        <v>17</v>
      </c>
      <c r="E380" s="22" t="s">
        <v>431</v>
      </c>
      <c r="F380" s="21" t="s">
        <v>432</v>
      </c>
      <c r="G380" s="21" t="s">
        <v>433</v>
      </c>
      <c r="H380" s="21" t="s">
        <v>534</v>
      </c>
      <c r="I380" s="21" t="s">
        <v>320</v>
      </c>
      <c r="J380" s="21" t="s">
        <v>445</v>
      </c>
      <c r="K380" s="21" t="s">
        <v>442</v>
      </c>
      <c r="L380" s="23">
        <v>4</v>
      </c>
      <c r="M380" s="24">
        <v>40000</v>
      </c>
      <c r="N380" s="24">
        <v>0</v>
      </c>
      <c r="O380" s="25">
        <v>160000</v>
      </c>
      <c r="P380" s="25">
        <v>0</v>
      </c>
      <c r="Q380" s="24">
        <v>40000</v>
      </c>
      <c r="R380" s="21" t="s">
        <v>506</v>
      </c>
      <c r="S380" s="21" t="s">
        <v>437</v>
      </c>
      <c r="T380" s="21" t="s">
        <v>17</v>
      </c>
      <c r="U380" s="21" t="s">
        <v>507</v>
      </c>
      <c r="V380" s="21" t="s">
        <v>17</v>
      </c>
      <c r="W380" s="21" t="s">
        <v>439</v>
      </c>
      <c r="X380" s="21" t="s">
        <v>439</v>
      </c>
    </row>
    <row r="381" spans="1:24" ht="10.5" customHeight="1" x14ac:dyDescent="0.25">
      <c r="A381" s="20">
        <v>46035</v>
      </c>
      <c r="B381" s="21" t="str">
        <f t="shared" si="6"/>
        <v>13/01/2026NL300020</v>
      </c>
      <c r="C381" s="22" t="s">
        <v>533</v>
      </c>
      <c r="D381" s="22" t="s">
        <v>17</v>
      </c>
      <c r="E381" s="22" t="s">
        <v>431</v>
      </c>
      <c r="F381" s="21" t="s">
        <v>432</v>
      </c>
      <c r="G381" s="21" t="s">
        <v>433</v>
      </c>
      <c r="H381" s="21" t="s">
        <v>534</v>
      </c>
      <c r="I381" s="21" t="s">
        <v>326</v>
      </c>
      <c r="J381" s="21" t="s">
        <v>446</v>
      </c>
      <c r="K381" s="21" t="s">
        <v>442</v>
      </c>
      <c r="L381" s="23">
        <v>1</v>
      </c>
      <c r="M381" s="24">
        <v>30000</v>
      </c>
      <c r="N381" s="24">
        <v>0</v>
      </c>
      <c r="O381" s="25">
        <v>30000</v>
      </c>
      <c r="P381" s="25">
        <v>0</v>
      </c>
      <c r="Q381" s="24">
        <v>30000</v>
      </c>
      <c r="R381" s="21" t="s">
        <v>506</v>
      </c>
      <c r="S381" s="21" t="s">
        <v>437</v>
      </c>
      <c r="T381" s="21" t="s">
        <v>17</v>
      </c>
      <c r="U381" s="21" t="s">
        <v>507</v>
      </c>
      <c r="V381" s="21" t="s">
        <v>17</v>
      </c>
      <c r="W381" s="21" t="s">
        <v>439</v>
      </c>
      <c r="X381" s="21" t="s">
        <v>439</v>
      </c>
    </row>
    <row r="382" spans="1:24" ht="10.5" customHeight="1" x14ac:dyDescent="0.25">
      <c r="A382" s="20">
        <v>46035</v>
      </c>
      <c r="B382" s="21" t="str">
        <f t="shared" si="6"/>
        <v>13/01/2026NL300038</v>
      </c>
      <c r="C382" s="22" t="s">
        <v>533</v>
      </c>
      <c r="D382" s="22" t="s">
        <v>17</v>
      </c>
      <c r="E382" s="22" t="s">
        <v>431</v>
      </c>
      <c r="F382" s="21" t="s">
        <v>432</v>
      </c>
      <c r="G382" s="21" t="s">
        <v>433</v>
      </c>
      <c r="H382" s="21" t="s">
        <v>534</v>
      </c>
      <c r="I382" s="21" t="s">
        <v>217</v>
      </c>
      <c r="J382" s="21" t="s">
        <v>35</v>
      </c>
      <c r="K382" s="21" t="s">
        <v>442</v>
      </c>
      <c r="L382" s="23">
        <v>0.6</v>
      </c>
      <c r="M382" s="24">
        <v>32000</v>
      </c>
      <c r="N382" s="24">
        <v>0</v>
      </c>
      <c r="O382" s="25">
        <v>19200</v>
      </c>
      <c r="P382" s="25">
        <v>0</v>
      </c>
      <c r="Q382" s="24">
        <v>32000</v>
      </c>
      <c r="R382" s="21" t="s">
        <v>506</v>
      </c>
      <c r="S382" s="21" t="s">
        <v>437</v>
      </c>
      <c r="T382" s="21" t="s">
        <v>17</v>
      </c>
      <c r="U382" s="21" t="s">
        <v>507</v>
      </c>
      <c r="V382" s="21" t="s">
        <v>17</v>
      </c>
      <c r="W382" s="21" t="s">
        <v>439</v>
      </c>
      <c r="X382" s="21" t="s">
        <v>439</v>
      </c>
    </row>
    <row r="383" spans="1:24" ht="10.5" customHeight="1" x14ac:dyDescent="0.25">
      <c r="A383" s="20">
        <v>46035</v>
      </c>
      <c r="B383" s="21" t="str">
        <f t="shared" si="6"/>
        <v>13/01/2026NL300054</v>
      </c>
      <c r="C383" s="22" t="s">
        <v>533</v>
      </c>
      <c r="D383" s="22" t="s">
        <v>17</v>
      </c>
      <c r="E383" s="22" t="s">
        <v>431</v>
      </c>
      <c r="F383" s="21" t="s">
        <v>432</v>
      </c>
      <c r="G383" s="21" t="s">
        <v>433</v>
      </c>
      <c r="H383" s="21" t="s">
        <v>534</v>
      </c>
      <c r="I383" s="21" t="s">
        <v>216</v>
      </c>
      <c r="J383" s="21" t="s">
        <v>451</v>
      </c>
      <c r="K383" s="21" t="s">
        <v>442</v>
      </c>
      <c r="L383" s="23">
        <v>0.4</v>
      </c>
      <c r="M383" s="24">
        <v>38000</v>
      </c>
      <c r="N383" s="24">
        <v>0</v>
      </c>
      <c r="O383" s="25">
        <v>15200</v>
      </c>
      <c r="P383" s="25">
        <v>0</v>
      </c>
      <c r="Q383" s="24">
        <v>38000</v>
      </c>
      <c r="R383" s="21" t="s">
        <v>506</v>
      </c>
      <c r="S383" s="21" t="s">
        <v>437</v>
      </c>
      <c r="T383" s="21" t="s">
        <v>17</v>
      </c>
      <c r="U383" s="21" t="s">
        <v>507</v>
      </c>
      <c r="V383" s="21" t="s">
        <v>17</v>
      </c>
      <c r="W383" s="21" t="s">
        <v>439</v>
      </c>
      <c r="X383" s="21" t="s">
        <v>439</v>
      </c>
    </row>
    <row r="384" spans="1:24" ht="10.5" customHeight="1" x14ac:dyDescent="0.25">
      <c r="A384" s="20">
        <v>46035</v>
      </c>
      <c r="B384" s="21" t="str">
        <f t="shared" si="6"/>
        <v>13/01/2026NL300058</v>
      </c>
      <c r="C384" s="22" t="s">
        <v>533</v>
      </c>
      <c r="D384" s="22" t="s">
        <v>17</v>
      </c>
      <c r="E384" s="22" t="s">
        <v>431</v>
      </c>
      <c r="F384" s="21" t="s">
        <v>432</v>
      </c>
      <c r="G384" s="21" t="s">
        <v>433</v>
      </c>
      <c r="H384" s="21" t="s">
        <v>534</v>
      </c>
      <c r="I384" s="21" t="s">
        <v>228</v>
      </c>
      <c r="J384" s="21" t="s">
        <v>39</v>
      </c>
      <c r="K384" s="21" t="s">
        <v>442</v>
      </c>
      <c r="L384" s="23">
        <v>1</v>
      </c>
      <c r="M384" s="24">
        <v>55000</v>
      </c>
      <c r="N384" s="24">
        <v>0</v>
      </c>
      <c r="O384" s="25">
        <v>55000</v>
      </c>
      <c r="P384" s="25">
        <v>0</v>
      </c>
      <c r="Q384" s="24">
        <v>55000</v>
      </c>
      <c r="R384" s="21" t="s">
        <v>506</v>
      </c>
      <c r="S384" s="21" t="s">
        <v>437</v>
      </c>
      <c r="T384" s="21" t="s">
        <v>17</v>
      </c>
      <c r="U384" s="21" t="s">
        <v>507</v>
      </c>
      <c r="V384" s="21" t="s">
        <v>17</v>
      </c>
      <c r="W384" s="21" t="s">
        <v>439</v>
      </c>
      <c r="X384" s="21" t="s">
        <v>439</v>
      </c>
    </row>
    <row r="385" spans="1:24" ht="10.5" customHeight="1" x14ac:dyDescent="0.25">
      <c r="A385" s="20">
        <v>46035</v>
      </c>
      <c r="B385" s="21" t="str">
        <f t="shared" si="6"/>
        <v>13/01/2026NL300085</v>
      </c>
      <c r="C385" s="22" t="s">
        <v>533</v>
      </c>
      <c r="D385" s="22" t="s">
        <v>17</v>
      </c>
      <c r="E385" s="22" t="s">
        <v>431</v>
      </c>
      <c r="F385" s="21" t="s">
        <v>432</v>
      </c>
      <c r="G385" s="21" t="s">
        <v>433</v>
      </c>
      <c r="H385" s="21" t="s">
        <v>534</v>
      </c>
      <c r="I385" s="21" t="s">
        <v>263</v>
      </c>
      <c r="J385" s="21" t="s">
        <v>453</v>
      </c>
      <c r="K385" s="21" t="s">
        <v>442</v>
      </c>
      <c r="L385" s="23">
        <v>1</v>
      </c>
      <c r="M385" s="24">
        <v>45000</v>
      </c>
      <c r="N385" s="24">
        <v>0</v>
      </c>
      <c r="O385" s="25">
        <v>45000</v>
      </c>
      <c r="P385" s="25">
        <v>0</v>
      </c>
      <c r="Q385" s="24">
        <v>45000</v>
      </c>
      <c r="R385" s="21" t="s">
        <v>506</v>
      </c>
      <c r="S385" s="21" t="s">
        <v>437</v>
      </c>
      <c r="T385" s="21" t="s">
        <v>17</v>
      </c>
      <c r="U385" s="21" t="s">
        <v>507</v>
      </c>
      <c r="V385" s="21" t="s">
        <v>17</v>
      </c>
      <c r="W385" s="21" t="s">
        <v>439</v>
      </c>
      <c r="X385" s="21" t="s">
        <v>439</v>
      </c>
    </row>
    <row r="386" spans="1:24" ht="10.5" customHeight="1" x14ac:dyDescent="0.25">
      <c r="A386" s="20">
        <v>46035</v>
      </c>
      <c r="B386" s="21" t="str">
        <f t="shared" si="6"/>
        <v>13/01/2026NL300091</v>
      </c>
      <c r="C386" s="22" t="s">
        <v>533</v>
      </c>
      <c r="D386" s="22" t="s">
        <v>17</v>
      </c>
      <c r="E386" s="22" t="s">
        <v>431</v>
      </c>
      <c r="F386" s="21" t="s">
        <v>432</v>
      </c>
      <c r="G386" s="21" t="s">
        <v>433</v>
      </c>
      <c r="H386" s="21" t="s">
        <v>534</v>
      </c>
      <c r="I386" s="21" t="s">
        <v>256</v>
      </c>
      <c r="J386" s="21" t="s">
        <v>72</v>
      </c>
      <c r="K386" s="21" t="s">
        <v>442</v>
      </c>
      <c r="L386" s="23">
        <v>0.8</v>
      </c>
      <c r="M386" s="24">
        <v>47000</v>
      </c>
      <c r="N386" s="24">
        <v>0</v>
      </c>
      <c r="O386" s="25">
        <v>37600</v>
      </c>
      <c r="P386" s="25">
        <v>0</v>
      </c>
      <c r="Q386" s="24">
        <v>47000</v>
      </c>
      <c r="R386" s="21" t="s">
        <v>506</v>
      </c>
      <c r="S386" s="21" t="s">
        <v>437</v>
      </c>
      <c r="T386" s="21" t="s">
        <v>17</v>
      </c>
      <c r="U386" s="21" t="s">
        <v>507</v>
      </c>
      <c r="V386" s="21" t="s">
        <v>17</v>
      </c>
      <c r="W386" s="21" t="s">
        <v>439</v>
      </c>
      <c r="X386" s="21" t="s">
        <v>439</v>
      </c>
    </row>
    <row r="387" spans="1:24" ht="10.5" customHeight="1" x14ac:dyDescent="0.25">
      <c r="A387" s="20">
        <v>46035</v>
      </c>
      <c r="B387" s="21" t="str">
        <f t="shared" si="6"/>
        <v>13/01/2026NL300092</v>
      </c>
      <c r="C387" s="22" t="s">
        <v>533</v>
      </c>
      <c r="D387" s="22" t="s">
        <v>17</v>
      </c>
      <c r="E387" s="22" t="s">
        <v>431</v>
      </c>
      <c r="F387" s="21" t="s">
        <v>432</v>
      </c>
      <c r="G387" s="21" t="s">
        <v>433</v>
      </c>
      <c r="H387" s="21" t="s">
        <v>534</v>
      </c>
      <c r="I387" s="21" t="s">
        <v>329</v>
      </c>
      <c r="J387" s="21" t="s">
        <v>74</v>
      </c>
      <c r="K387" s="21" t="s">
        <v>442</v>
      </c>
      <c r="L387" s="23">
        <v>0.4</v>
      </c>
      <c r="M387" s="24">
        <v>90000</v>
      </c>
      <c r="N387" s="24">
        <v>0</v>
      </c>
      <c r="O387" s="25">
        <v>36000</v>
      </c>
      <c r="P387" s="25">
        <v>0</v>
      </c>
      <c r="Q387" s="24">
        <v>90000</v>
      </c>
      <c r="R387" s="21" t="s">
        <v>506</v>
      </c>
      <c r="S387" s="21" t="s">
        <v>437</v>
      </c>
      <c r="T387" s="21" t="s">
        <v>17</v>
      </c>
      <c r="U387" s="21" t="s">
        <v>507</v>
      </c>
      <c r="V387" s="21" t="s">
        <v>17</v>
      </c>
      <c r="W387" s="21" t="s">
        <v>439</v>
      </c>
      <c r="X387" s="21" t="s">
        <v>439</v>
      </c>
    </row>
    <row r="388" spans="1:24" ht="10.5" customHeight="1" x14ac:dyDescent="0.25">
      <c r="A388" s="20">
        <v>46035</v>
      </c>
      <c r="B388" s="21" t="str">
        <f t="shared" si="6"/>
        <v>13/01/2026NL300094</v>
      </c>
      <c r="C388" s="22" t="s">
        <v>533</v>
      </c>
      <c r="D388" s="22" t="s">
        <v>17</v>
      </c>
      <c r="E388" s="22" t="s">
        <v>431</v>
      </c>
      <c r="F388" s="21" t="s">
        <v>432</v>
      </c>
      <c r="G388" s="21" t="s">
        <v>433</v>
      </c>
      <c r="H388" s="21" t="s">
        <v>534</v>
      </c>
      <c r="I388" s="21" t="s">
        <v>257</v>
      </c>
      <c r="J388" s="21" t="s">
        <v>454</v>
      </c>
      <c r="K388" s="21" t="s">
        <v>442</v>
      </c>
      <c r="L388" s="23">
        <v>0.4</v>
      </c>
      <c r="M388" s="24">
        <v>80000</v>
      </c>
      <c r="N388" s="24">
        <v>0</v>
      </c>
      <c r="O388" s="25">
        <v>32000</v>
      </c>
      <c r="P388" s="25">
        <v>0</v>
      </c>
      <c r="Q388" s="24">
        <v>80000</v>
      </c>
      <c r="R388" s="21" t="s">
        <v>506</v>
      </c>
      <c r="S388" s="21" t="s">
        <v>437</v>
      </c>
      <c r="T388" s="21" t="s">
        <v>17</v>
      </c>
      <c r="U388" s="21" t="s">
        <v>507</v>
      </c>
      <c r="V388" s="21" t="s">
        <v>17</v>
      </c>
      <c r="W388" s="21" t="s">
        <v>439</v>
      </c>
      <c r="X388" s="21" t="s">
        <v>439</v>
      </c>
    </row>
    <row r="389" spans="1:24" ht="10.5" customHeight="1" x14ac:dyDescent="0.25">
      <c r="A389" s="20">
        <v>46035</v>
      </c>
      <c r="B389" s="21" t="str">
        <f t="shared" si="6"/>
        <v>13/01/2026NL300096</v>
      </c>
      <c r="C389" s="22" t="s">
        <v>533</v>
      </c>
      <c r="D389" s="22" t="s">
        <v>17</v>
      </c>
      <c r="E389" s="22" t="s">
        <v>431</v>
      </c>
      <c r="F389" s="21" t="s">
        <v>432</v>
      </c>
      <c r="G389" s="21" t="s">
        <v>433</v>
      </c>
      <c r="H389" s="21" t="s">
        <v>534</v>
      </c>
      <c r="I389" s="21" t="s">
        <v>258</v>
      </c>
      <c r="J389" s="21" t="s">
        <v>45</v>
      </c>
      <c r="K389" s="21" t="s">
        <v>442</v>
      </c>
      <c r="L389" s="23">
        <v>1.8</v>
      </c>
      <c r="M389" s="24">
        <v>45000</v>
      </c>
      <c r="N389" s="24">
        <v>0</v>
      </c>
      <c r="O389" s="25">
        <v>81000</v>
      </c>
      <c r="P389" s="25">
        <v>0</v>
      </c>
      <c r="Q389" s="24">
        <v>45000</v>
      </c>
      <c r="R389" s="21" t="s">
        <v>506</v>
      </c>
      <c r="S389" s="21" t="s">
        <v>437</v>
      </c>
      <c r="T389" s="21" t="s">
        <v>17</v>
      </c>
      <c r="U389" s="21" t="s">
        <v>507</v>
      </c>
      <c r="V389" s="21" t="s">
        <v>17</v>
      </c>
      <c r="W389" s="21" t="s">
        <v>439</v>
      </c>
      <c r="X389" s="21" t="s">
        <v>439</v>
      </c>
    </row>
    <row r="390" spans="1:24" ht="10.5" customHeight="1" x14ac:dyDescent="0.25">
      <c r="A390" s="20">
        <v>46035</v>
      </c>
      <c r="B390" s="21" t="str">
        <f t="shared" si="6"/>
        <v>13/01/2026NL300097</v>
      </c>
      <c r="C390" s="22" t="s">
        <v>533</v>
      </c>
      <c r="D390" s="22" t="s">
        <v>17</v>
      </c>
      <c r="E390" s="22" t="s">
        <v>431</v>
      </c>
      <c r="F390" s="21" t="s">
        <v>432</v>
      </c>
      <c r="G390" s="21" t="s">
        <v>433</v>
      </c>
      <c r="H390" s="21" t="s">
        <v>534</v>
      </c>
      <c r="I390" s="21" t="s">
        <v>331</v>
      </c>
      <c r="J390" s="21" t="s">
        <v>443</v>
      </c>
      <c r="K390" s="21" t="s">
        <v>442</v>
      </c>
      <c r="L390" s="23">
        <v>0.4</v>
      </c>
      <c r="M390" s="24">
        <v>90000</v>
      </c>
      <c r="N390" s="24">
        <v>0</v>
      </c>
      <c r="O390" s="25">
        <v>36000</v>
      </c>
      <c r="P390" s="25">
        <v>0</v>
      </c>
      <c r="Q390" s="24">
        <v>90000</v>
      </c>
      <c r="R390" s="21" t="s">
        <v>506</v>
      </c>
      <c r="S390" s="21" t="s">
        <v>437</v>
      </c>
      <c r="T390" s="21" t="s">
        <v>17</v>
      </c>
      <c r="U390" s="21" t="s">
        <v>507</v>
      </c>
      <c r="V390" s="21" t="s">
        <v>17</v>
      </c>
      <c r="W390" s="21" t="s">
        <v>439</v>
      </c>
      <c r="X390" s="21" t="s">
        <v>439</v>
      </c>
    </row>
    <row r="391" spans="1:24" ht="10.5" customHeight="1" x14ac:dyDescent="0.25">
      <c r="A391" s="20">
        <v>46035</v>
      </c>
      <c r="B391" s="21" t="str">
        <f t="shared" si="6"/>
        <v>13/01/2026NL300113</v>
      </c>
      <c r="C391" s="22" t="s">
        <v>533</v>
      </c>
      <c r="D391" s="22" t="s">
        <v>17</v>
      </c>
      <c r="E391" s="22" t="s">
        <v>431</v>
      </c>
      <c r="F391" s="21" t="s">
        <v>432</v>
      </c>
      <c r="G391" s="21" t="s">
        <v>433</v>
      </c>
      <c r="H391" s="21" t="s">
        <v>534</v>
      </c>
      <c r="I391" s="21" t="s">
        <v>271</v>
      </c>
      <c r="J391" s="21" t="s">
        <v>103</v>
      </c>
      <c r="K391" s="21" t="s">
        <v>442</v>
      </c>
      <c r="L391" s="23">
        <v>0.4</v>
      </c>
      <c r="M391" s="24">
        <v>145000</v>
      </c>
      <c r="N391" s="24">
        <v>0</v>
      </c>
      <c r="O391" s="25">
        <v>58000</v>
      </c>
      <c r="P391" s="25">
        <v>0</v>
      </c>
      <c r="Q391" s="24">
        <v>145000</v>
      </c>
      <c r="R391" s="21" t="s">
        <v>506</v>
      </c>
      <c r="S391" s="21" t="s">
        <v>437</v>
      </c>
      <c r="T391" s="21" t="s">
        <v>17</v>
      </c>
      <c r="U391" s="21" t="s">
        <v>507</v>
      </c>
      <c r="V391" s="21" t="s">
        <v>17</v>
      </c>
      <c r="W391" s="21" t="s">
        <v>439</v>
      </c>
      <c r="X391" s="21" t="s">
        <v>439</v>
      </c>
    </row>
    <row r="392" spans="1:24" ht="10.5" customHeight="1" x14ac:dyDescent="0.25">
      <c r="A392" s="20">
        <v>46035</v>
      </c>
      <c r="B392" s="21" t="str">
        <f t="shared" si="6"/>
        <v>13/01/2026NL300142</v>
      </c>
      <c r="C392" s="22" t="s">
        <v>533</v>
      </c>
      <c r="D392" s="22" t="s">
        <v>17</v>
      </c>
      <c r="E392" s="22" t="s">
        <v>431</v>
      </c>
      <c r="F392" s="21" t="s">
        <v>432</v>
      </c>
      <c r="G392" s="21" t="s">
        <v>433</v>
      </c>
      <c r="H392" s="21" t="s">
        <v>534</v>
      </c>
      <c r="I392" s="21" t="s">
        <v>317</v>
      </c>
      <c r="J392" s="21" t="s">
        <v>441</v>
      </c>
      <c r="K392" s="21" t="s">
        <v>442</v>
      </c>
      <c r="L392" s="23">
        <v>0.5</v>
      </c>
      <c r="M392" s="24">
        <v>50000</v>
      </c>
      <c r="N392" s="24">
        <v>0</v>
      </c>
      <c r="O392" s="25">
        <v>25000</v>
      </c>
      <c r="P392" s="25">
        <v>0</v>
      </c>
      <c r="Q392" s="24">
        <v>50000</v>
      </c>
      <c r="R392" s="21" t="s">
        <v>506</v>
      </c>
      <c r="S392" s="21" t="s">
        <v>437</v>
      </c>
      <c r="T392" s="21" t="s">
        <v>17</v>
      </c>
      <c r="U392" s="21" t="s">
        <v>507</v>
      </c>
      <c r="V392" s="21" t="s">
        <v>17</v>
      </c>
      <c r="W392" s="21" t="s">
        <v>439</v>
      </c>
      <c r="X392" s="21" t="s">
        <v>439</v>
      </c>
    </row>
    <row r="393" spans="1:24" ht="10.5" customHeight="1" x14ac:dyDescent="0.25">
      <c r="A393" s="20">
        <v>46035</v>
      </c>
      <c r="B393" s="21" t="str">
        <f t="shared" si="6"/>
        <v>13/01/2026NL300137</v>
      </c>
      <c r="C393" s="22" t="s">
        <v>533</v>
      </c>
      <c r="D393" s="22" t="s">
        <v>17</v>
      </c>
      <c r="E393" s="22" t="s">
        <v>431</v>
      </c>
      <c r="F393" s="21" t="s">
        <v>432</v>
      </c>
      <c r="G393" s="21" t="s">
        <v>433</v>
      </c>
      <c r="H393" s="21" t="s">
        <v>534</v>
      </c>
      <c r="I393" s="21" t="s">
        <v>196</v>
      </c>
      <c r="J393" s="21" t="s">
        <v>458</v>
      </c>
      <c r="K393" s="21" t="s">
        <v>442</v>
      </c>
      <c r="L393" s="23">
        <v>0.9</v>
      </c>
      <c r="M393" s="24">
        <v>52000</v>
      </c>
      <c r="N393" s="24">
        <v>0</v>
      </c>
      <c r="O393" s="25">
        <v>46800</v>
      </c>
      <c r="P393" s="25">
        <v>0</v>
      </c>
      <c r="Q393" s="24">
        <v>52000</v>
      </c>
      <c r="R393" s="21" t="s">
        <v>506</v>
      </c>
      <c r="S393" s="21" t="s">
        <v>437</v>
      </c>
      <c r="T393" s="21" t="s">
        <v>17</v>
      </c>
      <c r="U393" s="21" t="s">
        <v>507</v>
      </c>
      <c r="V393" s="21" t="s">
        <v>17</v>
      </c>
      <c r="W393" s="21" t="s">
        <v>439</v>
      </c>
      <c r="X393" s="21" t="s">
        <v>439</v>
      </c>
    </row>
    <row r="394" spans="1:24" ht="10.5" customHeight="1" x14ac:dyDescent="0.25">
      <c r="A394" s="20">
        <v>46035</v>
      </c>
      <c r="B394" s="21" t="str">
        <f t="shared" si="6"/>
        <v>13/01/2026NL300147</v>
      </c>
      <c r="C394" s="22" t="s">
        <v>533</v>
      </c>
      <c r="D394" s="22" t="s">
        <v>17</v>
      </c>
      <c r="E394" s="22" t="s">
        <v>431</v>
      </c>
      <c r="F394" s="21" t="s">
        <v>432</v>
      </c>
      <c r="G394" s="21" t="s">
        <v>433</v>
      </c>
      <c r="H394" s="21" t="s">
        <v>534</v>
      </c>
      <c r="I394" s="21" t="s">
        <v>300</v>
      </c>
      <c r="J394" s="21" t="s">
        <v>459</v>
      </c>
      <c r="K394" s="21" t="s">
        <v>442</v>
      </c>
      <c r="L394" s="23">
        <v>4</v>
      </c>
      <c r="M394" s="24">
        <v>62000</v>
      </c>
      <c r="N394" s="24">
        <v>0</v>
      </c>
      <c r="O394" s="25">
        <v>248000</v>
      </c>
      <c r="P394" s="25">
        <v>0</v>
      </c>
      <c r="Q394" s="24">
        <v>62000</v>
      </c>
      <c r="R394" s="21" t="s">
        <v>506</v>
      </c>
      <c r="S394" s="21" t="s">
        <v>437</v>
      </c>
      <c r="T394" s="21" t="s">
        <v>17</v>
      </c>
      <c r="U394" s="21" t="s">
        <v>507</v>
      </c>
      <c r="V394" s="21" t="s">
        <v>17</v>
      </c>
      <c r="W394" s="21" t="s">
        <v>439</v>
      </c>
      <c r="X394" s="21" t="s">
        <v>439</v>
      </c>
    </row>
    <row r="395" spans="1:24" ht="10.5" customHeight="1" x14ac:dyDescent="0.25">
      <c r="A395" s="20">
        <v>46035</v>
      </c>
      <c r="B395" s="21" t="str">
        <f t="shared" si="6"/>
        <v>13/01/2026NL300189</v>
      </c>
      <c r="C395" s="22" t="s">
        <v>533</v>
      </c>
      <c r="D395" s="22" t="s">
        <v>17</v>
      </c>
      <c r="E395" s="22" t="s">
        <v>431</v>
      </c>
      <c r="F395" s="21" t="s">
        <v>432</v>
      </c>
      <c r="G395" s="21" t="s">
        <v>433</v>
      </c>
      <c r="H395" s="21" t="s">
        <v>534</v>
      </c>
      <c r="I395" s="21" t="s">
        <v>378</v>
      </c>
      <c r="J395" s="21" t="s">
        <v>19</v>
      </c>
      <c r="K395" s="21" t="s">
        <v>442</v>
      </c>
      <c r="L395" s="23">
        <v>2</v>
      </c>
      <c r="M395" s="24">
        <v>15000</v>
      </c>
      <c r="N395" s="24">
        <v>0</v>
      </c>
      <c r="O395" s="25">
        <v>30000</v>
      </c>
      <c r="P395" s="25">
        <v>0</v>
      </c>
      <c r="Q395" s="24">
        <v>15000</v>
      </c>
      <c r="R395" s="21" t="s">
        <v>506</v>
      </c>
      <c r="S395" s="21" t="s">
        <v>437</v>
      </c>
      <c r="T395" s="21" t="s">
        <v>17</v>
      </c>
      <c r="U395" s="21" t="s">
        <v>507</v>
      </c>
      <c r="V395" s="21" t="s">
        <v>17</v>
      </c>
      <c r="W395" s="21" t="s">
        <v>439</v>
      </c>
      <c r="X395" s="21" t="s">
        <v>439</v>
      </c>
    </row>
    <row r="396" spans="1:24" ht="10.5" customHeight="1" x14ac:dyDescent="0.25">
      <c r="A396" s="20">
        <v>46035</v>
      </c>
      <c r="B396" s="21" t="str">
        <f t="shared" si="6"/>
        <v>13/01/2026NL300119</v>
      </c>
      <c r="C396" s="22" t="s">
        <v>533</v>
      </c>
      <c r="D396" s="22" t="s">
        <v>17</v>
      </c>
      <c r="E396" s="22" t="s">
        <v>431</v>
      </c>
      <c r="F396" s="21" t="s">
        <v>432</v>
      </c>
      <c r="G396" s="21" t="s">
        <v>433</v>
      </c>
      <c r="H396" s="21" t="s">
        <v>534</v>
      </c>
      <c r="I396" s="21" t="s">
        <v>310</v>
      </c>
      <c r="J396" s="21" t="s">
        <v>460</v>
      </c>
      <c r="K396" s="21" t="s">
        <v>442</v>
      </c>
      <c r="L396" s="23">
        <v>0.8</v>
      </c>
      <c r="M396" s="24">
        <v>21000</v>
      </c>
      <c r="N396" s="24">
        <v>0</v>
      </c>
      <c r="O396" s="25">
        <v>16800</v>
      </c>
      <c r="P396" s="25">
        <v>0</v>
      </c>
      <c r="Q396" s="24">
        <v>21000</v>
      </c>
      <c r="R396" s="21" t="s">
        <v>506</v>
      </c>
      <c r="S396" s="21" t="s">
        <v>437</v>
      </c>
      <c r="T396" s="21" t="s">
        <v>17</v>
      </c>
      <c r="U396" s="21" t="s">
        <v>507</v>
      </c>
      <c r="V396" s="21" t="s">
        <v>17</v>
      </c>
      <c r="W396" s="21" t="s">
        <v>439</v>
      </c>
      <c r="X396" s="21" t="s">
        <v>439</v>
      </c>
    </row>
    <row r="397" spans="1:24" ht="10.5" customHeight="1" x14ac:dyDescent="0.25">
      <c r="A397" s="20">
        <v>46035</v>
      </c>
      <c r="B397" s="21" t="str">
        <f t="shared" si="6"/>
        <v>13/01/2026NL300062</v>
      </c>
      <c r="C397" s="22" t="s">
        <v>533</v>
      </c>
      <c r="D397" s="22" t="s">
        <v>17</v>
      </c>
      <c r="E397" s="22" t="s">
        <v>431</v>
      </c>
      <c r="F397" s="21" t="s">
        <v>432</v>
      </c>
      <c r="G397" s="21" t="s">
        <v>433</v>
      </c>
      <c r="H397" s="21" t="s">
        <v>534</v>
      </c>
      <c r="I397" s="21" t="s">
        <v>236</v>
      </c>
      <c r="J397" s="21" t="s">
        <v>482</v>
      </c>
      <c r="K397" s="21" t="s">
        <v>442</v>
      </c>
      <c r="L397" s="23">
        <v>0.2</v>
      </c>
      <c r="M397" s="24">
        <v>65000</v>
      </c>
      <c r="N397" s="24">
        <v>0</v>
      </c>
      <c r="O397" s="25">
        <v>13000</v>
      </c>
      <c r="P397" s="25">
        <v>0</v>
      </c>
      <c r="Q397" s="24">
        <v>65000</v>
      </c>
      <c r="R397" s="21" t="s">
        <v>506</v>
      </c>
      <c r="S397" s="21" t="s">
        <v>437</v>
      </c>
      <c r="T397" s="21" t="s">
        <v>17</v>
      </c>
      <c r="U397" s="21" t="s">
        <v>507</v>
      </c>
      <c r="V397" s="21" t="s">
        <v>17</v>
      </c>
      <c r="W397" s="21" t="s">
        <v>439</v>
      </c>
      <c r="X397" s="21" t="s">
        <v>439</v>
      </c>
    </row>
    <row r="398" spans="1:24" ht="10.5" customHeight="1" x14ac:dyDescent="0.25">
      <c r="A398" s="20">
        <v>46035</v>
      </c>
      <c r="B398" s="21" t="str">
        <f t="shared" si="6"/>
        <v>13/01/2026NL300030</v>
      </c>
      <c r="C398" s="22" t="s">
        <v>533</v>
      </c>
      <c r="D398" s="22" t="s">
        <v>17</v>
      </c>
      <c r="E398" s="22" t="s">
        <v>431</v>
      </c>
      <c r="F398" s="21" t="s">
        <v>432</v>
      </c>
      <c r="G398" s="21" t="s">
        <v>433</v>
      </c>
      <c r="H398" s="21" t="s">
        <v>534</v>
      </c>
      <c r="I398" s="21" t="s">
        <v>313</v>
      </c>
      <c r="J398" s="21" t="s">
        <v>470</v>
      </c>
      <c r="K398" s="21" t="s">
        <v>442</v>
      </c>
      <c r="L398" s="23">
        <v>0.5</v>
      </c>
      <c r="M398" s="24">
        <v>34000</v>
      </c>
      <c r="N398" s="24">
        <v>0</v>
      </c>
      <c r="O398" s="25">
        <v>17000</v>
      </c>
      <c r="P398" s="25">
        <v>0</v>
      </c>
      <c r="Q398" s="24">
        <v>34000</v>
      </c>
      <c r="R398" s="21" t="s">
        <v>506</v>
      </c>
      <c r="S398" s="21" t="s">
        <v>437</v>
      </c>
      <c r="T398" s="21" t="s">
        <v>17</v>
      </c>
      <c r="U398" s="21" t="s">
        <v>507</v>
      </c>
      <c r="V398" s="21" t="s">
        <v>17</v>
      </c>
      <c r="W398" s="21" t="s">
        <v>439</v>
      </c>
      <c r="X398" s="21" t="s">
        <v>439</v>
      </c>
    </row>
    <row r="399" spans="1:24" ht="10.5" customHeight="1" x14ac:dyDescent="0.25">
      <c r="A399" s="20">
        <v>46035</v>
      </c>
      <c r="B399" s="21" t="str">
        <f t="shared" si="6"/>
        <v>13/01/2026NL300088</v>
      </c>
      <c r="C399" s="22" t="s">
        <v>533</v>
      </c>
      <c r="D399" s="22" t="s">
        <v>17</v>
      </c>
      <c r="E399" s="22" t="s">
        <v>431</v>
      </c>
      <c r="F399" s="21" t="s">
        <v>432</v>
      </c>
      <c r="G399" s="21" t="s">
        <v>433</v>
      </c>
      <c r="H399" s="21" t="s">
        <v>534</v>
      </c>
      <c r="I399" s="21" t="s">
        <v>254</v>
      </c>
      <c r="J399" s="21" t="s">
        <v>15</v>
      </c>
      <c r="K399" s="21" t="s">
        <v>442</v>
      </c>
      <c r="L399" s="23">
        <v>1.5</v>
      </c>
      <c r="M399" s="24">
        <v>27000</v>
      </c>
      <c r="N399" s="24">
        <v>0</v>
      </c>
      <c r="O399" s="25">
        <v>40500</v>
      </c>
      <c r="P399" s="25">
        <v>0</v>
      </c>
      <c r="Q399" s="24">
        <v>27000</v>
      </c>
      <c r="R399" s="21" t="s">
        <v>506</v>
      </c>
      <c r="S399" s="21" t="s">
        <v>437</v>
      </c>
      <c r="T399" s="21" t="s">
        <v>17</v>
      </c>
      <c r="U399" s="21" t="s">
        <v>507</v>
      </c>
      <c r="V399" s="21" t="s">
        <v>17</v>
      </c>
      <c r="W399" s="21" t="s">
        <v>439</v>
      </c>
      <c r="X399" s="21" t="s">
        <v>439</v>
      </c>
    </row>
    <row r="400" spans="1:24" ht="10.5" customHeight="1" x14ac:dyDescent="0.25">
      <c r="A400" s="20">
        <v>46035</v>
      </c>
      <c r="B400" s="21" t="str">
        <f t="shared" si="6"/>
        <v>13/01/2026NL300125</v>
      </c>
      <c r="C400" s="22" t="s">
        <v>533</v>
      </c>
      <c r="D400" s="22" t="s">
        <v>17</v>
      </c>
      <c r="E400" s="22" t="s">
        <v>431</v>
      </c>
      <c r="F400" s="21" t="s">
        <v>432</v>
      </c>
      <c r="G400" s="21" t="s">
        <v>433</v>
      </c>
      <c r="H400" s="21" t="s">
        <v>534</v>
      </c>
      <c r="I400" s="21" t="s">
        <v>337</v>
      </c>
      <c r="J400" s="21" t="s">
        <v>146</v>
      </c>
      <c r="K400" s="21" t="s">
        <v>442</v>
      </c>
      <c r="L400" s="23">
        <v>0.5</v>
      </c>
      <c r="M400" s="24">
        <v>42000</v>
      </c>
      <c r="N400" s="24">
        <v>0</v>
      </c>
      <c r="O400" s="25">
        <v>21000</v>
      </c>
      <c r="P400" s="25">
        <v>0</v>
      </c>
      <c r="Q400" s="24">
        <v>42000</v>
      </c>
      <c r="R400" s="21" t="s">
        <v>506</v>
      </c>
      <c r="S400" s="21" t="s">
        <v>437</v>
      </c>
      <c r="T400" s="21" t="s">
        <v>17</v>
      </c>
      <c r="U400" s="21" t="s">
        <v>507</v>
      </c>
      <c r="V400" s="21" t="s">
        <v>17</v>
      </c>
      <c r="W400" s="21" t="s">
        <v>439</v>
      </c>
      <c r="X400" s="21" t="s">
        <v>439</v>
      </c>
    </row>
    <row r="401" spans="1:24" ht="10.5" customHeight="1" x14ac:dyDescent="0.25">
      <c r="A401" s="20">
        <v>46035</v>
      </c>
      <c r="B401" s="21" t="str">
        <f t="shared" si="6"/>
        <v>13/01/2026NL300029</v>
      </c>
      <c r="C401" s="22" t="s">
        <v>533</v>
      </c>
      <c r="D401" s="22" t="s">
        <v>17</v>
      </c>
      <c r="E401" s="22" t="s">
        <v>431</v>
      </c>
      <c r="F401" s="21" t="s">
        <v>432</v>
      </c>
      <c r="G401" s="21" t="s">
        <v>433</v>
      </c>
      <c r="H401" s="21" t="s">
        <v>534</v>
      </c>
      <c r="I401" s="21" t="s">
        <v>213</v>
      </c>
      <c r="J401" s="21" t="s">
        <v>469</v>
      </c>
      <c r="K401" s="21" t="s">
        <v>442</v>
      </c>
      <c r="L401" s="23">
        <v>0.83</v>
      </c>
      <c r="M401" s="24">
        <v>22000</v>
      </c>
      <c r="N401" s="24">
        <v>0</v>
      </c>
      <c r="O401" s="25">
        <v>18260</v>
      </c>
      <c r="P401" s="25">
        <v>0</v>
      </c>
      <c r="Q401" s="24">
        <v>22000</v>
      </c>
      <c r="R401" s="21" t="s">
        <v>506</v>
      </c>
      <c r="S401" s="21" t="s">
        <v>437</v>
      </c>
      <c r="T401" s="21" t="s">
        <v>17</v>
      </c>
      <c r="U401" s="21" t="s">
        <v>507</v>
      </c>
      <c r="V401" s="21" t="s">
        <v>17</v>
      </c>
      <c r="W401" s="21" t="s">
        <v>439</v>
      </c>
      <c r="X401" s="21" t="s">
        <v>439</v>
      </c>
    </row>
    <row r="402" spans="1:24" ht="10.5" customHeight="1" x14ac:dyDescent="0.25">
      <c r="A402" s="20">
        <v>46035</v>
      </c>
      <c r="B402" s="21" t="str">
        <f t="shared" si="6"/>
        <v>13/01/2026NL300107</v>
      </c>
      <c r="C402" s="22" t="s">
        <v>533</v>
      </c>
      <c r="D402" s="22" t="s">
        <v>17</v>
      </c>
      <c r="E402" s="22" t="s">
        <v>431</v>
      </c>
      <c r="F402" s="21" t="s">
        <v>432</v>
      </c>
      <c r="G402" s="21" t="s">
        <v>433</v>
      </c>
      <c r="H402" s="21" t="s">
        <v>534</v>
      </c>
      <c r="I402" s="21" t="s">
        <v>193</v>
      </c>
      <c r="J402" s="21" t="s">
        <v>455</v>
      </c>
      <c r="K402" s="21" t="s">
        <v>450</v>
      </c>
      <c r="L402" s="23">
        <v>10</v>
      </c>
      <c r="M402" s="24">
        <v>8500</v>
      </c>
      <c r="N402" s="24">
        <v>0</v>
      </c>
      <c r="O402" s="25">
        <v>85000</v>
      </c>
      <c r="P402" s="25">
        <v>0</v>
      </c>
      <c r="Q402" s="24">
        <v>8500</v>
      </c>
      <c r="R402" s="21" t="s">
        <v>506</v>
      </c>
      <c r="S402" s="21" t="s">
        <v>437</v>
      </c>
      <c r="T402" s="21" t="s">
        <v>17</v>
      </c>
      <c r="U402" s="21" t="s">
        <v>507</v>
      </c>
      <c r="V402" s="21" t="s">
        <v>17</v>
      </c>
      <c r="W402" s="21" t="s">
        <v>439</v>
      </c>
      <c r="X402" s="21" t="s">
        <v>439</v>
      </c>
    </row>
    <row r="403" spans="1:24" ht="10.5" customHeight="1" x14ac:dyDescent="0.25">
      <c r="A403" s="20">
        <v>46035</v>
      </c>
      <c r="B403" s="21" t="str">
        <f t="shared" si="6"/>
        <v>13/01/2026NL300055</v>
      </c>
      <c r="C403" s="22" t="s">
        <v>533</v>
      </c>
      <c r="D403" s="22" t="s">
        <v>17</v>
      </c>
      <c r="E403" s="22" t="s">
        <v>431</v>
      </c>
      <c r="F403" s="21" t="s">
        <v>432</v>
      </c>
      <c r="G403" s="21" t="s">
        <v>433</v>
      </c>
      <c r="H403" s="21" t="s">
        <v>534</v>
      </c>
      <c r="I403" s="21" t="s">
        <v>230</v>
      </c>
      <c r="J403" s="21" t="s">
        <v>452</v>
      </c>
      <c r="K403" s="21" t="s">
        <v>442</v>
      </c>
      <c r="L403" s="23">
        <v>0.3</v>
      </c>
      <c r="M403" s="24">
        <v>80000</v>
      </c>
      <c r="N403" s="24">
        <v>0</v>
      </c>
      <c r="O403" s="25">
        <v>24000</v>
      </c>
      <c r="P403" s="25">
        <v>0</v>
      </c>
      <c r="Q403" s="24">
        <v>80000</v>
      </c>
      <c r="R403" s="21" t="s">
        <v>506</v>
      </c>
      <c r="S403" s="21" t="s">
        <v>437</v>
      </c>
      <c r="T403" s="21" t="s">
        <v>17</v>
      </c>
      <c r="U403" s="21" t="s">
        <v>507</v>
      </c>
      <c r="V403" s="21" t="s">
        <v>17</v>
      </c>
      <c r="W403" s="21" t="s">
        <v>439</v>
      </c>
      <c r="X403" s="21" t="s">
        <v>439</v>
      </c>
    </row>
    <row r="404" spans="1:24" ht="10.5" customHeight="1" x14ac:dyDescent="0.25">
      <c r="A404" s="20">
        <v>46035</v>
      </c>
      <c r="B404" s="21" t="str">
        <f t="shared" si="6"/>
        <v>13/01/2026NL300090</v>
      </c>
      <c r="C404" s="22" t="s">
        <v>533</v>
      </c>
      <c r="D404" s="22" t="s">
        <v>17</v>
      </c>
      <c r="E404" s="22" t="s">
        <v>431</v>
      </c>
      <c r="F404" s="21" t="s">
        <v>432</v>
      </c>
      <c r="G404" s="21" t="s">
        <v>433</v>
      </c>
      <c r="H404" s="21" t="s">
        <v>534</v>
      </c>
      <c r="I404" s="21" t="s">
        <v>255</v>
      </c>
      <c r="J404" s="21" t="s">
        <v>70</v>
      </c>
      <c r="K404" s="21" t="s">
        <v>442</v>
      </c>
      <c r="L404" s="23">
        <v>2.8</v>
      </c>
      <c r="M404" s="24">
        <v>145000</v>
      </c>
      <c r="N404" s="24">
        <v>0</v>
      </c>
      <c r="O404" s="25">
        <v>406000</v>
      </c>
      <c r="P404" s="25">
        <v>0</v>
      </c>
      <c r="Q404" s="24">
        <v>145000</v>
      </c>
      <c r="R404" s="21" t="s">
        <v>506</v>
      </c>
      <c r="S404" s="21" t="s">
        <v>437</v>
      </c>
      <c r="T404" s="21" t="s">
        <v>17</v>
      </c>
      <c r="U404" s="21" t="s">
        <v>507</v>
      </c>
      <c r="V404" s="21" t="s">
        <v>17</v>
      </c>
      <c r="W404" s="21" t="s">
        <v>439</v>
      </c>
      <c r="X404" s="21" t="s">
        <v>439</v>
      </c>
    </row>
    <row r="405" spans="1:24" ht="10.5" customHeight="1" x14ac:dyDescent="0.25">
      <c r="A405" s="20">
        <v>46035</v>
      </c>
      <c r="B405" s="21" t="str">
        <f t="shared" si="6"/>
        <v>13/01/2026NL300184</v>
      </c>
      <c r="C405" s="22" t="s">
        <v>533</v>
      </c>
      <c r="D405" s="22" t="s">
        <v>17</v>
      </c>
      <c r="E405" s="22" t="s">
        <v>431</v>
      </c>
      <c r="F405" s="21" t="s">
        <v>432</v>
      </c>
      <c r="G405" s="21" t="s">
        <v>433</v>
      </c>
      <c r="H405" s="21" t="s">
        <v>534</v>
      </c>
      <c r="I405" s="21" t="s">
        <v>368</v>
      </c>
      <c r="J405" s="21" t="s">
        <v>462</v>
      </c>
      <c r="K405" s="21" t="s">
        <v>442</v>
      </c>
      <c r="L405" s="23">
        <v>0.5</v>
      </c>
      <c r="M405" s="24">
        <v>18000</v>
      </c>
      <c r="N405" s="24">
        <v>0</v>
      </c>
      <c r="O405" s="25">
        <v>9000</v>
      </c>
      <c r="P405" s="25">
        <v>0</v>
      </c>
      <c r="Q405" s="24">
        <v>18000</v>
      </c>
      <c r="R405" s="21" t="s">
        <v>506</v>
      </c>
      <c r="S405" s="21" t="s">
        <v>437</v>
      </c>
      <c r="T405" s="21" t="s">
        <v>17</v>
      </c>
      <c r="U405" s="21" t="s">
        <v>507</v>
      </c>
      <c r="V405" s="21" t="s">
        <v>17</v>
      </c>
      <c r="W405" s="21" t="s">
        <v>439</v>
      </c>
      <c r="X405" s="21" t="s">
        <v>439</v>
      </c>
    </row>
    <row r="406" spans="1:24" ht="10.5" customHeight="1" x14ac:dyDescent="0.25">
      <c r="A406" s="20">
        <v>46035</v>
      </c>
      <c r="B406" s="21" t="str">
        <f t="shared" ref="B406:B469" si="7">""&amp;DAY(A406)&amp;"/01/2026"&amp;I406</f>
        <v>13/01/2026NL300025</v>
      </c>
      <c r="C406" s="22" t="s">
        <v>533</v>
      </c>
      <c r="D406" s="22" t="s">
        <v>17</v>
      </c>
      <c r="E406" s="22" t="s">
        <v>431</v>
      </c>
      <c r="F406" s="21" t="s">
        <v>432</v>
      </c>
      <c r="G406" s="21" t="s">
        <v>433</v>
      </c>
      <c r="H406" s="21" t="s">
        <v>534</v>
      </c>
      <c r="I406" s="21" t="s">
        <v>211</v>
      </c>
      <c r="J406" s="21" t="s">
        <v>447</v>
      </c>
      <c r="K406" s="21" t="s">
        <v>442</v>
      </c>
      <c r="L406" s="23">
        <v>0.5</v>
      </c>
      <c r="M406" s="24">
        <v>44000</v>
      </c>
      <c r="N406" s="24">
        <v>0</v>
      </c>
      <c r="O406" s="25">
        <v>22000</v>
      </c>
      <c r="P406" s="25">
        <v>0</v>
      </c>
      <c r="Q406" s="24">
        <v>44000</v>
      </c>
      <c r="R406" s="21" t="s">
        <v>506</v>
      </c>
      <c r="S406" s="21" t="s">
        <v>437</v>
      </c>
      <c r="T406" s="21" t="s">
        <v>17</v>
      </c>
      <c r="U406" s="21" t="s">
        <v>507</v>
      </c>
      <c r="V406" s="21" t="s">
        <v>17</v>
      </c>
      <c r="W406" s="21" t="s">
        <v>439</v>
      </c>
      <c r="X406" s="21" t="s">
        <v>439</v>
      </c>
    </row>
    <row r="407" spans="1:24" ht="10.5" customHeight="1" x14ac:dyDescent="0.25">
      <c r="A407" s="20">
        <v>46035</v>
      </c>
      <c r="B407" s="21" t="str">
        <f t="shared" si="7"/>
        <v>13/01/2026NL300158</v>
      </c>
      <c r="C407" s="22" t="s">
        <v>533</v>
      </c>
      <c r="D407" s="22" t="s">
        <v>17</v>
      </c>
      <c r="E407" s="22" t="s">
        <v>431</v>
      </c>
      <c r="F407" s="21" t="s">
        <v>432</v>
      </c>
      <c r="G407" s="21" t="s">
        <v>433</v>
      </c>
      <c r="H407" s="21" t="s">
        <v>534</v>
      </c>
      <c r="I407" s="21" t="s">
        <v>367</v>
      </c>
      <c r="J407" s="21" t="s">
        <v>481</v>
      </c>
      <c r="K407" s="21" t="s">
        <v>442</v>
      </c>
      <c r="L407" s="23">
        <v>0.2</v>
      </c>
      <c r="M407" s="24">
        <v>250000</v>
      </c>
      <c r="N407" s="24">
        <v>0</v>
      </c>
      <c r="O407" s="25">
        <v>50000</v>
      </c>
      <c r="P407" s="25">
        <v>0</v>
      </c>
      <c r="Q407" s="24">
        <v>250000</v>
      </c>
      <c r="R407" s="21" t="s">
        <v>506</v>
      </c>
      <c r="S407" s="21" t="s">
        <v>437</v>
      </c>
      <c r="T407" s="21" t="s">
        <v>17</v>
      </c>
      <c r="U407" s="21" t="s">
        <v>507</v>
      </c>
      <c r="V407" s="21" t="s">
        <v>17</v>
      </c>
      <c r="W407" s="21" t="s">
        <v>439</v>
      </c>
      <c r="X407" s="21" t="s">
        <v>439</v>
      </c>
    </row>
    <row r="408" spans="1:24" ht="10.5" customHeight="1" x14ac:dyDescent="0.25">
      <c r="A408" s="20">
        <v>46035</v>
      </c>
      <c r="B408" s="21" t="str">
        <f t="shared" si="7"/>
        <v>13/01/2026NL300101</v>
      </c>
      <c r="C408" s="22" t="s">
        <v>533</v>
      </c>
      <c r="D408" s="22" t="s">
        <v>17</v>
      </c>
      <c r="E408" s="22" t="s">
        <v>431</v>
      </c>
      <c r="F408" s="21" t="s">
        <v>432</v>
      </c>
      <c r="G408" s="21" t="s">
        <v>433</v>
      </c>
      <c r="H408" s="21" t="s">
        <v>534</v>
      </c>
      <c r="I408" s="21" t="s">
        <v>343</v>
      </c>
      <c r="J408" s="21" t="s">
        <v>480</v>
      </c>
      <c r="K408" s="21" t="s">
        <v>442</v>
      </c>
      <c r="L408" s="23">
        <v>0.4</v>
      </c>
      <c r="M408" s="24">
        <v>195000</v>
      </c>
      <c r="N408" s="24">
        <v>0</v>
      </c>
      <c r="O408" s="25">
        <v>78000</v>
      </c>
      <c r="P408" s="25">
        <v>0</v>
      </c>
      <c r="Q408" s="24">
        <v>195000</v>
      </c>
      <c r="R408" s="21" t="s">
        <v>506</v>
      </c>
      <c r="S408" s="21" t="s">
        <v>437</v>
      </c>
      <c r="T408" s="21" t="s">
        <v>17</v>
      </c>
      <c r="U408" s="21" t="s">
        <v>507</v>
      </c>
      <c r="V408" s="21" t="s">
        <v>17</v>
      </c>
      <c r="W408" s="21" t="s">
        <v>439</v>
      </c>
      <c r="X408" s="21" t="s">
        <v>439</v>
      </c>
    </row>
    <row r="409" spans="1:24" ht="10.5" customHeight="1" x14ac:dyDescent="0.25">
      <c r="A409" s="20">
        <v>46035</v>
      </c>
      <c r="B409" s="21" t="str">
        <f t="shared" si="7"/>
        <v>13/01/2026NL600067</v>
      </c>
      <c r="C409" s="22" t="s">
        <v>533</v>
      </c>
      <c r="D409" s="22" t="s">
        <v>17</v>
      </c>
      <c r="E409" s="22" t="s">
        <v>431</v>
      </c>
      <c r="F409" s="21" t="s">
        <v>432</v>
      </c>
      <c r="G409" s="21" t="s">
        <v>433</v>
      </c>
      <c r="H409" s="21" t="s">
        <v>534</v>
      </c>
      <c r="I409" s="21" t="s">
        <v>376</v>
      </c>
      <c r="J409" s="21" t="s">
        <v>60</v>
      </c>
      <c r="K409" s="21" t="s">
        <v>442</v>
      </c>
      <c r="L409" s="23">
        <v>0.4</v>
      </c>
      <c r="M409" s="24">
        <v>75000</v>
      </c>
      <c r="N409" s="24">
        <v>0</v>
      </c>
      <c r="O409" s="25">
        <v>30000</v>
      </c>
      <c r="P409" s="25">
        <v>0</v>
      </c>
      <c r="Q409" s="24">
        <v>75000</v>
      </c>
      <c r="R409" s="21" t="s">
        <v>506</v>
      </c>
      <c r="S409" s="21" t="s">
        <v>437</v>
      </c>
      <c r="T409" s="21" t="s">
        <v>17</v>
      </c>
      <c r="U409" s="21" t="s">
        <v>507</v>
      </c>
      <c r="V409" s="21" t="s">
        <v>17</v>
      </c>
      <c r="W409" s="21" t="s">
        <v>439</v>
      </c>
      <c r="X409" s="21" t="s">
        <v>439</v>
      </c>
    </row>
    <row r="410" spans="1:24" ht="10.5" customHeight="1" x14ac:dyDescent="0.25">
      <c r="A410" s="20">
        <v>46035</v>
      </c>
      <c r="B410" s="21" t="str">
        <f t="shared" si="7"/>
        <v>13/01/2026NL300073</v>
      </c>
      <c r="C410" s="22" t="s">
        <v>533</v>
      </c>
      <c r="D410" s="22" t="s">
        <v>17</v>
      </c>
      <c r="E410" s="22" t="s">
        <v>431</v>
      </c>
      <c r="F410" s="21" t="s">
        <v>432</v>
      </c>
      <c r="G410" s="21" t="s">
        <v>433</v>
      </c>
      <c r="H410" s="21" t="s">
        <v>534</v>
      </c>
      <c r="I410" s="21" t="s">
        <v>241</v>
      </c>
      <c r="J410" s="21" t="s">
        <v>43</v>
      </c>
      <c r="K410" s="21" t="s">
        <v>442</v>
      </c>
      <c r="L410" s="23">
        <v>0.1</v>
      </c>
      <c r="M410" s="24">
        <v>42000</v>
      </c>
      <c r="N410" s="24">
        <v>0</v>
      </c>
      <c r="O410" s="25">
        <v>4200</v>
      </c>
      <c r="P410" s="25">
        <v>0</v>
      </c>
      <c r="Q410" s="24">
        <v>42000</v>
      </c>
      <c r="R410" s="21" t="s">
        <v>506</v>
      </c>
      <c r="S410" s="21" t="s">
        <v>437</v>
      </c>
      <c r="T410" s="21" t="s">
        <v>17</v>
      </c>
      <c r="U410" s="21" t="s">
        <v>507</v>
      </c>
      <c r="V410" s="21" t="s">
        <v>17</v>
      </c>
      <c r="W410" s="21" t="s">
        <v>439</v>
      </c>
      <c r="X410" s="21" t="s">
        <v>439</v>
      </c>
    </row>
    <row r="411" spans="1:24" ht="10.5" customHeight="1" x14ac:dyDescent="0.25">
      <c r="A411" s="20">
        <v>46035</v>
      </c>
      <c r="B411" s="21" t="str">
        <f t="shared" si="7"/>
        <v>13/01/2026NL100101</v>
      </c>
      <c r="C411" s="22" t="s">
        <v>533</v>
      </c>
      <c r="D411" s="22" t="s">
        <v>17</v>
      </c>
      <c r="E411" s="22" t="s">
        <v>431</v>
      </c>
      <c r="F411" s="21" t="s">
        <v>432</v>
      </c>
      <c r="G411" s="21" t="s">
        <v>433</v>
      </c>
      <c r="H411" s="21" t="s">
        <v>534</v>
      </c>
      <c r="I411" s="21" t="s">
        <v>344</v>
      </c>
      <c r="J411" s="21" t="s">
        <v>107</v>
      </c>
      <c r="K411" s="21" t="s">
        <v>435</v>
      </c>
      <c r="L411" s="23">
        <v>30</v>
      </c>
      <c r="M411" s="24">
        <v>5000</v>
      </c>
      <c r="N411" s="24">
        <v>0</v>
      </c>
      <c r="O411" s="25">
        <v>150000</v>
      </c>
      <c r="P411" s="25">
        <v>0</v>
      </c>
      <c r="Q411" s="24">
        <v>5000</v>
      </c>
      <c r="R411" s="21" t="s">
        <v>506</v>
      </c>
      <c r="S411" s="21" t="s">
        <v>437</v>
      </c>
      <c r="T411" s="21" t="s">
        <v>17</v>
      </c>
      <c r="U411" s="21" t="s">
        <v>507</v>
      </c>
      <c r="V411" s="21" t="s">
        <v>17</v>
      </c>
      <c r="W411" s="21" t="s">
        <v>439</v>
      </c>
      <c r="X411" s="21" t="s">
        <v>439</v>
      </c>
    </row>
    <row r="412" spans="1:24" ht="10.5" customHeight="1" x14ac:dyDescent="0.25">
      <c r="A412" s="20">
        <v>46035</v>
      </c>
      <c r="B412" s="21" t="str">
        <f t="shared" si="7"/>
        <v>13/01/2026NL300140</v>
      </c>
      <c r="C412" s="22" t="s">
        <v>533</v>
      </c>
      <c r="D412" s="22" t="s">
        <v>17</v>
      </c>
      <c r="E412" s="22" t="s">
        <v>431</v>
      </c>
      <c r="F412" s="21" t="s">
        <v>432</v>
      </c>
      <c r="G412" s="21" t="s">
        <v>433</v>
      </c>
      <c r="H412" s="21" t="s">
        <v>534</v>
      </c>
      <c r="I412" s="21" t="s">
        <v>282</v>
      </c>
      <c r="J412" s="21" t="s">
        <v>461</v>
      </c>
      <c r="K412" s="21" t="s">
        <v>442</v>
      </c>
      <c r="L412" s="23">
        <v>0.7</v>
      </c>
      <c r="M412" s="24">
        <v>36000</v>
      </c>
      <c r="N412" s="24">
        <v>0</v>
      </c>
      <c r="O412" s="25">
        <v>25200</v>
      </c>
      <c r="P412" s="25">
        <v>0</v>
      </c>
      <c r="Q412" s="24">
        <v>36000</v>
      </c>
      <c r="R412" s="21" t="s">
        <v>506</v>
      </c>
      <c r="S412" s="21" t="s">
        <v>437</v>
      </c>
      <c r="T412" s="21" t="s">
        <v>17</v>
      </c>
      <c r="U412" s="21" t="s">
        <v>507</v>
      </c>
      <c r="V412" s="21" t="s">
        <v>17</v>
      </c>
      <c r="W412" s="21" t="s">
        <v>439</v>
      </c>
      <c r="X412" s="21" t="s">
        <v>439</v>
      </c>
    </row>
    <row r="413" spans="1:24" ht="10.5" customHeight="1" x14ac:dyDescent="0.25">
      <c r="A413" s="20">
        <v>46036</v>
      </c>
      <c r="B413" s="21" t="str">
        <f t="shared" si="7"/>
        <v>14/01/2026NL600004</v>
      </c>
      <c r="C413" s="22" t="s">
        <v>535</v>
      </c>
      <c r="D413" s="22" t="s">
        <v>17</v>
      </c>
      <c r="E413" s="22" t="s">
        <v>431</v>
      </c>
      <c r="F413" s="21" t="s">
        <v>432</v>
      </c>
      <c r="G413" s="21" t="s">
        <v>433</v>
      </c>
      <c r="H413" s="21" t="s">
        <v>536</v>
      </c>
      <c r="I413" s="21" t="s">
        <v>225</v>
      </c>
      <c r="J413" s="21" t="s">
        <v>37</v>
      </c>
      <c r="K413" s="21" t="s">
        <v>442</v>
      </c>
      <c r="L413" s="23">
        <v>20</v>
      </c>
      <c r="M413" s="24">
        <v>18000</v>
      </c>
      <c r="N413" s="24">
        <v>0</v>
      </c>
      <c r="O413" s="25">
        <v>360000</v>
      </c>
      <c r="P413" s="25">
        <v>0</v>
      </c>
      <c r="Q413" s="24">
        <v>18000</v>
      </c>
      <c r="R413" s="21" t="s">
        <v>506</v>
      </c>
      <c r="S413" s="21" t="s">
        <v>437</v>
      </c>
      <c r="T413" s="21" t="s">
        <v>17</v>
      </c>
      <c r="U413" s="21" t="s">
        <v>507</v>
      </c>
      <c r="V413" s="21" t="s">
        <v>17</v>
      </c>
      <c r="W413" s="21" t="s">
        <v>439</v>
      </c>
      <c r="X413" s="21" t="s">
        <v>439</v>
      </c>
    </row>
    <row r="414" spans="1:24" ht="10.5" customHeight="1" x14ac:dyDescent="0.25">
      <c r="A414" s="20">
        <v>46036</v>
      </c>
      <c r="B414" s="21" t="str">
        <f t="shared" si="7"/>
        <v>14/01/2026NL300131</v>
      </c>
      <c r="C414" s="22" t="s">
        <v>535</v>
      </c>
      <c r="D414" s="22" t="s">
        <v>17</v>
      </c>
      <c r="E414" s="22" t="s">
        <v>431</v>
      </c>
      <c r="F414" s="21" t="s">
        <v>432</v>
      </c>
      <c r="G414" s="21" t="s">
        <v>433</v>
      </c>
      <c r="H414" s="21" t="s">
        <v>536</v>
      </c>
      <c r="I414" s="21" t="s">
        <v>340</v>
      </c>
      <c r="J414" s="21" t="s">
        <v>88</v>
      </c>
      <c r="K414" s="21" t="s">
        <v>442</v>
      </c>
      <c r="L414" s="23">
        <v>0.2</v>
      </c>
      <c r="M414" s="24">
        <v>220000</v>
      </c>
      <c r="N414" s="24">
        <v>0</v>
      </c>
      <c r="O414" s="25">
        <v>44000</v>
      </c>
      <c r="P414" s="25">
        <v>0</v>
      </c>
      <c r="Q414" s="24">
        <v>220000</v>
      </c>
      <c r="R414" s="21" t="s">
        <v>506</v>
      </c>
      <c r="S414" s="21" t="s">
        <v>437</v>
      </c>
      <c r="T414" s="21" t="s">
        <v>17</v>
      </c>
      <c r="U414" s="21" t="s">
        <v>507</v>
      </c>
      <c r="V414" s="21" t="s">
        <v>17</v>
      </c>
      <c r="W414" s="21" t="s">
        <v>439</v>
      </c>
      <c r="X414" s="21" t="s">
        <v>439</v>
      </c>
    </row>
    <row r="415" spans="1:24" ht="10.5" customHeight="1" x14ac:dyDescent="0.25">
      <c r="A415" s="20">
        <v>46036</v>
      </c>
      <c r="B415" s="21" t="str">
        <f t="shared" si="7"/>
        <v>14/01/2026NL300062</v>
      </c>
      <c r="C415" s="22" t="s">
        <v>535</v>
      </c>
      <c r="D415" s="22" t="s">
        <v>17</v>
      </c>
      <c r="E415" s="22" t="s">
        <v>431</v>
      </c>
      <c r="F415" s="21" t="s">
        <v>432</v>
      </c>
      <c r="G415" s="21" t="s">
        <v>433</v>
      </c>
      <c r="H415" s="21" t="s">
        <v>536</v>
      </c>
      <c r="I415" s="21" t="s">
        <v>236</v>
      </c>
      <c r="J415" s="21" t="s">
        <v>482</v>
      </c>
      <c r="K415" s="21" t="s">
        <v>442</v>
      </c>
      <c r="L415" s="23">
        <v>0.2</v>
      </c>
      <c r="M415" s="24">
        <v>65000</v>
      </c>
      <c r="N415" s="24">
        <v>0</v>
      </c>
      <c r="O415" s="25">
        <v>13000</v>
      </c>
      <c r="P415" s="25">
        <v>0</v>
      </c>
      <c r="Q415" s="24">
        <v>65000</v>
      </c>
      <c r="R415" s="21" t="s">
        <v>506</v>
      </c>
      <c r="S415" s="21" t="s">
        <v>437</v>
      </c>
      <c r="T415" s="21" t="s">
        <v>17</v>
      </c>
      <c r="U415" s="21" t="s">
        <v>507</v>
      </c>
      <c r="V415" s="21" t="s">
        <v>17</v>
      </c>
      <c r="W415" s="21" t="s">
        <v>439</v>
      </c>
      <c r="X415" s="21" t="s">
        <v>439</v>
      </c>
    </row>
    <row r="416" spans="1:24" ht="10.5" customHeight="1" x14ac:dyDescent="0.25">
      <c r="A416" s="20">
        <v>46036</v>
      </c>
      <c r="B416" s="21" t="str">
        <f t="shared" si="7"/>
        <v>14/01/2026NL300125</v>
      </c>
      <c r="C416" s="22" t="s">
        <v>535</v>
      </c>
      <c r="D416" s="22" t="s">
        <v>17</v>
      </c>
      <c r="E416" s="22" t="s">
        <v>431</v>
      </c>
      <c r="F416" s="21" t="s">
        <v>432</v>
      </c>
      <c r="G416" s="21" t="s">
        <v>433</v>
      </c>
      <c r="H416" s="21" t="s">
        <v>536</v>
      </c>
      <c r="I416" s="21" t="s">
        <v>337</v>
      </c>
      <c r="J416" s="21" t="s">
        <v>146</v>
      </c>
      <c r="K416" s="21" t="s">
        <v>442</v>
      </c>
      <c r="L416" s="23">
        <v>1</v>
      </c>
      <c r="M416" s="24">
        <v>42000</v>
      </c>
      <c r="N416" s="24">
        <v>0</v>
      </c>
      <c r="O416" s="25">
        <v>42000</v>
      </c>
      <c r="P416" s="25">
        <v>0</v>
      </c>
      <c r="Q416" s="24">
        <v>42000</v>
      </c>
      <c r="R416" s="21" t="s">
        <v>506</v>
      </c>
      <c r="S416" s="21" t="s">
        <v>437</v>
      </c>
      <c r="T416" s="21" t="s">
        <v>17</v>
      </c>
      <c r="U416" s="21" t="s">
        <v>507</v>
      </c>
      <c r="V416" s="21" t="s">
        <v>17</v>
      </c>
      <c r="W416" s="21" t="s">
        <v>439</v>
      </c>
      <c r="X416" s="21" t="s">
        <v>439</v>
      </c>
    </row>
    <row r="417" spans="1:24" ht="10.5" customHeight="1" x14ac:dyDescent="0.25">
      <c r="A417" s="20">
        <v>46036</v>
      </c>
      <c r="B417" s="21" t="str">
        <f t="shared" si="7"/>
        <v>14/01/2026NL300029</v>
      </c>
      <c r="C417" s="22" t="s">
        <v>535</v>
      </c>
      <c r="D417" s="22" t="s">
        <v>17</v>
      </c>
      <c r="E417" s="22" t="s">
        <v>431</v>
      </c>
      <c r="F417" s="21" t="s">
        <v>432</v>
      </c>
      <c r="G417" s="21" t="s">
        <v>433</v>
      </c>
      <c r="H417" s="21" t="s">
        <v>536</v>
      </c>
      <c r="I417" s="21" t="s">
        <v>213</v>
      </c>
      <c r="J417" s="21" t="s">
        <v>469</v>
      </c>
      <c r="K417" s="21" t="s">
        <v>442</v>
      </c>
      <c r="L417" s="23">
        <v>0.5</v>
      </c>
      <c r="M417" s="24">
        <v>22000</v>
      </c>
      <c r="N417" s="24">
        <v>0</v>
      </c>
      <c r="O417" s="25">
        <v>11000</v>
      </c>
      <c r="P417" s="25">
        <v>0</v>
      </c>
      <c r="Q417" s="24">
        <v>22000</v>
      </c>
      <c r="R417" s="21" t="s">
        <v>506</v>
      </c>
      <c r="S417" s="21" t="s">
        <v>437</v>
      </c>
      <c r="T417" s="21" t="s">
        <v>17</v>
      </c>
      <c r="U417" s="21" t="s">
        <v>507</v>
      </c>
      <c r="V417" s="21" t="s">
        <v>17</v>
      </c>
      <c r="W417" s="21" t="s">
        <v>439</v>
      </c>
      <c r="X417" s="21" t="s">
        <v>439</v>
      </c>
    </row>
    <row r="418" spans="1:24" ht="10.5" customHeight="1" x14ac:dyDescent="0.25">
      <c r="A418" s="20">
        <v>46036</v>
      </c>
      <c r="B418" s="21" t="str">
        <f t="shared" si="7"/>
        <v>14/01/2026NL300007</v>
      </c>
      <c r="C418" s="22" t="s">
        <v>535</v>
      </c>
      <c r="D418" s="22" t="s">
        <v>17</v>
      </c>
      <c r="E418" s="22" t="s">
        <v>431</v>
      </c>
      <c r="F418" s="21" t="s">
        <v>432</v>
      </c>
      <c r="G418" s="21" t="s">
        <v>433</v>
      </c>
      <c r="H418" s="21" t="s">
        <v>536</v>
      </c>
      <c r="I418" s="21" t="s">
        <v>309</v>
      </c>
      <c r="J418" s="21" t="s">
        <v>444</v>
      </c>
      <c r="K418" s="21" t="s">
        <v>442</v>
      </c>
      <c r="L418" s="23">
        <v>3</v>
      </c>
      <c r="M418" s="24">
        <v>30000</v>
      </c>
      <c r="N418" s="24">
        <v>0</v>
      </c>
      <c r="O418" s="25">
        <v>90000</v>
      </c>
      <c r="P418" s="25">
        <v>0</v>
      </c>
      <c r="Q418" s="24">
        <v>30000</v>
      </c>
      <c r="R418" s="21" t="s">
        <v>506</v>
      </c>
      <c r="S418" s="21" t="s">
        <v>437</v>
      </c>
      <c r="T418" s="21" t="s">
        <v>17</v>
      </c>
      <c r="U418" s="21" t="s">
        <v>507</v>
      </c>
      <c r="V418" s="21" t="s">
        <v>17</v>
      </c>
      <c r="W418" s="21" t="s">
        <v>439</v>
      </c>
      <c r="X418" s="21" t="s">
        <v>439</v>
      </c>
    </row>
    <row r="419" spans="1:24" ht="10.5" customHeight="1" x14ac:dyDescent="0.25">
      <c r="A419" s="20">
        <v>46036</v>
      </c>
      <c r="B419" s="21" t="str">
        <f t="shared" si="7"/>
        <v>14/01/2026NL300008</v>
      </c>
      <c r="C419" s="22" t="s">
        <v>535</v>
      </c>
      <c r="D419" s="22" t="s">
        <v>17</v>
      </c>
      <c r="E419" s="22" t="s">
        <v>431</v>
      </c>
      <c r="F419" s="21" t="s">
        <v>432</v>
      </c>
      <c r="G419" s="21" t="s">
        <v>433</v>
      </c>
      <c r="H419" s="21" t="s">
        <v>536</v>
      </c>
      <c r="I419" s="21" t="s">
        <v>320</v>
      </c>
      <c r="J419" s="21" t="s">
        <v>445</v>
      </c>
      <c r="K419" s="21" t="s">
        <v>442</v>
      </c>
      <c r="L419" s="23">
        <v>4</v>
      </c>
      <c r="M419" s="24">
        <v>40000</v>
      </c>
      <c r="N419" s="24">
        <v>0</v>
      </c>
      <c r="O419" s="25">
        <v>160000</v>
      </c>
      <c r="P419" s="25">
        <v>0</v>
      </c>
      <c r="Q419" s="24">
        <v>40000</v>
      </c>
      <c r="R419" s="21" t="s">
        <v>506</v>
      </c>
      <c r="S419" s="21" t="s">
        <v>437</v>
      </c>
      <c r="T419" s="21" t="s">
        <v>17</v>
      </c>
      <c r="U419" s="21" t="s">
        <v>507</v>
      </c>
      <c r="V419" s="21" t="s">
        <v>17</v>
      </c>
      <c r="W419" s="21" t="s">
        <v>439</v>
      </c>
      <c r="X419" s="21" t="s">
        <v>439</v>
      </c>
    </row>
    <row r="420" spans="1:24" ht="10.5" customHeight="1" x14ac:dyDescent="0.25">
      <c r="A420" s="20">
        <v>46036</v>
      </c>
      <c r="B420" s="21" t="str">
        <f t="shared" si="7"/>
        <v>14/01/2026NL300020</v>
      </c>
      <c r="C420" s="22" t="s">
        <v>535</v>
      </c>
      <c r="D420" s="22" t="s">
        <v>17</v>
      </c>
      <c r="E420" s="22" t="s">
        <v>431</v>
      </c>
      <c r="F420" s="21" t="s">
        <v>432</v>
      </c>
      <c r="G420" s="21" t="s">
        <v>433</v>
      </c>
      <c r="H420" s="21" t="s">
        <v>536</v>
      </c>
      <c r="I420" s="21" t="s">
        <v>326</v>
      </c>
      <c r="J420" s="21" t="s">
        <v>446</v>
      </c>
      <c r="K420" s="21" t="s">
        <v>442</v>
      </c>
      <c r="L420" s="23">
        <v>1</v>
      </c>
      <c r="M420" s="24">
        <v>30000</v>
      </c>
      <c r="N420" s="24">
        <v>0</v>
      </c>
      <c r="O420" s="25">
        <v>30000</v>
      </c>
      <c r="P420" s="25">
        <v>0</v>
      </c>
      <c r="Q420" s="24">
        <v>30000</v>
      </c>
      <c r="R420" s="21" t="s">
        <v>506</v>
      </c>
      <c r="S420" s="21" t="s">
        <v>437</v>
      </c>
      <c r="T420" s="21" t="s">
        <v>17</v>
      </c>
      <c r="U420" s="21" t="s">
        <v>507</v>
      </c>
      <c r="V420" s="21" t="s">
        <v>17</v>
      </c>
      <c r="W420" s="21" t="s">
        <v>439</v>
      </c>
      <c r="X420" s="21" t="s">
        <v>439</v>
      </c>
    </row>
    <row r="421" spans="1:24" ht="10.5" customHeight="1" x14ac:dyDescent="0.25">
      <c r="A421" s="20">
        <v>46036</v>
      </c>
      <c r="B421" s="21" t="str">
        <f t="shared" si="7"/>
        <v>14/01/2026NL300038</v>
      </c>
      <c r="C421" s="22" t="s">
        <v>535</v>
      </c>
      <c r="D421" s="22" t="s">
        <v>17</v>
      </c>
      <c r="E421" s="22" t="s">
        <v>431</v>
      </c>
      <c r="F421" s="21" t="s">
        <v>432</v>
      </c>
      <c r="G421" s="21" t="s">
        <v>433</v>
      </c>
      <c r="H421" s="21" t="s">
        <v>536</v>
      </c>
      <c r="I421" s="21" t="s">
        <v>217</v>
      </c>
      <c r="J421" s="21" t="s">
        <v>35</v>
      </c>
      <c r="K421" s="21" t="s">
        <v>442</v>
      </c>
      <c r="L421" s="23">
        <v>1.5</v>
      </c>
      <c r="M421" s="24">
        <v>32000</v>
      </c>
      <c r="N421" s="24">
        <v>0</v>
      </c>
      <c r="O421" s="25">
        <v>48000</v>
      </c>
      <c r="P421" s="25">
        <v>0</v>
      </c>
      <c r="Q421" s="24">
        <v>32000</v>
      </c>
      <c r="R421" s="21" t="s">
        <v>506</v>
      </c>
      <c r="S421" s="21" t="s">
        <v>437</v>
      </c>
      <c r="T421" s="21" t="s">
        <v>17</v>
      </c>
      <c r="U421" s="21" t="s">
        <v>507</v>
      </c>
      <c r="V421" s="21" t="s">
        <v>17</v>
      </c>
      <c r="W421" s="21" t="s">
        <v>439</v>
      </c>
      <c r="X421" s="21" t="s">
        <v>439</v>
      </c>
    </row>
    <row r="422" spans="1:24" ht="10.5" customHeight="1" x14ac:dyDescent="0.25">
      <c r="A422" s="20">
        <v>46036</v>
      </c>
      <c r="B422" s="21" t="str">
        <f t="shared" si="7"/>
        <v>14/01/2026NL300058</v>
      </c>
      <c r="C422" s="22" t="s">
        <v>535</v>
      </c>
      <c r="D422" s="22" t="s">
        <v>17</v>
      </c>
      <c r="E422" s="22" t="s">
        <v>431</v>
      </c>
      <c r="F422" s="21" t="s">
        <v>432</v>
      </c>
      <c r="G422" s="21" t="s">
        <v>433</v>
      </c>
      <c r="H422" s="21" t="s">
        <v>536</v>
      </c>
      <c r="I422" s="21" t="s">
        <v>228</v>
      </c>
      <c r="J422" s="21" t="s">
        <v>39</v>
      </c>
      <c r="K422" s="21" t="s">
        <v>442</v>
      </c>
      <c r="L422" s="23">
        <v>1</v>
      </c>
      <c r="M422" s="24">
        <v>55000</v>
      </c>
      <c r="N422" s="24">
        <v>0</v>
      </c>
      <c r="O422" s="25">
        <v>55000</v>
      </c>
      <c r="P422" s="25">
        <v>0</v>
      </c>
      <c r="Q422" s="24">
        <v>55000</v>
      </c>
      <c r="R422" s="21" t="s">
        <v>506</v>
      </c>
      <c r="S422" s="21" t="s">
        <v>437</v>
      </c>
      <c r="T422" s="21" t="s">
        <v>17</v>
      </c>
      <c r="U422" s="21" t="s">
        <v>507</v>
      </c>
      <c r="V422" s="21" t="s">
        <v>17</v>
      </c>
      <c r="W422" s="21" t="s">
        <v>439</v>
      </c>
      <c r="X422" s="21" t="s">
        <v>439</v>
      </c>
    </row>
    <row r="423" spans="1:24" ht="10.5" customHeight="1" x14ac:dyDescent="0.25">
      <c r="A423" s="20">
        <v>46036</v>
      </c>
      <c r="B423" s="21" t="str">
        <f t="shared" si="7"/>
        <v>14/01/2026NL300085</v>
      </c>
      <c r="C423" s="22" t="s">
        <v>535</v>
      </c>
      <c r="D423" s="22" t="s">
        <v>17</v>
      </c>
      <c r="E423" s="22" t="s">
        <v>431</v>
      </c>
      <c r="F423" s="21" t="s">
        <v>432</v>
      </c>
      <c r="G423" s="21" t="s">
        <v>433</v>
      </c>
      <c r="H423" s="21" t="s">
        <v>536</v>
      </c>
      <c r="I423" s="21" t="s">
        <v>263</v>
      </c>
      <c r="J423" s="21" t="s">
        <v>453</v>
      </c>
      <c r="K423" s="21" t="s">
        <v>442</v>
      </c>
      <c r="L423" s="23">
        <v>1</v>
      </c>
      <c r="M423" s="24">
        <v>45000</v>
      </c>
      <c r="N423" s="24">
        <v>0</v>
      </c>
      <c r="O423" s="25">
        <v>45000</v>
      </c>
      <c r="P423" s="25">
        <v>0</v>
      </c>
      <c r="Q423" s="24">
        <v>45000</v>
      </c>
      <c r="R423" s="21" t="s">
        <v>506</v>
      </c>
      <c r="S423" s="21" t="s">
        <v>437</v>
      </c>
      <c r="T423" s="21" t="s">
        <v>17</v>
      </c>
      <c r="U423" s="21" t="s">
        <v>507</v>
      </c>
      <c r="V423" s="21" t="s">
        <v>17</v>
      </c>
      <c r="W423" s="21" t="s">
        <v>439</v>
      </c>
      <c r="X423" s="21" t="s">
        <v>439</v>
      </c>
    </row>
    <row r="424" spans="1:24" ht="10.5" customHeight="1" x14ac:dyDescent="0.25">
      <c r="A424" s="20">
        <v>46036</v>
      </c>
      <c r="B424" s="21" t="str">
        <f t="shared" si="7"/>
        <v>14/01/2026NL300091</v>
      </c>
      <c r="C424" s="22" t="s">
        <v>535</v>
      </c>
      <c r="D424" s="22" t="s">
        <v>17</v>
      </c>
      <c r="E424" s="22" t="s">
        <v>431</v>
      </c>
      <c r="F424" s="21" t="s">
        <v>432</v>
      </c>
      <c r="G424" s="21" t="s">
        <v>433</v>
      </c>
      <c r="H424" s="21" t="s">
        <v>536</v>
      </c>
      <c r="I424" s="21" t="s">
        <v>256</v>
      </c>
      <c r="J424" s="21" t="s">
        <v>72</v>
      </c>
      <c r="K424" s="21" t="s">
        <v>442</v>
      </c>
      <c r="L424" s="23">
        <v>0.9</v>
      </c>
      <c r="M424" s="24">
        <v>47000</v>
      </c>
      <c r="N424" s="24">
        <v>0</v>
      </c>
      <c r="O424" s="25">
        <v>42300</v>
      </c>
      <c r="P424" s="25">
        <v>0</v>
      </c>
      <c r="Q424" s="24">
        <v>47000</v>
      </c>
      <c r="R424" s="21" t="s">
        <v>506</v>
      </c>
      <c r="S424" s="21" t="s">
        <v>437</v>
      </c>
      <c r="T424" s="21" t="s">
        <v>17</v>
      </c>
      <c r="U424" s="21" t="s">
        <v>507</v>
      </c>
      <c r="V424" s="21" t="s">
        <v>17</v>
      </c>
      <c r="W424" s="21" t="s">
        <v>439</v>
      </c>
      <c r="X424" s="21" t="s">
        <v>439</v>
      </c>
    </row>
    <row r="425" spans="1:24" ht="10.5" customHeight="1" x14ac:dyDescent="0.25">
      <c r="A425" s="20">
        <v>46036</v>
      </c>
      <c r="B425" s="21" t="str">
        <f t="shared" si="7"/>
        <v>14/01/2026NL300092</v>
      </c>
      <c r="C425" s="22" t="s">
        <v>535</v>
      </c>
      <c r="D425" s="22" t="s">
        <v>17</v>
      </c>
      <c r="E425" s="22" t="s">
        <v>431</v>
      </c>
      <c r="F425" s="21" t="s">
        <v>432</v>
      </c>
      <c r="G425" s="21" t="s">
        <v>433</v>
      </c>
      <c r="H425" s="21" t="s">
        <v>536</v>
      </c>
      <c r="I425" s="21" t="s">
        <v>329</v>
      </c>
      <c r="J425" s="21" t="s">
        <v>74</v>
      </c>
      <c r="K425" s="21" t="s">
        <v>442</v>
      </c>
      <c r="L425" s="23">
        <v>1</v>
      </c>
      <c r="M425" s="24">
        <v>90000</v>
      </c>
      <c r="N425" s="24">
        <v>0</v>
      </c>
      <c r="O425" s="25">
        <v>90000</v>
      </c>
      <c r="P425" s="25">
        <v>0</v>
      </c>
      <c r="Q425" s="24">
        <v>90000</v>
      </c>
      <c r="R425" s="21" t="s">
        <v>506</v>
      </c>
      <c r="S425" s="21" t="s">
        <v>437</v>
      </c>
      <c r="T425" s="21" t="s">
        <v>17</v>
      </c>
      <c r="U425" s="21" t="s">
        <v>507</v>
      </c>
      <c r="V425" s="21" t="s">
        <v>17</v>
      </c>
      <c r="W425" s="21" t="s">
        <v>439</v>
      </c>
      <c r="X425" s="21" t="s">
        <v>439</v>
      </c>
    </row>
    <row r="426" spans="1:24" ht="10.5" customHeight="1" x14ac:dyDescent="0.25">
      <c r="A426" s="20">
        <v>46036</v>
      </c>
      <c r="B426" s="21" t="str">
        <f t="shared" si="7"/>
        <v>14/01/2026NL300094</v>
      </c>
      <c r="C426" s="22" t="s">
        <v>535</v>
      </c>
      <c r="D426" s="22" t="s">
        <v>17</v>
      </c>
      <c r="E426" s="22" t="s">
        <v>431</v>
      </c>
      <c r="F426" s="21" t="s">
        <v>432</v>
      </c>
      <c r="G426" s="21" t="s">
        <v>433</v>
      </c>
      <c r="H426" s="21" t="s">
        <v>536</v>
      </c>
      <c r="I426" s="21" t="s">
        <v>257</v>
      </c>
      <c r="J426" s="21" t="s">
        <v>454</v>
      </c>
      <c r="K426" s="21" t="s">
        <v>442</v>
      </c>
      <c r="L426" s="23">
        <v>0.9</v>
      </c>
      <c r="M426" s="24">
        <v>80000</v>
      </c>
      <c r="N426" s="24">
        <v>0</v>
      </c>
      <c r="O426" s="25">
        <v>72000</v>
      </c>
      <c r="P426" s="25">
        <v>0</v>
      </c>
      <c r="Q426" s="24">
        <v>80000</v>
      </c>
      <c r="R426" s="21" t="s">
        <v>506</v>
      </c>
      <c r="S426" s="21" t="s">
        <v>437</v>
      </c>
      <c r="T426" s="21" t="s">
        <v>17</v>
      </c>
      <c r="U426" s="21" t="s">
        <v>507</v>
      </c>
      <c r="V426" s="21" t="s">
        <v>17</v>
      </c>
      <c r="W426" s="21" t="s">
        <v>439</v>
      </c>
      <c r="X426" s="21" t="s">
        <v>439</v>
      </c>
    </row>
    <row r="427" spans="1:24" ht="10.5" customHeight="1" x14ac:dyDescent="0.25">
      <c r="A427" s="20">
        <v>46036</v>
      </c>
      <c r="B427" s="21" t="str">
        <f t="shared" si="7"/>
        <v>14/01/2026NL300096</v>
      </c>
      <c r="C427" s="22" t="s">
        <v>535</v>
      </c>
      <c r="D427" s="22" t="s">
        <v>17</v>
      </c>
      <c r="E427" s="22" t="s">
        <v>431</v>
      </c>
      <c r="F427" s="21" t="s">
        <v>432</v>
      </c>
      <c r="G427" s="21" t="s">
        <v>433</v>
      </c>
      <c r="H427" s="21" t="s">
        <v>536</v>
      </c>
      <c r="I427" s="21" t="s">
        <v>258</v>
      </c>
      <c r="J427" s="21" t="s">
        <v>45</v>
      </c>
      <c r="K427" s="21" t="s">
        <v>442</v>
      </c>
      <c r="L427" s="23">
        <v>2.5</v>
      </c>
      <c r="M427" s="24">
        <v>45000</v>
      </c>
      <c r="N427" s="24">
        <v>0</v>
      </c>
      <c r="O427" s="25">
        <v>112500</v>
      </c>
      <c r="P427" s="25">
        <v>0</v>
      </c>
      <c r="Q427" s="24">
        <v>45000</v>
      </c>
      <c r="R427" s="21" t="s">
        <v>506</v>
      </c>
      <c r="S427" s="21" t="s">
        <v>437</v>
      </c>
      <c r="T427" s="21" t="s">
        <v>17</v>
      </c>
      <c r="U427" s="21" t="s">
        <v>507</v>
      </c>
      <c r="V427" s="21" t="s">
        <v>17</v>
      </c>
      <c r="W427" s="21" t="s">
        <v>439</v>
      </c>
      <c r="X427" s="21" t="s">
        <v>439</v>
      </c>
    </row>
    <row r="428" spans="1:24" ht="10.5" customHeight="1" x14ac:dyDescent="0.25">
      <c r="A428" s="20">
        <v>46036</v>
      </c>
      <c r="B428" s="21" t="str">
        <f t="shared" si="7"/>
        <v>14/01/2026NL300097</v>
      </c>
      <c r="C428" s="22" t="s">
        <v>535</v>
      </c>
      <c r="D428" s="22" t="s">
        <v>17</v>
      </c>
      <c r="E428" s="22" t="s">
        <v>431</v>
      </c>
      <c r="F428" s="21" t="s">
        <v>432</v>
      </c>
      <c r="G428" s="21" t="s">
        <v>433</v>
      </c>
      <c r="H428" s="21" t="s">
        <v>536</v>
      </c>
      <c r="I428" s="21" t="s">
        <v>331</v>
      </c>
      <c r="J428" s="21" t="s">
        <v>443</v>
      </c>
      <c r="K428" s="21" t="s">
        <v>442</v>
      </c>
      <c r="L428" s="23">
        <v>0.5</v>
      </c>
      <c r="M428" s="24">
        <v>90000</v>
      </c>
      <c r="N428" s="24">
        <v>0</v>
      </c>
      <c r="O428" s="25">
        <v>45000</v>
      </c>
      <c r="P428" s="25">
        <v>0</v>
      </c>
      <c r="Q428" s="24">
        <v>90000</v>
      </c>
      <c r="R428" s="21" t="s">
        <v>506</v>
      </c>
      <c r="S428" s="21" t="s">
        <v>437</v>
      </c>
      <c r="T428" s="21" t="s">
        <v>17</v>
      </c>
      <c r="U428" s="21" t="s">
        <v>507</v>
      </c>
      <c r="V428" s="21" t="s">
        <v>17</v>
      </c>
      <c r="W428" s="21" t="s">
        <v>439</v>
      </c>
      <c r="X428" s="21" t="s">
        <v>439</v>
      </c>
    </row>
    <row r="429" spans="1:24" ht="10.5" customHeight="1" x14ac:dyDescent="0.25">
      <c r="A429" s="20">
        <v>46036</v>
      </c>
      <c r="B429" s="21" t="str">
        <f t="shared" si="7"/>
        <v>14/01/2026NL300113</v>
      </c>
      <c r="C429" s="22" t="s">
        <v>535</v>
      </c>
      <c r="D429" s="22" t="s">
        <v>17</v>
      </c>
      <c r="E429" s="22" t="s">
        <v>431</v>
      </c>
      <c r="F429" s="21" t="s">
        <v>432</v>
      </c>
      <c r="G429" s="21" t="s">
        <v>433</v>
      </c>
      <c r="H429" s="21" t="s">
        <v>536</v>
      </c>
      <c r="I429" s="21" t="s">
        <v>271</v>
      </c>
      <c r="J429" s="21" t="s">
        <v>103</v>
      </c>
      <c r="K429" s="21" t="s">
        <v>442</v>
      </c>
      <c r="L429" s="23">
        <v>0.7</v>
      </c>
      <c r="M429" s="24">
        <v>145000</v>
      </c>
      <c r="N429" s="24">
        <v>0</v>
      </c>
      <c r="O429" s="25">
        <v>101500</v>
      </c>
      <c r="P429" s="25">
        <v>0</v>
      </c>
      <c r="Q429" s="24">
        <v>145000</v>
      </c>
      <c r="R429" s="21" t="s">
        <v>506</v>
      </c>
      <c r="S429" s="21" t="s">
        <v>437</v>
      </c>
      <c r="T429" s="21" t="s">
        <v>17</v>
      </c>
      <c r="U429" s="21" t="s">
        <v>507</v>
      </c>
      <c r="V429" s="21" t="s">
        <v>17</v>
      </c>
      <c r="W429" s="21" t="s">
        <v>439</v>
      </c>
      <c r="X429" s="21" t="s">
        <v>439</v>
      </c>
    </row>
    <row r="430" spans="1:24" ht="10.5" customHeight="1" x14ac:dyDescent="0.25">
      <c r="A430" s="20">
        <v>46036</v>
      </c>
      <c r="B430" s="21" t="str">
        <f t="shared" si="7"/>
        <v>14/01/2026NL300142</v>
      </c>
      <c r="C430" s="22" t="s">
        <v>535</v>
      </c>
      <c r="D430" s="22" t="s">
        <v>17</v>
      </c>
      <c r="E430" s="22" t="s">
        <v>431</v>
      </c>
      <c r="F430" s="21" t="s">
        <v>432</v>
      </c>
      <c r="G430" s="21" t="s">
        <v>433</v>
      </c>
      <c r="H430" s="21" t="s">
        <v>536</v>
      </c>
      <c r="I430" s="21" t="s">
        <v>317</v>
      </c>
      <c r="J430" s="21" t="s">
        <v>441</v>
      </c>
      <c r="K430" s="21" t="s">
        <v>442</v>
      </c>
      <c r="L430" s="23">
        <v>1</v>
      </c>
      <c r="M430" s="24">
        <v>50000</v>
      </c>
      <c r="N430" s="24">
        <v>0</v>
      </c>
      <c r="O430" s="25">
        <v>50000</v>
      </c>
      <c r="P430" s="25">
        <v>0</v>
      </c>
      <c r="Q430" s="24">
        <v>50000</v>
      </c>
      <c r="R430" s="21" t="s">
        <v>506</v>
      </c>
      <c r="S430" s="21" t="s">
        <v>437</v>
      </c>
      <c r="T430" s="21" t="s">
        <v>17</v>
      </c>
      <c r="U430" s="21" t="s">
        <v>507</v>
      </c>
      <c r="V430" s="21" t="s">
        <v>17</v>
      </c>
      <c r="W430" s="21" t="s">
        <v>439</v>
      </c>
      <c r="X430" s="21" t="s">
        <v>439</v>
      </c>
    </row>
    <row r="431" spans="1:24" ht="10.5" customHeight="1" x14ac:dyDescent="0.25">
      <c r="A431" s="20">
        <v>46036</v>
      </c>
      <c r="B431" s="21" t="str">
        <f t="shared" si="7"/>
        <v>14/01/2026NL300147</v>
      </c>
      <c r="C431" s="22" t="s">
        <v>535</v>
      </c>
      <c r="D431" s="22" t="s">
        <v>17</v>
      </c>
      <c r="E431" s="22" t="s">
        <v>431</v>
      </c>
      <c r="F431" s="21" t="s">
        <v>432</v>
      </c>
      <c r="G431" s="21" t="s">
        <v>433</v>
      </c>
      <c r="H431" s="21" t="s">
        <v>536</v>
      </c>
      <c r="I431" s="21" t="s">
        <v>300</v>
      </c>
      <c r="J431" s="21" t="s">
        <v>459</v>
      </c>
      <c r="K431" s="21" t="s">
        <v>442</v>
      </c>
      <c r="L431" s="23">
        <v>1.5</v>
      </c>
      <c r="M431" s="24">
        <v>62000</v>
      </c>
      <c r="N431" s="24">
        <v>0</v>
      </c>
      <c r="O431" s="25">
        <v>93000</v>
      </c>
      <c r="P431" s="25">
        <v>0</v>
      </c>
      <c r="Q431" s="24">
        <v>62000</v>
      </c>
      <c r="R431" s="21" t="s">
        <v>506</v>
      </c>
      <c r="S431" s="21" t="s">
        <v>437</v>
      </c>
      <c r="T431" s="21" t="s">
        <v>17</v>
      </c>
      <c r="U431" s="21" t="s">
        <v>507</v>
      </c>
      <c r="V431" s="21" t="s">
        <v>17</v>
      </c>
      <c r="W431" s="21" t="s">
        <v>439</v>
      </c>
      <c r="X431" s="21" t="s">
        <v>439</v>
      </c>
    </row>
    <row r="432" spans="1:24" ht="10.5" customHeight="1" x14ac:dyDescent="0.25">
      <c r="A432" s="20">
        <v>46036</v>
      </c>
      <c r="B432" s="21" t="str">
        <f t="shared" si="7"/>
        <v>14/01/2026NL300189</v>
      </c>
      <c r="C432" s="22" t="s">
        <v>535</v>
      </c>
      <c r="D432" s="22" t="s">
        <v>17</v>
      </c>
      <c r="E432" s="22" t="s">
        <v>431</v>
      </c>
      <c r="F432" s="21" t="s">
        <v>432</v>
      </c>
      <c r="G432" s="21" t="s">
        <v>433</v>
      </c>
      <c r="H432" s="21" t="s">
        <v>536</v>
      </c>
      <c r="I432" s="21" t="s">
        <v>378</v>
      </c>
      <c r="J432" s="21" t="s">
        <v>19</v>
      </c>
      <c r="K432" s="21" t="s">
        <v>442</v>
      </c>
      <c r="L432" s="23">
        <v>1.5</v>
      </c>
      <c r="M432" s="24">
        <v>15000</v>
      </c>
      <c r="N432" s="24">
        <v>0</v>
      </c>
      <c r="O432" s="25">
        <v>22500</v>
      </c>
      <c r="P432" s="25">
        <v>0</v>
      </c>
      <c r="Q432" s="24">
        <v>15000</v>
      </c>
      <c r="R432" s="21" t="s">
        <v>506</v>
      </c>
      <c r="S432" s="21" t="s">
        <v>437</v>
      </c>
      <c r="T432" s="21" t="s">
        <v>17</v>
      </c>
      <c r="U432" s="21" t="s">
        <v>507</v>
      </c>
      <c r="V432" s="21" t="s">
        <v>17</v>
      </c>
      <c r="W432" s="21" t="s">
        <v>439</v>
      </c>
      <c r="X432" s="21" t="s">
        <v>439</v>
      </c>
    </row>
    <row r="433" spans="1:24" ht="10.5" customHeight="1" x14ac:dyDescent="0.25">
      <c r="A433" s="20">
        <v>46036</v>
      </c>
      <c r="B433" s="21" t="str">
        <f t="shared" si="7"/>
        <v>14/01/2026NL300119</v>
      </c>
      <c r="C433" s="22" t="s">
        <v>535</v>
      </c>
      <c r="D433" s="22" t="s">
        <v>17</v>
      </c>
      <c r="E433" s="22" t="s">
        <v>431</v>
      </c>
      <c r="F433" s="21" t="s">
        <v>432</v>
      </c>
      <c r="G433" s="21" t="s">
        <v>433</v>
      </c>
      <c r="H433" s="21" t="s">
        <v>536</v>
      </c>
      <c r="I433" s="21" t="s">
        <v>310</v>
      </c>
      <c r="J433" s="21" t="s">
        <v>460</v>
      </c>
      <c r="K433" s="21" t="s">
        <v>442</v>
      </c>
      <c r="L433" s="23">
        <v>0.5</v>
      </c>
      <c r="M433" s="24">
        <v>21000</v>
      </c>
      <c r="N433" s="24">
        <v>0</v>
      </c>
      <c r="O433" s="25">
        <v>10500</v>
      </c>
      <c r="P433" s="25">
        <v>0</v>
      </c>
      <c r="Q433" s="24">
        <v>21000</v>
      </c>
      <c r="R433" s="21" t="s">
        <v>506</v>
      </c>
      <c r="S433" s="21" t="s">
        <v>437</v>
      </c>
      <c r="T433" s="21" t="s">
        <v>17</v>
      </c>
      <c r="U433" s="21" t="s">
        <v>507</v>
      </c>
      <c r="V433" s="21" t="s">
        <v>17</v>
      </c>
      <c r="W433" s="21" t="s">
        <v>439</v>
      </c>
      <c r="X433" s="21" t="s">
        <v>439</v>
      </c>
    </row>
    <row r="434" spans="1:24" ht="10.5" customHeight="1" x14ac:dyDescent="0.25">
      <c r="A434" s="20">
        <v>46036</v>
      </c>
      <c r="B434" s="21" t="str">
        <f t="shared" si="7"/>
        <v>14/01/2026NL300088</v>
      </c>
      <c r="C434" s="22" t="s">
        <v>535</v>
      </c>
      <c r="D434" s="22" t="s">
        <v>17</v>
      </c>
      <c r="E434" s="22" t="s">
        <v>431</v>
      </c>
      <c r="F434" s="21" t="s">
        <v>432</v>
      </c>
      <c r="G434" s="21" t="s">
        <v>433</v>
      </c>
      <c r="H434" s="21" t="s">
        <v>536</v>
      </c>
      <c r="I434" s="21" t="s">
        <v>254</v>
      </c>
      <c r="J434" s="21" t="s">
        <v>15</v>
      </c>
      <c r="K434" s="21" t="s">
        <v>442</v>
      </c>
      <c r="L434" s="23">
        <v>3</v>
      </c>
      <c r="M434" s="24">
        <v>27000</v>
      </c>
      <c r="N434" s="24">
        <v>0</v>
      </c>
      <c r="O434" s="25">
        <v>81000</v>
      </c>
      <c r="P434" s="25">
        <v>0</v>
      </c>
      <c r="Q434" s="24">
        <v>27000</v>
      </c>
      <c r="R434" s="21" t="s">
        <v>506</v>
      </c>
      <c r="S434" s="21" t="s">
        <v>437</v>
      </c>
      <c r="T434" s="21" t="s">
        <v>17</v>
      </c>
      <c r="U434" s="21" t="s">
        <v>507</v>
      </c>
      <c r="V434" s="21" t="s">
        <v>17</v>
      </c>
      <c r="W434" s="21" t="s">
        <v>439</v>
      </c>
      <c r="X434" s="21" t="s">
        <v>439</v>
      </c>
    </row>
    <row r="435" spans="1:24" ht="10.5" customHeight="1" x14ac:dyDescent="0.25">
      <c r="A435" s="20">
        <v>46036</v>
      </c>
      <c r="B435" s="21" t="str">
        <f t="shared" si="7"/>
        <v>14/01/2026NL300126</v>
      </c>
      <c r="C435" s="22" t="s">
        <v>535</v>
      </c>
      <c r="D435" s="22" t="s">
        <v>17</v>
      </c>
      <c r="E435" s="22" t="s">
        <v>431</v>
      </c>
      <c r="F435" s="21" t="s">
        <v>432</v>
      </c>
      <c r="G435" s="21" t="s">
        <v>433</v>
      </c>
      <c r="H435" s="21" t="s">
        <v>536</v>
      </c>
      <c r="I435" s="21" t="s">
        <v>264</v>
      </c>
      <c r="J435" s="21" t="s">
        <v>457</v>
      </c>
      <c r="K435" s="21" t="s">
        <v>442</v>
      </c>
      <c r="L435" s="23">
        <v>0.2</v>
      </c>
      <c r="M435" s="24">
        <v>70000</v>
      </c>
      <c r="N435" s="24">
        <v>0</v>
      </c>
      <c r="O435" s="25">
        <v>14000</v>
      </c>
      <c r="P435" s="25">
        <v>0</v>
      </c>
      <c r="Q435" s="24">
        <v>70000</v>
      </c>
      <c r="R435" s="21" t="s">
        <v>506</v>
      </c>
      <c r="S435" s="21" t="s">
        <v>437</v>
      </c>
      <c r="T435" s="21" t="s">
        <v>17</v>
      </c>
      <c r="U435" s="21" t="s">
        <v>507</v>
      </c>
      <c r="V435" s="21" t="s">
        <v>17</v>
      </c>
      <c r="W435" s="21" t="s">
        <v>439</v>
      </c>
      <c r="X435" s="21" t="s">
        <v>439</v>
      </c>
    </row>
    <row r="436" spans="1:24" ht="10.5" customHeight="1" x14ac:dyDescent="0.25">
      <c r="A436" s="20">
        <v>46036</v>
      </c>
      <c r="B436" s="21" t="str">
        <f t="shared" si="7"/>
        <v>14/01/2026NL300107</v>
      </c>
      <c r="C436" s="22" t="s">
        <v>535</v>
      </c>
      <c r="D436" s="22" t="s">
        <v>17</v>
      </c>
      <c r="E436" s="22" t="s">
        <v>431</v>
      </c>
      <c r="F436" s="21" t="s">
        <v>432</v>
      </c>
      <c r="G436" s="21" t="s">
        <v>433</v>
      </c>
      <c r="H436" s="21" t="s">
        <v>536</v>
      </c>
      <c r="I436" s="21" t="s">
        <v>193</v>
      </c>
      <c r="J436" s="21" t="s">
        <v>455</v>
      </c>
      <c r="K436" s="21" t="s">
        <v>450</v>
      </c>
      <c r="L436" s="23">
        <v>8</v>
      </c>
      <c r="M436" s="24">
        <v>8500</v>
      </c>
      <c r="N436" s="24">
        <v>0</v>
      </c>
      <c r="O436" s="25">
        <v>68000</v>
      </c>
      <c r="P436" s="25">
        <v>0</v>
      </c>
      <c r="Q436" s="24">
        <v>8500</v>
      </c>
      <c r="R436" s="21" t="s">
        <v>506</v>
      </c>
      <c r="S436" s="21" t="s">
        <v>437</v>
      </c>
      <c r="T436" s="21" t="s">
        <v>17</v>
      </c>
      <c r="U436" s="21" t="s">
        <v>507</v>
      </c>
      <c r="V436" s="21" t="s">
        <v>17</v>
      </c>
      <c r="W436" s="21" t="s">
        <v>439</v>
      </c>
      <c r="X436" s="21" t="s">
        <v>439</v>
      </c>
    </row>
    <row r="437" spans="1:24" ht="10.5" customHeight="1" x14ac:dyDescent="0.25">
      <c r="A437" s="20">
        <v>46036</v>
      </c>
      <c r="B437" s="21" t="str">
        <f t="shared" si="7"/>
        <v>14/01/2026NL300041</v>
      </c>
      <c r="C437" s="22" t="s">
        <v>535</v>
      </c>
      <c r="D437" s="22" t="s">
        <v>17</v>
      </c>
      <c r="E437" s="22" t="s">
        <v>431</v>
      </c>
      <c r="F437" s="21" t="s">
        <v>432</v>
      </c>
      <c r="G437" s="21" t="s">
        <v>433</v>
      </c>
      <c r="H437" s="21" t="s">
        <v>536</v>
      </c>
      <c r="I437" s="21" t="s">
        <v>222</v>
      </c>
      <c r="J437" s="21" t="s">
        <v>449</v>
      </c>
      <c r="K437" s="21" t="s">
        <v>450</v>
      </c>
      <c r="L437" s="23">
        <v>3</v>
      </c>
      <c r="M437" s="24">
        <v>15000</v>
      </c>
      <c r="N437" s="24">
        <v>0</v>
      </c>
      <c r="O437" s="25">
        <v>45000</v>
      </c>
      <c r="P437" s="25">
        <v>0</v>
      </c>
      <c r="Q437" s="24">
        <v>15000</v>
      </c>
      <c r="R437" s="21" t="s">
        <v>506</v>
      </c>
      <c r="S437" s="21" t="s">
        <v>437</v>
      </c>
      <c r="T437" s="21" t="s">
        <v>17</v>
      </c>
      <c r="U437" s="21" t="s">
        <v>507</v>
      </c>
      <c r="V437" s="21" t="s">
        <v>17</v>
      </c>
      <c r="W437" s="21" t="s">
        <v>439</v>
      </c>
      <c r="X437" s="21" t="s">
        <v>439</v>
      </c>
    </row>
    <row r="438" spans="1:24" ht="10.5" customHeight="1" x14ac:dyDescent="0.25">
      <c r="A438" s="20">
        <v>46036</v>
      </c>
      <c r="B438" s="21" t="str">
        <f t="shared" si="7"/>
        <v>14/01/2026NL300090</v>
      </c>
      <c r="C438" s="22" t="s">
        <v>535</v>
      </c>
      <c r="D438" s="22" t="s">
        <v>17</v>
      </c>
      <c r="E438" s="22" t="s">
        <v>431</v>
      </c>
      <c r="F438" s="21" t="s">
        <v>432</v>
      </c>
      <c r="G438" s="21" t="s">
        <v>433</v>
      </c>
      <c r="H438" s="21" t="s">
        <v>536</v>
      </c>
      <c r="I438" s="21" t="s">
        <v>255</v>
      </c>
      <c r="J438" s="21" t="s">
        <v>70</v>
      </c>
      <c r="K438" s="21" t="s">
        <v>442</v>
      </c>
      <c r="L438" s="23">
        <v>1</v>
      </c>
      <c r="M438" s="24">
        <v>145000</v>
      </c>
      <c r="N438" s="24">
        <v>0</v>
      </c>
      <c r="O438" s="25">
        <v>145000</v>
      </c>
      <c r="P438" s="25">
        <v>0</v>
      </c>
      <c r="Q438" s="24">
        <v>145000</v>
      </c>
      <c r="R438" s="21" t="s">
        <v>506</v>
      </c>
      <c r="S438" s="21" t="s">
        <v>437</v>
      </c>
      <c r="T438" s="21" t="s">
        <v>17</v>
      </c>
      <c r="U438" s="21" t="s">
        <v>507</v>
      </c>
      <c r="V438" s="21" t="s">
        <v>17</v>
      </c>
      <c r="W438" s="21" t="s">
        <v>439</v>
      </c>
      <c r="X438" s="21" t="s">
        <v>439</v>
      </c>
    </row>
    <row r="439" spans="1:24" ht="10.5" customHeight="1" x14ac:dyDescent="0.25">
      <c r="A439" s="20">
        <v>46036</v>
      </c>
      <c r="B439" s="21" t="str">
        <f t="shared" si="7"/>
        <v>14/01/2026NL300116</v>
      </c>
      <c r="C439" s="22" t="s">
        <v>535</v>
      </c>
      <c r="D439" s="22" t="s">
        <v>17</v>
      </c>
      <c r="E439" s="22" t="s">
        <v>431</v>
      </c>
      <c r="F439" s="21" t="s">
        <v>432</v>
      </c>
      <c r="G439" s="21" t="s">
        <v>433</v>
      </c>
      <c r="H439" s="21" t="s">
        <v>536</v>
      </c>
      <c r="I439" s="21" t="s">
        <v>315</v>
      </c>
      <c r="J439" s="21" t="s">
        <v>456</v>
      </c>
      <c r="K439" s="21" t="s">
        <v>442</v>
      </c>
      <c r="L439" s="23">
        <v>0.2</v>
      </c>
      <c r="M439" s="24">
        <v>148000</v>
      </c>
      <c r="N439" s="24">
        <v>0</v>
      </c>
      <c r="O439" s="25">
        <v>29600</v>
      </c>
      <c r="P439" s="25">
        <v>0</v>
      </c>
      <c r="Q439" s="24">
        <v>148000</v>
      </c>
      <c r="R439" s="21" t="s">
        <v>506</v>
      </c>
      <c r="S439" s="21" t="s">
        <v>437</v>
      </c>
      <c r="T439" s="21" t="s">
        <v>17</v>
      </c>
      <c r="U439" s="21" t="s">
        <v>507</v>
      </c>
      <c r="V439" s="21" t="s">
        <v>17</v>
      </c>
      <c r="W439" s="21" t="s">
        <v>439</v>
      </c>
      <c r="X439" s="21" t="s">
        <v>439</v>
      </c>
    </row>
    <row r="440" spans="1:24" ht="10.5" customHeight="1" x14ac:dyDescent="0.25">
      <c r="A440" s="20">
        <v>46036</v>
      </c>
      <c r="B440" s="21" t="str">
        <f t="shared" si="7"/>
        <v>14/01/2026NL300036</v>
      </c>
      <c r="C440" s="22" t="s">
        <v>535</v>
      </c>
      <c r="D440" s="22" t="s">
        <v>17</v>
      </c>
      <c r="E440" s="22" t="s">
        <v>431</v>
      </c>
      <c r="F440" s="21" t="s">
        <v>432</v>
      </c>
      <c r="G440" s="21" t="s">
        <v>433</v>
      </c>
      <c r="H440" s="21" t="s">
        <v>536</v>
      </c>
      <c r="I440" s="21" t="s">
        <v>380</v>
      </c>
      <c r="J440" s="21" t="s">
        <v>96</v>
      </c>
      <c r="K440" s="21" t="s">
        <v>442</v>
      </c>
      <c r="L440" s="23">
        <v>0.8</v>
      </c>
      <c r="M440" s="24">
        <v>47000</v>
      </c>
      <c r="N440" s="24">
        <v>0</v>
      </c>
      <c r="O440" s="25">
        <v>37600</v>
      </c>
      <c r="P440" s="25">
        <v>0</v>
      </c>
      <c r="Q440" s="24">
        <v>47000</v>
      </c>
      <c r="R440" s="21" t="s">
        <v>506</v>
      </c>
      <c r="S440" s="21" t="s">
        <v>437</v>
      </c>
      <c r="T440" s="21" t="s">
        <v>17</v>
      </c>
      <c r="U440" s="21" t="s">
        <v>507</v>
      </c>
      <c r="V440" s="21" t="s">
        <v>17</v>
      </c>
      <c r="W440" s="21" t="s">
        <v>439</v>
      </c>
      <c r="X440" s="21" t="s">
        <v>439</v>
      </c>
    </row>
    <row r="441" spans="1:24" ht="10.5" customHeight="1" x14ac:dyDescent="0.25">
      <c r="A441" s="20">
        <v>46036</v>
      </c>
      <c r="B441" s="21" t="str">
        <f t="shared" si="7"/>
        <v>14/01/2026NL300111</v>
      </c>
      <c r="C441" s="22" t="s">
        <v>535</v>
      </c>
      <c r="D441" s="22" t="s">
        <v>17</v>
      </c>
      <c r="E441" s="22" t="s">
        <v>431</v>
      </c>
      <c r="F441" s="21" t="s">
        <v>432</v>
      </c>
      <c r="G441" s="21" t="s">
        <v>433</v>
      </c>
      <c r="H441" s="21" t="s">
        <v>536</v>
      </c>
      <c r="I441" s="21" t="s">
        <v>379</v>
      </c>
      <c r="J441" s="21" t="s">
        <v>485</v>
      </c>
      <c r="K441" s="21" t="s">
        <v>442</v>
      </c>
      <c r="L441" s="23">
        <v>0.1</v>
      </c>
      <c r="M441" s="24">
        <v>185000</v>
      </c>
      <c r="N441" s="24">
        <v>0</v>
      </c>
      <c r="O441" s="25">
        <v>18500</v>
      </c>
      <c r="P441" s="25">
        <v>0</v>
      </c>
      <c r="Q441" s="24">
        <v>185000</v>
      </c>
      <c r="R441" s="21" t="s">
        <v>506</v>
      </c>
      <c r="S441" s="21" t="s">
        <v>437</v>
      </c>
      <c r="T441" s="21" t="s">
        <v>17</v>
      </c>
      <c r="U441" s="21" t="s">
        <v>507</v>
      </c>
      <c r="V441" s="21" t="s">
        <v>17</v>
      </c>
      <c r="W441" s="21" t="s">
        <v>439</v>
      </c>
      <c r="X441" s="21" t="s">
        <v>439</v>
      </c>
    </row>
    <row r="442" spans="1:24" ht="10.5" customHeight="1" x14ac:dyDescent="0.25">
      <c r="A442" s="20">
        <v>46036</v>
      </c>
      <c r="B442" s="21" t="str">
        <f t="shared" si="7"/>
        <v>14/01/2026NL300121</v>
      </c>
      <c r="C442" s="22" t="s">
        <v>535</v>
      </c>
      <c r="D442" s="22" t="s">
        <v>17</v>
      </c>
      <c r="E442" s="22" t="s">
        <v>431</v>
      </c>
      <c r="F442" s="21" t="s">
        <v>432</v>
      </c>
      <c r="G442" s="21" t="s">
        <v>433</v>
      </c>
      <c r="H442" s="21" t="s">
        <v>536</v>
      </c>
      <c r="I442" s="21" t="s">
        <v>281</v>
      </c>
      <c r="J442" s="21" t="s">
        <v>51</v>
      </c>
      <c r="K442" s="21" t="s">
        <v>442</v>
      </c>
      <c r="L442" s="23">
        <v>0.2</v>
      </c>
      <c r="M442" s="24">
        <v>22000</v>
      </c>
      <c r="N442" s="24">
        <v>0</v>
      </c>
      <c r="O442" s="25">
        <v>4400</v>
      </c>
      <c r="P442" s="25">
        <v>0</v>
      </c>
      <c r="Q442" s="24">
        <v>22000</v>
      </c>
      <c r="R442" s="21" t="s">
        <v>506</v>
      </c>
      <c r="S442" s="21" t="s">
        <v>437</v>
      </c>
      <c r="T442" s="21" t="s">
        <v>17</v>
      </c>
      <c r="U442" s="21" t="s">
        <v>507</v>
      </c>
      <c r="V442" s="21" t="s">
        <v>17</v>
      </c>
      <c r="W442" s="21" t="s">
        <v>439</v>
      </c>
      <c r="X442" s="21" t="s">
        <v>439</v>
      </c>
    </row>
    <row r="443" spans="1:24" ht="10.5" customHeight="1" x14ac:dyDescent="0.25">
      <c r="A443" s="20">
        <v>46036</v>
      </c>
      <c r="B443" s="21" t="str">
        <f t="shared" si="7"/>
        <v>14/01/2026NL100101</v>
      </c>
      <c r="C443" s="22" t="s">
        <v>535</v>
      </c>
      <c r="D443" s="22" t="s">
        <v>17</v>
      </c>
      <c r="E443" s="22" t="s">
        <v>431</v>
      </c>
      <c r="F443" s="21" t="s">
        <v>432</v>
      </c>
      <c r="G443" s="21" t="s">
        <v>433</v>
      </c>
      <c r="H443" s="21" t="s">
        <v>536</v>
      </c>
      <c r="I443" s="21" t="s">
        <v>344</v>
      </c>
      <c r="J443" s="21" t="s">
        <v>107</v>
      </c>
      <c r="K443" s="21" t="s">
        <v>435</v>
      </c>
      <c r="L443" s="23">
        <v>35</v>
      </c>
      <c r="M443" s="24">
        <v>5000</v>
      </c>
      <c r="N443" s="24">
        <v>0</v>
      </c>
      <c r="O443" s="25">
        <v>175000</v>
      </c>
      <c r="P443" s="25">
        <v>0</v>
      </c>
      <c r="Q443" s="24">
        <v>5000</v>
      </c>
      <c r="R443" s="21" t="s">
        <v>506</v>
      </c>
      <c r="S443" s="21" t="s">
        <v>437</v>
      </c>
      <c r="T443" s="21" t="s">
        <v>17</v>
      </c>
      <c r="U443" s="21" t="s">
        <v>507</v>
      </c>
      <c r="V443" s="21" t="s">
        <v>17</v>
      </c>
      <c r="W443" s="21" t="s">
        <v>439</v>
      </c>
      <c r="X443" s="21" t="s">
        <v>439</v>
      </c>
    </row>
    <row r="444" spans="1:24" ht="10.5" customHeight="1" x14ac:dyDescent="0.25">
      <c r="A444" s="20">
        <v>46037</v>
      </c>
      <c r="B444" s="21" t="str">
        <f t="shared" si="7"/>
        <v>15/01/2026NL300007</v>
      </c>
      <c r="C444" s="22" t="s">
        <v>537</v>
      </c>
      <c r="D444" s="22" t="s">
        <v>17</v>
      </c>
      <c r="E444" s="22" t="s">
        <v>431</v>
      </c>
      <c r="F444" s="21" t="s">
        <v>432</v>
      </c>
      <c r="G444" s="21" t="s">
        <v>433</v>
      </c>
      <c r="H444" s="21" t="s">
        <v>538</v>
      </c>
      <c r="I444" s="21" t="s">
        <v>309</v>
      </c>
      <c r="J444" s="21" t="s">
        <v>444</v>
      </c>
      <c r="K444" s="21" t="s">
        <v>442</v>
      </c>
      <c r="L444" s="23">
        <v>2</v>
      </c>
      <c r="M444" s="24">
        <v>30000</v>
      </c>
      <c r="N444" s="24">
        <v>0</v>
      </c>
      <c r="O444" s="25">
        <v>60000</v>
      </c>
      <c r="P444" s="25">
        <v>0</v>
      </c>
      <c r="Q444" s="24">
        <v>30000</v>
      </c>
      <c r="R444" s="21" t="s">
        <v>506</v>
      </c>
      <c r="S444" s="21" t="s">
        <v>437</v>
      </c>
      <c r="T444" s="21" t="s">
        <v>17</v>
      </c>
      <c r="U444" s="21" t="s">
        <v>507</v>
      </c>
      <c r="V444" s="21" t="s">
        <v>17</v>
      </c>
      <c r="W444" s="21" t="s">
        <v>439</v>
      </c>
      <c r="X444" s="21" t="s">
        <v>439</v>
      </c>
    </row>
    <row r="445" spans="1:24" ht="10.5" customHeight="1" x14ac:dyDescent="0.25">
      <c r="A445" s="20">
        <v>46037</v>
      </c>
      <c r="B445" s="21" t="str">
        <f t="shared" si="7"/>
        <v>15/01/2026NL300008</v>
      </c>
      <c r="C445" s="22" t="s">
        <v>537</v>
      </c>
      <c r="D445" s="22" t="s">
        <v>17</v>
      </c>
      <c r="E445" s="22" t="s">
        <v>431</v>
      </c>
      <c r="F445" s="21" t="s">
        <v>432</v>
      </c>
      <c r="G445" s="21" t="s">
        <v>433</v>
      </c>
      <c r="H445" s="21" t="s">
        <v>538</v>
      </c>
      <c r="I445" s="21" t="s">
        <v>320</v>
      </c>
      <c r="J445" s="21" t="s">
        <v>445</v>
      </c>
      <c r="K445" s="21" t="s">
        <v>442</v>
      </c>
      <c r="L445" s="23">
        <v>4.5</v>
      </c>
      <c r="M445" s="24">
        <v>40000</v>
      </c>
      <c r="N445" s="24">
        <v>0</v>
      </c>
      <c r="O445" s="25">
        <v>180000</v>
      </c>
      <c r="P445" s="25">
        <v>0</v>
      </c>
      <c r="Q445" s="24">
        <v>40000</v>
      </c>
      <c r="R445" s="21" t="s">
        <v>506</v>
      </c>
      <c r="S445" s="21" t="s">
        <v>437</v>
      </c>
      <c r="T445" s="21" t="s">
        <v>17</v>
      </c>
      <c r="U445" s="21" t="s">
        <v>507</v>
      </c>
      <c r="V445" s="21" t="s">
        <v>17</v>
      </c>
      <c r="W445" s="21" t="s">
        <v>439</v>
      </c>
      <c r="X445" s="21" t="s">
        <v>439</v>
      </c>
    </row>
    <row r="446" spans="1:24" ht="10.5" customHeight="1" x14ac:dyDescent="0.25">
      <c r="A446" s="20">
        <v>46037</v>
      </c>
      <c r="B446" s="21" t="str">
        <f t="shared" si="7"/>
        <v>15/01/2026NL300020</v>
      </c>
      <c r="C446" s="22" t="s">
        <v>537</v>
      </c>
      <c r="D446" s="22" t="s">
        <v>17</v>
      </c>
      <c r="E446" s="22" t="s">
        <v>431</v>
      </c>
      <c r="F446" s="21" t="s">
        <v>432</v>
      </c>
      <c r="G446" s="21" t="s">
        <v>433</v>
      </c>
      <c r="H446" s="21" t="s">
        <v>538</v>
      </c>
      <c r="I446" s="21" t="s">
        <v>326</v>
      </c>
      <c r="J446" s="21" t="s">
        <v>446</v>
      </c>
      <c r="K446" s="21" t="s">
        <v>442</v>
      </c>
      <c r="L446" s="23">
        <v>2</v>
      </c>
      <c r="M446" s="24">
        <v>30000</v>
      </c>
      <c r="N446" s="24">
        <v>0</v>
      </c>
      <c r="O446" s="25">
        <v>60000</v>
      </c>
      <c r="P446" s="25">
        <v>0</v>
      </c>
      <c r="Q446" s="24">
        <v>30000</v>
      </c>
      <c r="R446" s="21" t="s">
        <v>506</v>
      </c>
      <c r="S446" s="21" t="s">
        <v>437</v>
      </c>
      <c r="T446" s="21" t="s">
        <v>17</v>
      </c>
      <c r="U446" s="21" t="s">
        <v>507</v>
      </c>
      <c r="V446" s="21" t="s">
        <v>17</v>
      </c>
      <c r="W446" s="21" t="s">
        <v>439</v>
      </c>
      <c r="X446" s="21" t="s">
        <v>439</v>
      </c>
    </row>
    <row r="447" spans="1:24" ht="10.5" customHeight="1" x14ac:dyDescent="0.25">
      <c r="A447" s="20">
        <v>46037</v>
      </c>
      <c r="B447" s="21" t="str">
        <f t="shared" si="7"/>
        <v>15/01/2026NL300038</v>
      </c>
      <c r="C447" s="22" t="s">
        <v>537</v>
      </c>
      <c r="D447" s="22" t="s">
        <v>17</v>
      </c>
      <c r="E447" s="22" t="s">
        <v>431</v>
      </c>
      <c r="F447" s="21" t="s">
        <v>432</v>
      </c>
      <c r="G447" s="21" t="s">
        <v>433</v>
      </c>
      <c r="H447" s="21" t="s">
        <v>538</v>
      </c>
      <c r="I447" s="21" t="s">
        <v>217</v>
      </c>
      <c r="J447" s="21" t="s">
        <v>35</v>
      </c>
      <c r="K447" s="21" t="s">
        <v>442</v>
      </c>
      <c r="L447" s="23">
        <v>0.5</v>
      </c>
      <c r="M447" s="24">
        <v>32000</v>
      </c>
      <c r="N447" s="24">
        <v>0</v>
      </c>
      <c r="O447" s="25">
        <v>16000</v>
      </c>
      <c r="P447" s="25">
        <v>0</v>
      </c>
      <c r="Q447" s="24">
        <v>32000</v>
      </c>
      <c r="R447" s="21" t="s">
        <v>506</v>
      </c>
      <c r="S447" s="21" t="s">
        <v>437</v>
      </c>
      <c r="T447" s="21" t="s">
        <v>17</v>
      </c>
      <c r="U447" s="21" t="s">
        <v>507</v>
      </c>
      <c r="V447" s="21" t="s">
        <v>17</v>
      </c>
      <c r="W447" s="21" t="s">
        <v>439</v>
      </c>
      <c r="X447" s="21" t="s">
        <v>439</v>
      </c>
    </row>
    <row r="448" spans="1:24" ht="10.5" customHeight="1" x14ac:dyDescent="0.25">
      <c r="A448" s="20">
        <v>46037</v>
      </c>
      <c r="B448" s="21" t="str">
        <f t="shared" si="7"/>
        <v>15/01/2026NL300054</v>
      </c>
      <c r="C448" s="22" t="s">
        <v>537</v>
      </c>
      <c r="D448" s="22" t="s">
        <v>17</v>
      </c>
      <c r="E448" s="22" t="s">
        <v>431</v>
      </c>
      <c r="F448" s="21" t="s">
        <v>432</v>
      </c>
      <c r="G448" s="21" t="s">
        <v>433</v>
      </c>
      <c r="H448" s="21" t="s">
        <v>538</v>
      </c>
      <c r="I448" s="21" t="s">
        <v>216</v>
      </c>
      <c r="J448" s="21" t="s">
        <v>451</v>
      </c>
      <c r="K448" s="21" t="s">
        <v>442</v>
      </c>
      <c r="L448" s="23">
        <v>0.7</v>
      </c>
      <c r="M448" s="24">
        <v>38000</v>
      </c>
      <c r="N448" s="24">
        <v>0</v>
      </c>
      <c r="O448" s="25">
        <v>26600</v>
      </c>
      <c r="P448" s="25">
        <v>0</v>
      </c>
      <c r="Q448" s="24">
        <v>38000</v>
      </c>
      <c r="R448" s="21" t="s">
        <v>506</v>
      </c>
      <c r="S448" s="21" t="s">
        <v>437</v>
      </c>
      <c r="T448" s="21" t="s">
        <v>17</v>
      </c>
      <c r="U448" s="21" t="s">
        <v>507</v>
      </c>
      <c r="V448" s="21" t="s">
        <v>17</v>
      </c>
      <c r="W448" s="21" t="s">
        <v>439</v>
      </c>
      <c r="X448" s="21" t="s">
        <v>439</v>
      </c>
    </row>
    <row r="449" spans="1:24" ht="10.5" customHeight="1" x14ac:dyDescent="0.25">
      <c r="A449" s="20">
        <v>46037</v>
      </c>
      <c r="B449" s="21" t="str">
        <f t="shared" si="7"/>
        <v>15/01/2026NL300058</v>
      </c>
      <c r="C449" s="22" t="s">
        <v>537</v>
      </c>
      <c r="D449" s="22" t="s">
        <v>17</v>
      </c>
      <c r="E449" s="22" t="s">
        <v>431</v>
      </c>
      <c r="F449" s="21" t="s">
        <v>432</v>
      </c>
      <c r="G449" s="21" t="s">
        <v>433</v>
      </c>
      <c r="H449" s="21" t="s">
        <v>538</v>
      </c>
      <c r="I449" s="21" t="s">
        <v>228</v>
      </c>
      <c r="J449" s="21" t="s">
        <v>39</v>
      </c>
      <c r="K449" s="21" t="s">
        <v>442</v>
      </c>
      <c r="L449" s="23">
        <v>1</v>
      </c>
      <c r="M449" s="24">
        <v>55000</v>
      </c>
      <c r="N449" s="24">
        <v>0</v>
      </c>
      <c r="O449" s="25">
        <v>55000</v>
      </c>
      <c r="P449" s="25">
        <v>0</v>
      </c>
      <c r="Q449" s="24">
        <v>55000</v>
      </c>
      <c r="R449" s="21" t="s">
        <v>506</v>
      </c>
      <c r="S449" s="21" t="s">
        <v>437</v>
      </c>
      <c r="T449" s="21" t="s">
        <v>17</v>
      </c>
      <c r="U449" s="21" t="s">
        <v>507</v>
      </c>
      <c r="V449" s="21" t="s">
        <v>17</v>
      </c>
      <c r="W449" s="21" t="s">
        <v>439</v>
      </c>
      <c r="X449" s="21" t="s">
        <v>439</v>
      </c>
    </row>
    <row r="450" spans="1:24" ht="10.5" customHeight="1" x14ac:dyDescent="0.25">
      <c r="A450" s="20">
        <v>46037</v>
      </c>
      <c r="B450" s="21" t="str">
        <f t="shared" si="7"/>
        <v>15/01/2026NL300085</v>
      </c>
      <c r="C450" s="22" t="s">
        <v>537</v>
      </c>
      <c r="D450" s="22" t="s">
        <v>17</v>
      </c>
      <c r="E450" s="22" t="s">
        <v>431</v>
      </c>
      <c r="F450" s="21" t="s">
        <v>432</v>
      </c>
      <c r="G450" s="21" t="s">
        <v>433</v>
      </c>
      <c r="H450" s="21" t="s">
        <v>538</v>
      </c>
      <c r="I450" s="21" t="s">
        <v>263</v>
      </c>
      <c r="J450" s="21" t="s">
        <v>453</v>
      </c>
      <c r="K450" s="21" t="s">
        <v>442</v>
      </c>
      <c r="L450" s="23">
        <v>1.3</v>
      </c>
      <c r="M450" s="24">
        <v>45000</v>
      </c>
      <c r="N450" s="24">
        <v>0</v>
      </c>
      <c r="O450" s="25">
        <v>58500</v>
      </c>
      <c r="P450" s="25">
        <v>0</v>
      </c>
      <c r="Q450" s="24">
        <v>45000</v>
      </c>
      <c r="R450" s="21" t="s">
        <v>506</v>
      </c>
      <c r="S450" s="21" t="s">
        <v>437</v>
      </c>
      <c r="T450" s="21" t="s">
        <v>17</v>
      </c>
      <c r="U450" s="21" t="s">
        <v>507</v>
      </c>
      <c r="V450" s="21" t="s">
        <v>17</v>
      </c>
      <c r="W450" s="21" t="s">
        <v>439</v>
      </c>
      <c r="X450" s="21" t="s">
        <v>439</v>
      </c>
    </row>
    <row r="451" spans="1:24" ht="10.5" customHeight="1" x14ac:dyDescent="0.25">
      <c r="A451" s="20">
        <v>46037</v>
      </c>
      <c r="B451" s="21" t="str">
        <f t="shared" si="7"/>
        <v>15/01/2026NL300091</v>
      </c>
      <c r="C451" s="22" t="s">
        <v>537</v>
      </c>
      <c r="D451" s="22" t="s">
        <v>17</v>
      </c>
      <c r="E451" s="22" t="s">
        <v>431</v>
      </c>
      <c r="F451" s="21" t="s">
        <v>432</v>
      </c>
      <c r="G451" s="21" t="s">
        <v>433</v>
      </c>
      <c r="H451" s="21" t="s">
        <v>538</v>
      </c>
      <c r="I451" s="21" t="s">
        <v>256</v>
      </c>
      <c r="J451" s="21" t="s">
        <v>72</v>
      </c>
      <c r="K451" s="21" t="s">
        <v>442</v>
      </c>
      <c r="L451" s="23">
        <v>1</v>
      </c>
      <c r="M451" s="24">
        <v>47000</v>
      </c>
      <c r="N451" s="24">
        <v>0</v>
      </c>
      <c r="O451" s="25">
        <v>47000</v>
      </c>
      <c r="P451" s="25">
        <v>0</v>
      </c>
      <c r="Q451" s="24">
        <v>47000</v>
      </c>
      <c r="R451" s="21" t="s">
        <v>506</v>
      </c>
      <c r="S451" s="21" t="s">
        <v>437</v>
      </c>
      <c r="T451" s="21" t="s">
        <v>17</v>
      </c>
      <c r="U451" s="21" t="s">
        <v>507</v>
      </c>
      <c r="V451" s="21" t="s">
        <v>17</v>
      </c>
      <c r="W451" s="21" t="s">
        <v>439</v>
      </c>
      <c r="X451" s="21" t="s">
        <v>439</v>
      </c>
    </row>
    <row r="452" spans="1:24" ht="10.5" customHeight="1" x14ac:dyDescent="0.25">
      <c r="A452" s="20">
        <v>46037</v>
      </c>
      <c r="B452" s="21" t="str">
        <f t="shared" si="7"/>
        <v>15/01/2026NL300092</v>
      </c>
      <c r="C452" s="22" t="s">
        <v>537</v>
      </c>
      <c r="D452" s="22" t="s">
        <v>17</v>
      </c>
      <c r="E452" s="22" t="s">
        <v>431</v>
      </c>
      <c r="F452" s="21" t="s">
        <v>432</v>
      </c>
      <c r="G452" s="21" t="s">
        <v>433</v>
      </c>
      <c r="H452" s="21" t="s">
        <v>538</v>
      </c>
      <c r="I452" s="21" t="s">
        <v>329</v>
      </c>
      <c r="J452" s="21" t="s">
        <v>74</v>
      </c>
      <c r="K452" s="21" t="s">
        <v>442</v>
      </c>
      <c r="L452" s="23">
        <v>1</v>
      </c>
      <c r="M452" s="24">
        <v>90000</v>
      </c>
      <c r="N452" s="24">
        <v>0</v>
      </c>
      <c r="O452" s="25">
        <v>90000</v>
      </c>
      <c r="P452" s="25">
        <v>0</v>
      </c>
      <c r="Q452" s="24">
        <v>90000</v>
      </c>
      <c r="R452" s="21" t="s">
        <v>506</v>
      </c>
      <c r="S452" s="21" t="s">
        <v>437</v>
      </c>
      <c r="T452" s="21" t="s">
        <v>17</v>
      </c>
      <c r="U452" s="21" t="s">
        <v>507</v>
      </c>
      <c r="V452" s="21" t="s">
        <v>17</v>
      </c>
      <c r="W452" s="21" t="s">
        <v>439</v>
      </c>
      <c r="X452" s="21" t="s">
        <v>439</v>
      </c>
    </row>
    <row r="453" spans="1:24" ht="10.5" customHeight="1" x14ac:dyDescent="0.25">
      <c r="A453" s="20">
        <v>46037</v>
      </c>
      <c r="B453" s="21" t="str">
        <f t="shared" si="7"/>
        <v>15/01/2026NL300094</v>
      </c>
      <c r="C453" s="22" t="s">
        <v>537</v>
      </c>
      <c r="D453" s="22" t="s">
        <v>17</v>
      </c>
      <c r="E453" s="22" t="s">
        <v>431</v>
      </c>
      <c r="F453" s="21" t="s">
        <v>432</v>
      </c>
      <c r="G453" s="21" t="s">
        <v>433</v>
      </c>
      <c r="H453" s="21" t="s">
        <v>538</v>
      </c>
      <c r="I453" s="21" t="s">
        <v>257</v>
      </c>
      <c r="J453" s="21" t="s">
        <v>454</v>
      </c>
      <c r="K453" s="21" t="s">
        <v>442</v>
      </c>
      <c r="L453" s="23">
        <v>1</v>
      </c>
      <c r="M453" s="24">
        <v>80000</v>
      </c>
      <c r="N453" s="24">
        <v>0</v>
      </c>
      <c r="O453" s="25">
        <v>80000</v>
      </c>
      <c r="P453" s="25">
        <v>0</v>
      </c>
      <c r="Q453" s="24">
        <v>80000</v>
      </c>
      <c r="R453" s="21" t="s">
        <v>506</v>
      </c>
      <c r="S453" s="21" t="s">
        <v>437</v>
      </c>
      <c r="T453" s="21" t="s">
        <v>17</v>
      </c>
      <c r="U453" s="21" t="s">
        <v>507</v>
      </c>
      <c r="V453" s="21" t="s">
        <v>17</v>
      </c>
      <c r="W453" s="21" t="s">
        <v>439</v>
      </c>
      <c r="X453" s="21" t="s">
        <v>439</v>
      </c>
    </row>
    <row r="454" spans="1:24" ht="10.5" customHeight="1" x14ac:dyDescent="0.25">
      <c r="A454" s="20">
        <v>46037</v>
      </c>
      <c r="B454" s="21" t="str">
        <f t="shared" si="7"/>
        <v>15/01/2026NL300096</v>
      </c>
      <c r="C454" s="22" t="s">
        <v>537</v>
      </c>
      <c r="D454" s="22" t="s">
        <v>17</v>
      </c>
      <c r="E454" s="22" t="s">
        <v>431</v>
      </c>
      <c r="F454" s="21" t="s">
        <v>432</v>
      </c>
      <c r="G454" s="21" t="s">
        <v>433</v>
      </c>
      <c r="H454" s="21" t="s">
        <v>538</v>
      </c>
      <c r="I454" s="21" t="s">
        <v>258</v>
      </c>
      <c r="J454" s="21" t="s">
        <v>45</v>
      </c>
      <c r="K454" s="21" t="s">
        <v>442</v>
      </c>
      <c r="L454" s="23">
        <v>3</v>
      </c>
      <c r="M454" s="24">
        <v>45000</v>
      </c>
      <c r="N454" s="24">
        <v>0</v>
      </c>
      <c r="O454" s="25">
        <v>135000</v>
      </c>
      <c r="P454" s="25">
        <v>0</v>
      </c>
      <c r="Q454" s="24">
        <v>45000</v>
      </c>
      <c r="R454" s="21" t="s">
        <v>506</v>
      </c>
      <c r="S454" s="21" t="s">
        <v>437</v>
      </c>
      <c r="T454" s="21" t="s">
        <v>17</v>
      </c>
      <c r="U454" s="21" t="s">
        <v>507</v>
      </c>
      <c r="V454" s="21" t="s">
        <v>17</v>
      </c>
      <c r="W454" s="21" t="s">
        <v>439</v>
      </c>
      <c r="X454" s="21" t="s">
        <v>439</v>
      </c>
    </row>
    <row r="455" spans="1:24" ht="10.5" customHeight="1" x14ac:dyDescent="0.25">
      <c r="A455" s="20">
        <v>46037</v>
      </c>
      <c r="B455" s="21" t="str">
        <f t="shared" si="7"/>
        <v>15/01/2026NL300097</v>
      </c>
      <c r="C455" s="22" t="s">
        <v>537</v>
      </c>
      <c r="D455" s="22" t="s">
        <v>17</v>
      </c>
      <c r="E455" s="22" t="s">
        <v>431</v>
      </c>
      <c r="F455" s="21" t="s">
        <v>432</v>
      </c>
      <c r="G455" s="21" t="s">
        <v>433</v>
      </c>
      <c r="H455" s="21" t="s">
        <v>538</v>
      </c>
      <c r="I455" s="21" t="s">
        <v>331</v>
      </c>
      <c r="J455" s="21" t="s">
        <v>443</v>
      </c>
      <c r="K455" s="21" t="s">
        <v>442</v>
      </c>
      <c r="L455" s="23">
        <v>1</v>
      </c>
      <c r="M455" s="24">
        <v>90000</v>
      </c>
      <c r="N455" s="24">
        <v>0</v>
      </c>
      <c r="O455" s="25">
        <v>90000</v>
      </c>
      <c r="P455" s="25">
        <v>0</v>
      </c>
      <c r="Q455" s="24">
        <v>90000</v>
      </c>
      <c r="R455" s="21" t="s">
        <v>506</v>
      </c>
      <c r="S455" s="21" t="s">
        <v>437</v>
      </c>
      <c r="T455" s="21" t="s">
        <v>17</v>
      </c>
      <c r="U455" s="21" t="s">
        <v>507</v>
      </c>
      <c r="V455" s="21" t="s">
        <v>17</v>
      </c>
      <c r="W455" s="21" t="s">
        <v>439</v>
      </c>
      <c r="X455" s="21" t="s">
        <v>439</v>
      </c>
    </row>
    <row r="456" spans="1:24" ht="10.5" customHeight="1" x14ac:dyDescent="0.25">
      <c r="A456" s="20">
        <v>46037</v>
      </c>
      <c r="B456" s="21" t="str">
        <f t="shared" si="7"/>
        <v>15/01/2026NL300113</v>
      </c>
      <c r="C456" s="22" t="s">
        <v>537</v>
      </c>
      <c r="D456" s="22" t="s">
        <v>17</v>
      </c>
      <c r="E456" s="22" t="s">
        <v>431</v>
      </c>
      <c r="F456" s="21" t="s">
        <v>432</v>
      </c>
      <c r="G456" s="21" t="s">
        <v>433</v>
      </c>
      <c r="H456" s="21" t="s">
        <v>538</v>
      </c>
      <c r="I456" s="21" t="s">
        <v>271</v>
      </c>
      <c r="J456" s="21" t="s">
        <v>103</v>
      </c>
      <c r="K456" s="21" t="s">
        <v>442</v>
      </c>
      <c r="L456" s="23">
        <v>0.5</v>
      </c>
      <c r="M456" s="24">
        <v>145000</v>
      </c>
      <c r="N456" s="24">
        <v>0</v>
      </c>
      <c r="O456" s="25">
        <v>72500</v>
      </c>
      <c r="P456" s="25">
        <v>0</v>
      </c>
      <c r="Q456" s="24">
        <v>145000</v>
      </c>
      <c r="R456" s="21" t="s">
        <v>506</v>
      </c>
      <c r="S456" s="21" t="s">
        <v>437</v>
      </c>
      <c r="T456" s="21" t="s">
        <v>17</v>
      </c>
      <c r="U456" s="21" t="s">
        <v>507</v>
      </c>
      <c r="V456" s="21" t="s">
        <v>17</v>
      </c>
      <c r="W456" s="21" t="s">
        <v>439</v>
      </c>
      <c r="X456" s="21" t="s">
        <v>439</v>
      </c>
    </row>
    <row r="457" spans="1:24" ht="10.5" customHeight="1" x14ac:dyDescent="0.25">
      <c r="A457" s="20">
        <v>46037</v>
      </c>
      <c r="B457" s="21" t="str">
        <f t="shared" si="7"/>
        <v>15/01/2026NL300142</v>
      </c>
      <c r="C457" s="22" t="s">
        <v>537</v>
      </c>
      <c r="D457" s="22" t="s">
        <v>17</v>
      </c>
      <c r="E457" s="22" t="s">
        <v>431</v>
      </c>
      <c r="F457" s="21" t="s">
        <v>432</v>
      </c>
      <c r="G457" s="21" t="s">
        <v>433</v>
      </c>
      <c r="H457" s="21" t="s">
        <v>538</v>
      </c>
      <c r="I457" s="21" t="s">
        <v>317</v>
      </c>
      <c r="J457" s="21" t="s">
        <v>441</v>
      </c>
      <c r="K457" s="21" t="s">
        <v>442</v>
      </c>
      <c r="L457" s="23">
        <v>0.5</v>
      </c>
      <c r="M457" s="24">
        <v>50000</v>
      </c>
      <c r="N457" s="24">
        <v>0</v>
      </c>
      <c r="O457" s="25">
        <v>25000</v>
      </c>
      <c r="P457" s="25">
        <v>0</v>
      </c>
      <c r="Q457" s="24">
        <v>50000</v>
      </c>
      <c r="R457" s="21" t="s">
        <v>506</v>
      </c>
      <c r="S457" s="21" t="s">
        <v>437</v>
      </c>
      <c r="T457" s="21" t="s">
        <v>17</v>
      </c>
      <c r="U457" s="21" t="s">
        <v>507</v>
      </c>
      <c r="V457" s="21" t="s">
        <v>17</v>
      </c>
      <c r="W457" s="21" t="s">
        <v>439</v>
      </c>
      <c r="X457" s="21" t="s">
        <v>439</v>
      </c>
    </row>
    <row r="458" spans="1:24" ht="10.5" customHeight="1" x14ac:dyDescent="0.25">
      <c r="A458" s="20">
        <v>46037</v>
      </c>
      <c r="B458" s="21" t="str">
        <f t="shared" si="7"/>
        <v>15/01/2026NL300132</v>
      </c>
      <c r="C458" s="22" t="s">
        <v>537</v>
      </c>
      <c r="D458" s="22" t="s">
        <v>17</v>
      </c>
      <c r="E458" s="22" t="s">
        <v>431</v>
      </c>
      <c r="F458" s="21" t="s">
        <v>432</v>
      </c>
      <c r="G458" s="21" t="s">
        <v>433</v>
      </c>
      <c r="H458" s="21" t="s">
        <v>538</v>
      </c>
      <c r="I458" s="21" t="s">
        <v>285</v>
      </c>
      <c r="J458" s="21" t="s">
        <v>82</v>
      </c>
      <c r="K458" s="21" t="s">
        <v>442</v>
      </c>
      <c r="L458" s="23">
        <v>1</v>
      </c>
      <c r="M458" s="24">
        <v>12000</v>
      </c>
      <c r="N458" s="24">
        <v>0</v>
      </c>
      <c r="O458" s="25">
        <v>12000</v>
      </c>
      <c r="P458" s="25">
        <v>0</v>
      </c>
      <c r="Q458" s="24">
        <v>12000</v>
      </c>
      <c r="R458" s="21" t="s">
        <v>506</v>
      </c>
      <c r="S458" s="21" t="s">
        <v>437</v>
      </c>
      <c r="T458" s="21" t="s">
        <v>17</v>
      </c>
      <c r="U458" s="21" t="s">
        <v>507</v>
      </c>
      <c r="V458" s="21" t="s">
        <v>17</v>
      </c>
      <c r="W458" s="21" t="s">
        <v>439</v>
      </c>
      <c r="X458" s="21" t="s">
        <v>439</v>
      </c>
    </row>
    <row r="459" spans="1:24" ht="10.5" customHeight="1" x14ac:dyDescent="0.25">
      <c r="A459" s="20">
        <v>46037</v>
      </c>
      <c r="B459" s="21" t="str">
        <f t="shared" si="7"/>
        <v>15/01/2026NL300137</v>
      </c>
      <c r="C459" s="22" t="s">
        <v>537</v>
      </c>
      <c r="D459" s="22" t="s">
        <v>17</v>
      </c>
      <c r="E459" s="22" t="s">
        <v>431</v>
      </c>
      <c r="F459" s="21" t="s">
        <v>432</v>
      </c>
      <c r="G459" s="21" t="s">
        <v>433</v>
      </c>
      <c r="H459" s="21" t="s">
        <v>538</v>
      </c>
      <c r="I459" s="21" t="s">
        <v>196</v>
      </c>
      <c r="J459" s="21" t="s">
        <v>458</v>
      </c>
      <c r="K459" s="21" t="s">
        <v>442</v>
      </c>
      <c r="L459" s="23">
        <v>2.2000000000000002</v>
      </c>
      <c r="M459" s="24">
        <v>52000</v>
      </c>
      <c r="N459" s="24">
        <v>0</v>
      </c>
      <c r="O459" s="25">
        <v>114400</v>
      </c>
      <c r="P459" s="25">
        <v>0</v>
      </c>
      <c r="Q459" s="24">
        <v>52000</v>
      </c>
      <c r="R459" s="21" t="s">
        <v>506</v>
      </c>
      <c r="S459" s="21" t="s">
        <v>437</v>
      </c>
      <c r="T459" s="21" t="s">
        <v>17</v>
      </c>
      <c r="U459" s="21" t="s">
        <v>507</v>
      </c>
      <c r="V459" s="21" t="s">
        <v>17</v>
      </c>
      <c r="W459" s="21" t="s">
        <v>439</v>
      </c>
      <c r="X459" s="21" t="s">
        <v>439</v>
      </c>
    </row>
    <row r="460" spans="1:24" ht="10.5" customHeight="1" x14ac:dyDescent="0.25">
      <c r="A460" s="20">
        <v>46037</v>
      </c>
      <c r="B460" s="21" t="str">
        <f t="shared" si="7"/>
        <v>15/01/2026NL300189</v>
      </c>
      <c r="C460" s="22" t="s">
        <v>537</v>
      </c>
      <c r="D460" s="22" t="s">
        <v>17</v>
      </c>
      <c r="E460" s="22" t="s">
        <v>431</v>
      </c>
      <c r="F460" s="21" t="s">
        <v>432</v>
      </c>
      <c r="G460" s="21" t="s">
        <v>433</v>
      </c>
      <c r="H460" s="21" t="s">
        <v>538</v>
      </c>
      <c r="I460" s="21" t="s">
        <v>378</v>
      </c>
      <c r="J460" s="21" t="s">
        <v>19</v>
      </c>
      <c r="K460" s="21" t="s">
        <v>442</v>
      </c>
      <c r="L460" s="23">
        <v>2</v>
      </c>
      <c r="M460" s="24">
        <v>15000</v>
      </c>
      <c r="N460" s="24">
        <v>0</v>
      </c>
      <c r="O460" s="25">
        <v>30000</v>
      </c>
      <c r="P460" s="25">
        <v>0</v>
      </c>
      <c r="Q460" s="24">
        <v>15000</v>
      </c>
      <c r="R460" s="21" t="s">
        <v>506</v>
      </c>
      <c r="S460" s="21" t="s">
        <v>437</v>
      </c>
      <c r="T460" s="21" t="s">
        <v>17</v>
      </c>
      <c r="U460" s="21" t="s">
        <v>507</v>
      </c>
      <c r="V460" s="21" t="s">
        <v>17</v>
      </c>
      <c r="W460" s="21" t="s">
        <v>439</v>
      </c>
      <c r="X460" s="21" t="s">
        <v>439</v>
      </c>
    </row>
    <row r="461" spans="1:24" ht="10.5" customHeight="1" x14ac:dyDescent="0.25">
      <c r="A461" s="20">
        <v>46037</v>
      </c>
      <c r="B461" s="21" t="str">
        <f t="shared" si="7"/>
        <v>15/01/2026NL300119</v>
      </c>
      <c r="C461" s="22" t="s">
        <v>537</v>
      </c>
      <c r="D461" s="22" t="s">
        <v>17</v>
      </c>
      <c r="E461" s="22" t="s">
        <v>431</v>
      </c>
      <c r="F461" s="21" t="s">
        <v>432</v>
      </c>
      <c r="G461" s="21" t="s">
        <v>433</v>
      </c>
      <c r="H461" s="21" t="s">
        <v>538</v>
      </c>
      <c r="I461" s="21" t="s">
        <v>310</v>
      </c>
      <c r="J461" s="21" t="s">
        <v>460</v>
      </c>
      <c r="K461" s="21" t="s">
        <v>442</v>
      </c>
      <c r="L461" s="23">
        <v>0.5</v>
      </c>
      <c r="M461" s="24">
        <v>21000</v>
      </c>
      <c r="N461" s="24">
        <v>0</v>
      </c>
      <c r="O461" s="25">
        <v>10500</v>
      </c>
      <c r="P461" s="25">
        <v>0</v>
      </c>
      <c r="Q461" s="24">
        <v>21000</v>
      </c>
      <c r="R461" s="21" t="s">
        <v>506</v>
      </c>
      <c r="S461" s="21" t="s">
        <v>437</v>
      </c>
      <c r="T461" s="21" t="s">
        <v>17</v>
      </c>
      <c r="U461" s="21" t="s">
        <v>507</v>
      </c>
      <c r="V461" s="21" t="s">
        <v>17</v>
      </c>
      <c r="W461" s="21" t="s">
        <v>439</v>
      </c>
      <c r="X461" s="21" t="s">
        <v>439</v>
      </c>
    </row>
    <row r="462" spans="1:24" ht="10.5" customHeight="1" x14ac:dyDescent="0.25">
      <c r="A462" s="20">
        <v>46037</v>
      </c>
      <c r="B462" s="21" t="str">
        <f t="shared" si="7"/>
        <v>15/01/2026NL300062</v>
      </c>
      <c r="C462" s="22" t="s">
        <v>537</v>
      </c>
      <c r="D462" s="22" t="s">
        <v>17</v>
      </c>
      <c r="E462" s="22" t="s">
        <v>431</v>
      </c>
      <c r="F462" s="21" t="s">
        <v>432</v>
      </c>
      <c r="G462" s="21" t="s">
        <v>433</v>
      </c>
      <c r="H462" s="21" t="s">
        <v>538</v>
      </c>
      <c r="I462" s="21" t="s">
        <v>236</v>
      </c>
      <c r="J462" s="21" t="s">
        <v>482</v>
      </c>
      <c r="K462" s="21" t="s">
        <v>442</v>
      </c>
      <c r="L462" s="23">
        <v>0.2</v>
      </c>
      <c r="M462" s="24">
        <v>65000</v>
      </c>
      <c r="N462" s="24">
        <v>0</v>
      </c>
      <c r="O462" s="25">
        <v>13000</v>
      </c>
      <c r="P462" s="25">
        <v>0</v>
      </c>
      <c r="Q462" s="24">
        <v>65000</v>
      </c>
      <c r="R462" s="21" t="s">
        <v>506</v>
      </c>
      <c r="S462" s="21" t="s">
        <v>437</v>
      </c>
      <c r="T462" s="21" t="s">
        <v>17</v>
      </c>
      <c r="U462" s="21" t="s">
        <v>507</v>
      </c>
      <c r="V462" s="21" t="s">
        <v>17</v>
      </c>
      <c r="W462" s="21" t="s">
        <v>439</v>
      </c>
      <c r="X462" s="21" t="s">
        <v>439</v>
      </c>
    </row>
    <row r="463" spans="1:24" ht="10.5" customHeight="1" x14ac:dyDescent="0.25">
      <c r="A463" s="20">
        <v>46037</v>
      </c>
      <c r="B463" s="21" t="str">
        <f t="shared" si="7"/>
        <v>15/01/2026NL300088</v>
      </c>
      <c r="C463" s="22" t="s">
        <v>537</v>
      </c>
      <c r="D463" s="22" t="s">
        <v>17</v>
      </c>
      <c r="E463" s="22" t="s">
        <v>431</v>
      </c>
      <c r="F463" s="21" t="s">
        <v>432</v>
      </c>
      <c r="G463" s="21" t="s">
        <v>433</v>
      </c>
      <c r="H463" s="21" t="s">
        <v>538</v>
      </c>
      <c r="I463" s="21" t="s">
        <v>254</v>
      </c>
      <c r="J463" s="21" t="s">
        <v>15</v>
      </c>
      <c r="K463" s="21" t="s">
        <v>442</v>
      </c>
      <c r="L463" s="23">
        <v>2</v>
      </c>
      <c r="M463" s="24">
        <v>27000</v>
      </c>
      <c r="N463" s="24">
        <v>0</v>
      </c>
      <c r="O463" s="25">
        <v>54000</v>
      </c>
      <c r="P463" s="25">
        <v>0</v>
      </c>
      <c r="Q463" s="24">
        <v>27000</v>
      </c>
      <c r="R463" s="21" t="s">
        <v>506</v>
      </c>
      <c r="S463" s="21" t="s">
        <v>437</v>
      </c>
      <c r="T463" s="21" t="s">
        <v>17</v>
      </c>
      <c r="U463" s="21" t="s">
        <v>507</v>
      </c>
      <c r="V463" s="21" t="s">
        <v>17</v>
      </c>
      <c r="W463" s="21" t="s">
        <v>439</v>
      </c>
      <c r="X463" s="21" t="s">
        <v>439</v>
      </c>
    </row>
    <row r="464" spans="1:24" ht="10.5" customHeight="1" x14ac:dyDescent="0.25">
      <c r="A464" s="20">
        <v>46037</v>
      </c>
      <c r="B464" s="21" t="str">
        <f t="shared" si="7"/>
        <v>15/01/2026NL300125</v>
      </c>
      <c r="C464" s="22" t="s">
        <v>537</v>
      </c>
      <c r="D464" s="22" t="s">
        <v>17</v>
      </c>
      <c r="E464" s="22" t="s">
        <v>431</v>
      </c>
      <c r="F464" s="21" t="s">
        <v>432</v>
      </c>
      <c r="G464" s="21" t="s">
        <v>433</v>
      </c>
      <c r="H464" s="21" t="s">
        <v>538</v>
      </c>
      <c r="I464" s="21" t="s">
        <v>337</v>
      </c>
      <c r="J464" s="21" t="s">
        <v>146</v>
      </c>
      <c r="K464" s="21" t="s">
        <v>442</v>
      </c>
      <c r="L464" s="23">
        <v>0.5</v>
      </c>
      <c r="M464" s="24">
        <v>42000</v>
      </c>
      <c r="N464" s="24">
        <v>0</v>
      </c>
      <c r="O464" s="25">
        <v>21000</v>
      </c>
      <c r="P464" s="25">
        <v>0</v>
      </c>
      <c r="Q464" s="24">
        <v>42000</v>
      </c>
      <c r="R464" s="21" t="s">
        <v>506</v>
      </c>
      <c r="S464" s="21" t="s">
        <v>437</v>
      </c>
      <c r="T464" s="21" t="s">
        <v>17</v>
      </c>
      <c r="U464" s="21" t="s">
        <v>507</v>
      </c>
      <c r="V464" s="21" t="s">
        <v>17</v>
      </c>
      <c r="W464" s="21" t="s">
        <v>439</v>
      </c>
      <c r="X464" s="21" t="s">
        <v>439</v>
      </c>
    </row>
    <row r="465" spans="1:24" ht="10.5" customHeight="1" x14ac:dyDescent="0.25">
      <c r="A465" s="20">
        <v>46037</v>
      </c>
      <c r="B465" s="21" t="str">
        <f t="shared" si="7"/>
        <v>15/01/2026NL300029</v>
      </c>
      <c r="C465" s="22" t="s">
        <v>537</v>
      </c>
      <c r="D465" s="22" t="s">
        <v>17</v>
      </c>
      <c r="E465" s="22" t="s">
        <v>431</v>
      </c>
      <c r="F465" s="21" t="s">
        <v>432</v>
      </c>
      <c r="G465" s="21" t="s">
        <v>433</v>
      </c>
      <c r="H465" s="21" t="s">
        <v>538</v>
      </c>
      <c r="I465" s="21" t="s">
        <v>213</v>
      </c>
      <c r="J465" s="21" t="s">
        <v>469</v>
      </c>
      <c r="K465" s="21" t="s">
        <v>442</v>
      </c>
      <c r="L465" s="23">
        <v>0.5</v>
      </c>
      <c r="M465" s="24">
        <v>22000</v>
      </c>
      <c r="N465" s="24">
        <v>0</v>
      </c>
      <c r="O465" s="25">
        <v>11000</v>
      </c>
      <c r="P465" s="25">
        <v>0</v>
      </c>
      <c r="Q465" s="24">
        <v>22000</v>
      </c>
      <c r="R465" s="21" t="s">
        <v>506</v>
      </c>
      <c r="S465" s="21" t="s">
        <v>437</v>
      </c>
      <c r="T465" s="21" t="s">
        <v>17</v>
      </c>
      <c r="U465" s="21" t="s">
        <v>507</v>
      </c>
      <c r="V465" s="21" t="s">
        <v>17</v>
      </c>
      <c r="W465" s="21" t="s">
        <v>439</v>
      </c>
      <c r="X465" s="21" t="s">
        <v>439</v>
      </c>
    </row>
    <row r="466" spans="1:24" ht="10.5" customHeight="1" x14ac:dyDescent="0.25">
      <c r="A466" s="20">
        <v>46037</v>
      </c>
      <c r="B466" s="21" t="str">
        <f t="shared" si="7"/>
        <v>15/01/2026NL300107</v>
      </c>
      <c r="C466" s="22" t="s">
        <v>537</v>
      </c>
      <c r="D466" s="22" t="s">
        <v>17</v>
      </c>
      <c r="E466" s="22" t="s">
        <v>431</v>
      </c>
      <c r="F466" s="21" t="s">
        <v>432</v>
      </c>
      <c r="G466" s="21" t="s">
        <v>433</v>
      </c>
      <c r="H466" s="21" t="s">
        <v>538</v>
      </c>
      <c r="I466" s="21" t="s">
        <v>193</v>
      </c>
      <c r="J466" s="21" t="s">
        <v>455</v>
      </c>
      <c r="K466" s="21" t="s">
        <v>450</v>
      </c>
      <c r="L466" s="23">
        <v>10</v>
      </c>
      <c r="M466" s="24">
        <v>8500</v>
      </c>
      <c r="N466" s="24">
        <v>0</v>
      </c>
      <c r="O466" s="25">
        <v>85000</v>
      </c>
      <c r="P466" s="25">
        <v>0</v>
      </c>
      <c r="Q466" s="24">
        <v>8500</v>
      </c>
      <c r="R466" s="21" t="s">
        <v>506</v>
      </c>
      <c r="S466" s="21" t="s">
        <v>437</v>
      </c>
      <c r="T466" s="21" t="s">
        <v>17</v>
      </c>
      <c r="U466" s="21" t="s">
        <v>507</v>
      </c>
      <c r="V466" s="21" t="s">
        <v>17</v>
      </c>
      <c r="W466" s="21" t="s">
        <v>439</v>
      </c>
      <c r="X466" s="21" t="s">
        <v>439</v>
      </c>
    </row>
    <row r="467" spans="1:24" ht="10.5" customHeight="1" x14ac:dyDescent="0.25">
      <c r="A467" s="20">
        <v>46037</v>
      </c>
      <c r="B467" s="21" t="str">
        <f t="shared" si="7"/>
        <v>15/01/2026NL300041</v>
      </c>
      <c r="C467" s="22" t="s">
        <v>537</v>
      </c>
      <c r="D467" s="22" t="s">
        <v>17</v>
      </c>
      <c r="E467" s="22" t="s">
        <v>431</v>
      </c>
      <c r="F467" s="21" t="s">
        <v>432</v>
      </c>
      <c r="G467" s="21" t="s">
        <v>433</v>
      </c>
      <c r="H467" s="21" t="s">
        <v>538</v>
      </c>
      <c r="I467" s="21" t="s">
        <v>222</v>
      </c>
      <c r="J467" s="21" t="s">
        <v>449</v>
      </c>
      <c r="K467" s="21" t="s">
        <v>450</v>
      </c>
      <c r="L467" s="23">
        <v>6</v>
      </c>
      <c r="M467" s="24">
        <v>15000</v>
      </c>
      <c r="N467" s="24">
        <v>0</v>
      </c>
      <c r="O467" s="25">
        <v>90000</v>
      </c>
      <c r="P467" s="25">
        <v>0</v>
      </c>
      <c r="Q467" s="24">
        <v>15000</v>
      </c>
      <c r="R467" s="21" t="s">
        <v>506</v>
      </c>
      <c r="S467" s="21" t="s">
        <v>437</v>
      </c>
      <c r="T467" s="21" t="s">
        <v>17</v>
      </c>
      <c r="U467" s="21" t="s">
        <v>507</v>
      </c>
      <c r="V467" s="21" t="s">
        <v>17</v>
      </c>
      <c r="W467" s="21" t="s">
        <v>439</v>
      </c>
      <c r="X467" s="21" t="s">
        <v>439</v>
      </c>
    </row>
    <row r="468" spans="1:24" ht="10.5" customHeight="1" x14ac:dyDescent="0.25">
      <c r="A468" s="20">
        <v>46037</v>
      </c>
      <c r="B468" s="21" t="str">
        <f t="shared" si="7"/>
        <v>15/01/2026NL300055</v>
      </c>
      <c r="C468" s="22" t="s">
        <v>537</v>
      </c>
      <c r="D468" s="22" t="s">
        <v>17</v>
      </c>
      <c r="E468" s="22" t="s">
        <v>431</v>
      </c>
      <c r="F468" s="21" t="s">
        <v>432</v>
      </c>
      <c r="G468" s="21" t="s">
        <v>433</v>
      </c>
      <c r="H468" s="21" t="s">
        <v>538</v>
      </c>
      <c r="I468" s="21" t="s">
        <v>230</v>
      </c>
      <c r="J468" s="21" t="s">
        <v>452</v>
      </c>
      <c r="K468" s="21" t="s">
        <v>442</v>
      </c>
      <c r="L468" s="23">
        <v>0.3</v>
      </c>
      <c r="M468" s="24">
        <v>80000</v>
      </c>
      <c r="N468" s="24">
        <v>0</v>
      </c>
      <c r="O468" s="25">
        <v>24000</v>
      </c>
      <c r="P468" s="25">
        <v>0</v>
      </c>
      <c r="Q468" s="24">
        <v>80000</v>
      </c>
      <c r="R468" s="21" t="s">
        <v>506</v>
      </c>
      <c r="S468" s="21" t="s">
        <v>437</v>
      </c>
      <c r="T468" s="21" t="s">
        <v>17</v>
      </c>
      <c r="U468" s="21" t="s">
        <v>507</v>
      </c>
      <c r="V468" s="21" t="s">
        <v>17</v>
      </c>
      <c r="W468" s="21" t="s">
        <v>439</v>
      </c>
      <c r="X468" s="21" t="s">
        <v>439</v>
      </c>
    </row>
    <row r="469" spans="1:24" ht="10.5" customHeight="1" x14ac:dyDescent="0.25">
      <c r="A469" s="20">
        <v>46037</v>
      </c>
      <c r="B469" s="21" t="str">
        <f t="shared" si="7"/>
        <v>15/01/2026NL300090</v>
      </c>
      <c r="C469" s="22" t="s">
        <v>537</v>
      </c>
      <c r="D469" s="22" t="s">
        <v>17</v>
      </c>
      <c r="E469" s="22" t="s">
        <v>431</v>
      </c>
      <c r="F469" s="21" t="s">
        <v>432</v>
      </c>
      <c r="G469" s="21" t="s">
        <v>433</v>
      </c>
      <c r="H469" s="21" t="s">
        <v>538</v>
      </c>
      <c r="I469" s="21" t="s">
        <v>255</v>
      </c>
      <c r="J469" s="21" t="s">
        <v>70</v>
      </c>
      <c r="K469" s="21" t="s">
        <v>442</v>
      </c>
      <c r="L469" s="23">
        <v>2.1</v>
      </c>
      <c r="M469" s="24">
        <v>145000</v>
      </c>
      <c r="N469" s="24">
        <v>0</v>
      </c>
      <c r="O469" s="25">
        <v>304500</v>
      </c>
      <c r="P469" s="25">
        <v>0</v>
      </c>
      <c r="Q469" s="24">
        <v>145000</v>
      </c>
      <c r="R469" s="21" t="s">
        <v>506</v>
      </c>
      <c r="S469" s="21" t="s">
        <v>437</v>
      </c>
      <c r="T469" s="21" t="s">
        <v>17</v>
      </c>
      <c r="U469" s="21" t="s">
        <v>507</v>
      </c>
      <c r="V469" s="21" t="s">
        <v>17</v>
      </c>
      <c r="W469" s="21" t="s">
        <v>439</v>
      </c>
      <c r="X469" s="21" t="s">
        <v>439</v>
      </c>
    </row>
    <row r="470" spans="1:24" ht="10.5" customHeight="1" x14ac:dyDescent="0.25">
      <c r="A470" s="20">
        <v>46037</v>
      </c>
      <c r="B470" s="21" t="str">
        <f t="shared" ref="B470:B475" si="8">""&amp;DAY(A470)&amp;"/01/2026"&amp;I470</f>
        <v>15/01/2026NL300025</v>
      </c>
      <c r="C470" s="22" t="s">
        <v>537</v>
      </c>
      <c r="D470" s="22" t="s">
        <v>17</v>
      </c>
      <c r="E470" s="22" t="s">
        <v>431</v>
      </c>
      <c r="F470" s="21" t="s">
        <v>432</v>
      </c>
      <c r="G470" s="21" t="s">
        <v>433</v>
      </c>
      <c r="H470" s="21" t="s">
        <v>538</v>
      </c>
      <c r="I470" s="21" t="s">
        <v>211</v>
      </c>
      <c r="J470" s="21" t="s">
        <v>447</v>
      </c>
      <c r="K470" s="21" t="s">
        <v>442</v>
      </c>
      <c r="L470" s="23">
        <v>0.3</v>
      </c>
      <c r="M470" s="24">
        <v>44000</v>
      </c>
      <c r="N470" s="24">
        <v>0</v>
      </c>
      <c r="O470" s="25">
        <v>13200</v>
      </c>
      <c r="P470" s="25">
        <v>0</v>
      </c>
      <c r="Q470" s="24">
        <v>44000</v>
      </c>
      <c r="R470" s="21" t="s">
        <v>506</v>
      </c>
      <c r="S470" s="21" t="s">
        <v>437</v>
      </c>
      <c r="T470" s="21" t="s">
        <v>17</v>
      </c>
      <c r="U470" s="21" t="s">
        <v>507</v>
      </c>
      <c r="V470" s="21" t="s">
        <v>17</v>
      </c>
      <c r="W470" s="21" t="s">
        <v>439</v>
      </c>
      <c r="X470" s="21" t="s">
        <v>439</v>
      </c>
    </row>
    <row r="471" spans="1:24" ht="10.5" customHeight="1" x14ac:dyDescent="0.25">
      <c r="A471" s="20">
        <v>46037</v>
      </c>
      <c r="B471" s="21" t="str">
        <f t="shared" si="8"/>
        <v>15/01/2026NL300036</v>
      </c>
      <c r="C471" s="22" t="s">
        <v>537</v>
      </c>
      <c r="D471" s="22" t="s">
        <v>17</v>
      </c>
      <c r="E471" s="22" t="s">
        <v>431</v>
      </c>
      <c r="F471" s="21" t="s">
        <v>432</v>
      </c>
      <c r="G471" s="21" t="s">
        <v>433</v>
      </c>
      <c r="H471" s="21" t="s">
        <v>538</v>
      </c>
      <c r="I471" s="21" t="s">
        <v>380</v>
      </c>
      <c r="J471" s="21" t="s">
        <v>96</v>
      </c>
      <c r="K471" s="21" t="s">
        <v>442</v>
      </c>
      <c r="L471" s="23">
        <v>0.5</v>
      </c>
      <c r="M471" s="24">
        <v>47000</v>
      </c>
      <c r="N471" s="24">
        <v>0</v>
      </c>
      <c r="O471" s="25">
        <v>23500</v>
      </c>
      <c r="P471" s="25">
        <v>0</v>
      </c>
      <c r="Q471" s="24">
        <v>47000</v>
      </c>
      <c r="R471" s="21" t="s">
        <v>506</v>
      </c>
      <c r="S471" s="21" t="s">
        <v>437</v>
      </c>
      <c r="T471" s="21" t="s">
        <v>17</v>
      </c>
      <c r="U471" s="21" t="s">
        <v>507</v>
      </c>
      <c r="V471" s="21" t="s">
        <v>17</v>
      </c>
      <c r="W471" s="21" t="s">
        <v>439</v>
      </c>
      <c r="X471" s="21" t="s">
        <v>439</v>
      </c>
    </row>
    <row r="472" spans="1:24" ht="10.5" customHeight="1" x14ac:dyDescent="0.25">
      <c r="A472" s="20">
        <v>46037</v>
      </c>
      <c r="B472" s="21" t="str">
        <f t="shared" si="8"/>
        <v>15/01/2026NL300035</v>
      </c>
      <c r="C472" s="22" t="s">
        <v>537</v>
      </c>
      <c r="D472" s="22" t="s">
        <v>17</v>
      </c>
      <c r="E472" s="22" t="s">
        <v>431</v>
      </c>
      <c r="F472" s="21" t="s">
        <v>432</v>
      </c>
      <c r="G472" s="21" t="s">
        <v>433</v>
      </c>
      <c r="H472" s="21" t="s">
        <v>538</v>
      </c>
      <c r="I472" s="21" t="s">
        <v>383</v>
      </c>
      <c r="J472" s="21" t="s">
        <v>448</v>
      </c>
      <c r="K472" s="21" t="s">
        <v>442</v>
      </c>
      <c r="L472" s="23">
        <v>0.2</v>
      </c>
      <c r="M472" s="24">
        <v>25000</v>
      </c>
      <c r="N472" s="24">
        <v>0</v>
      </c>
      <c r="O472" s="25">
        <v>5000</v>
      </c>
      <c r="P472" s="25">
        <v>0</v>
      </c>
      <c r="Q472" s="24">
        <v>25000</v>
      </c>
      <c r="R472" s="21" t="s">
        <v>506</v>
      </c>
      <c r="S472" s="21" t="s">
        <v>437</v>
      </c>
      <c r="T472" s="21" t="s">
        <v>17</v>
      </c>
      <c r="U472" s="21" t="s">
        <v>507</v>
      </c>
      <c r="V472" s="21" t="s">
        <v>17</v>
      </c>
      <c r="W472" s="21" t="s">
        <v>439</v>
      </c>
      <c r="X472" s="21" t="s">
        <v>439</v>
      </c>
    </row>
    <row r="473" spans="1:24" ht="10.5" customHeight="1" x14ac:dyDescent="0.25">
      <c r="A473" s="20">
        <v>46037</v>
      </c>
      <c r="B473" s="21" t="str">
        <f t="shared" si="8"/>
        <v>15/01/2026NL300070</v>
      </c>
      <c r="C473" s="22" t="s">
        <v>537</v>
      </c>
      <c r="D473" s="22" t="s">
        <v>17</v>
      </c>
      <c r="E473" s="22" t="s">
        <v>431</v>
      </c>
      <c r="F473" s="21" t="s">
        <v>432</v>
      </c>
      <c r="G473" s="21" t="s">
        <v>433</v>
      </c>
      <c r="H473" s="21" t="s">
        <v>538</v>
      </c>
      <c r="I473" s="21" t="s">
        <v>345</v>
      </c>
      <c r="J473" s="21" t="s">
        <v>465</v>
      </c>
      <c r="K473" s="21" t="s">
        <v>442</v>
      </c>
      <c r="L473" s="23">
        <v>0.5</v>
      </c>
      <c r="M473" s="24">
        <v>23000</v>
      </c>
      <c r="N473" s="24">
        <v>0</v>
      </c>
      <c r="O473" s="25">
        <v>11500</v>
      </c>
      <c r="P473" s="25">
        <v>0</v>
      </c>
      <c r="Q473" s="24">
        <v>23000</v>
      </c>
      <c r="R473" s="21" t="s">
        <v>506</v>
      </c>
      <c r="S473" s="21" t="s">
        <v>437</v>
      </c>
      <c r="T473" s="21" t="s">
        <v>17</v>
      </c>
      <c r="U473" s="21" t="s">
        <v>507</v>
      </c>
      <c r="V473" s="21" t="s">
        <v>17</v>
      </c>
      <c r="W473" s="21" t="s">
        <v>439</v>
      </c>
      <c r="X473" s="21" t="s">
        <v>439</v>
      </c>
    </row>
    <row r="474" spans="1:24" ht="10.5" customHeight="1" x14ac:dyDescent="0.25">
      <c r="A474" s="20">
        <v>46037</v>
      </c>
      <c r="B474" s="21" t="str">
        <f t="shared" si="8"/>
        <v>15/01/2026NL100279</v>
      </c>
      <c r="C474" s="22" t="s">
        <v>537</v>
      </c>
      <c r="D474" s="22" t="s">
        <v>17</v>
      </c>
      <c r="E474" s="22" t="s">
        <v>431</v>
      </c>
      <c r="F474" s="21" t="s">
        <v>432</v>
      </c>
      <c r="G474" s="21" t="s">
        <v>433</v>
      </c>
      <c r="H474" s="21" t="s">
        <v>538</v>
      </c>
      <c r="I474" s="21" t="s">
        <v>403</v>
      </c>
      <c r="J474" s="21" t="s">
        <v>440</v>
      </c>
      <c r="K474" s="21" t="s">
        <v>108</v>
      </c>
      <c r="L474" s="23">
        <v>10</v>
      </c>
      <c r="M474" s="24">
        <v>9000</v>
      </c>
      <c r="N474" s="24">
        <v>0</v>
      </c>
      <c r="O474" s="25">
        <v>90000</v>
      </c>
      <c r="P474" s="25">
        <v>0</v>
      </c>
      <c r="Q474" s="24">
        <v>9000</v>
      </c>
      <c r="R474" s="21" t="s">
        <v>506</v>
      </c>
      <c r="S474" s="21" t="s">
        <v>437</v>
      </c>
      <c r="T474" s="21" t="s">
        <v>17</v>
      </c>
      <c r="U474" s="21" t="s">
        <v>507</v>
      </c>
      <c r="V474" s="21" t="s">
        <v>17</v>
      </c>
      <c r="W474" s="21" t="s">
        <v>439</v>
      </c>
      <c r="X474" s="21" t="s">
        <v>439</v>
      </c>
    </row>
    <row r="475" spans="1:24" ht="10.5" customHeight="1" x14ac:dyDescent="0.25">
      <c r="A475" s="20">
        <v>46037</v>
      </c>
      <c r="B475" s="21" t="str">
        <f t="shared" si="8"/>
        <v>15/01/2026NL100101</v>
      </c>
      <c r="C475" s="22" t="s">
        <v>539</v>
      </c>
      <c r="D475" s="22" t="s">
        <v>17</v>
      </c>
      <c r="E475" s="22" t="s">
        <v>431</v>
      </c>
      <c r="F475" s="21" t="s">
        <v>432</v>
      </c>
      <c r="G475" s="21" t="s">
        <v>433</v>
      </c>
      <c r="H475" s="21" t="s">
        <v>538</v>
      </c>
      <c r="I475" s="21" t="s">
        <v>344</v>
      </c>
      <c r="J475" s="21" t="s">
        <v>107</v>
      </c>
      <c r="K475" s="21" t="s">
        <v>435</v>
      </c>
      <c r="L475" s="23">
        <v>15</v>
      </c>
      <c r="M475" s="24">
        <v>5000</v>
      </c>
      <c r="N475" s="24">
        <v>0</v>
      </c>
      <c r="O475" s="25">
        <v>75000</v>
      </c>
      <c r="P475" s="25">
        <v>0</v>
      </c>
      <c r="Q475" s="24">
        <v>5000</v>
      </c>
      <c r="R475" s="21" t="s">
        <v>506</v>
      </c>
      <c r="S475" s="21" t="s">
        <v>437</v>
      </c>
      <c r="T475" s="21" t="s">
        <v>17</v>
      </c>
      <c r="U475" s="21" t="s">
        <v>507</v>
      </c>
      <c r="V475" s="21" t="s">
        <v>17</v>
      </c>
      <c r="W475" s="21" t="s">
        <v>439</v>
      </c>
      <c r="X475" s="21" t="s">
        <v>439</v>
      </c>
    </row>
    <row r="476" spans="1:24" x14ac:dyDescent="0.25">
      <c r="A476" s="26" t="s">
        <v>17</v>
      </c>
      <c r="B476" s="26" t="s">
        <v>17</v>
      </c>
      <c r="C476" s="26" t="s">
        <v>17</v>
      </c>
      <c r="D476" s="26" t="s">
        <v>17</v>
      </c>
      <c r="E476" s="26" t="s">
        <v>17</v>
      </c>
      <c r="F476" s="26" t="s">
        <v>17</v>
      </c>
      <c r="G476" s="26" t="s">
        <v>17</v>
      </c>
      <c r="H476" s="26" t="s">
        <v>17</v>
      </c>
      <c r="I476" s="26" t="s">
        <v>17</v>
      </c>
      <c r="J476" s="26" t="s">
        <v>17</v>
      </c>
      <c r="K476" s="26" t="s">
        <v>17</v>
      </c>
      <c r="L476" s="26" t="s">
        <v>17</v>
      </c>
      <c r="M476" s="26" t="s">
        <v>17</v>
      </c>
      <c r="N476" s="26" t="s">
        <v>17</v>
      </c>
      <c r="O476" s="26" t="s">
        <v>17</v>
      </c>
      <c r="P476" s="26" t="s">
        <v>17</v>
      </c>
      <c r="Q476" s="26" t="s">
        <v>17</v>
      </c>
      <c r="R476" s="26" t="s">
        <v>17</v>
      </c>
      <c r="S476" s="26" t="s">
        <v>17</v>
      </c>
      <c r="T476" s="26" t="s">
        <v>17</v>
      </c>
      <c r="U476" s="26" t="s">
        <v>17</v>
      </c>
      <c r="V476" s="26" t="s">
        <v>17</v>
      </c>
      <c r="W476" s="26" t="s">
        <v>17</v>
      </c>
      <c r="X476" s="26" t="s">
        <v>17</v>
      </c>
    </row>
  </sheetData>
  <autoFilter ref="A1:X476" xr:uid="{89B08556-3B05-4E97-9D91-4238579970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LW3</vt:lpstr>
      <vt:lpstr>WS3</vt:lpstr>
      <vt:lpstr>MÃ</vt:lpstr>
      <vt:lpstr>LW11</vt:lpstr>
      <vt:lpstr>WS11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Administrator</cp:lastModifiedBy>
  <dcterms:created xsi:type="dcterms:W3CDTF">2025-08-19T03:10:54Z</dcterms:created>
  <dcterms:modified xsi:type="dcterms:W3CDTF">2026-01-19T08:06:24Z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