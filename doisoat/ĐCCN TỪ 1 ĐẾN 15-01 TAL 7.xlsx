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ẢO TRÂN\ĐỐI CHIẾU CÔNG NỢ\NĂM 2026\THÁNG 1\T1.26\TRẦN GIA\Tháng 01 ĐỢT 1 1--15\"/>
    </mc:Choice>
  </mc:AlternateContent>
  <xr:revisionPtr revIDLastSave="0" documentId="13_ncr:1_{36522090-EBA4-4D2A-9AFB-5CFBCEC32C6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AL 6" sheetId="1" state="hidden" r:id="rId1"/>
    <sheet name="TAL 7" sheetId="2" r:id="rId2"/>
    <sheet name="Sheet2" sheetId="6" state="hidden" r:id="rId3"/>
    <sheet name="MÃ" sheetId="5" state="hidden" r:id="rId4"/>
    <sheet name="TAL 8" sheetId="4" state="hidden" r:id="rId5"/>
    <sheet name="TAL 9" sheetId="3" state="hidden" r:id="rId6"/>
  </sheets>
  <externalReferences>
    <externalReference r:id="rId7"/>
  </externalReferences>
  <definedNames>
    <definedName name="_xlnm._FilterDatabase" localSheetId="2" hidden="1">Sheet2!$A$1:$W$1</definedName>
    <definedName name="_xlnm._FilterDatabase" localSheetId="0" hidden="1">'TAL 6'!$A$14:$K$330</definedName>
    <definedName name="_xlnm._FilterDatabase" localSheetId="1" hidden="1">'TAL 7'!$A$14:$V$301</definedName>
    <definedName name="_xlnm._FilterDatabase" localSheetId="4" hidden="1">'TAL 8'!$A$14:$K$77</definedName>
    <definedName name="_xlnm._FilterDatabase" localSheetId="5" hidden="1">'TAL 9'!$A$14:$K$77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24" i="6" l="1"/>
  <c r="B124" i="6"/>
  <c r="L301" i="2"/>
  <c r="T301" i="2" s="1"/>
  <c r="L300" i="2"/>
  <c r="T300" i="2" s="1"/>
  <c r="L299" i="2"/>
  <c r="T299" i="2" s="1"/>
  <c r="L298" i="2"/>
  <c r="N298" i="2" s="1"/>
  <c r="V298" i="2" s="1"/>
  <c r="L297" i="2"/>
  <c r="N297" i="2" s="1"/>
  <c r="V297" i="2" s="1"/>
  <c r="L296" i="2"/>
  <c r="N296" i="2" s="1"/>
  <c r="V296" i="2" s="1"/>
  <c r="L295" i="2"/>
  <c r="N295" i="2" s="1"/>
  <c r="V295" i="2" s="1"/>
  <c r="L294" i="2"/>
  <c r="N294" i="2" s="1"/>
  <c r="V294" i="2" s="1"/>
  <c r="L293" i="2"/>
  <c r="N293" i="2" s="1"/>
  <c r="V293" i="2" s="1"/>
  <c r="L292" i="2"/>
  <c r="T292" i="2" s="1"/>
  <c r="L291" i="2"/>
  <c r="T291" i="2" s="1"/>
  <c r="L290" i="2"/>
  <c r="L289" i="2"/>
  <c r="T289" i="2" s="1"/>
  <c r="L288" i="2"/>
  <c r="T288" i="2" s="1"/>
  <c r="L287" i="2"/>
  <c r="T287" i="2" s="1"/>
  <c r="L286" i="2"/>
  <c r="N286" i="2" s="1"/>
  <c r="V286" i="2" s="1"/>
  <c r="L285" i="2"/>
  <c r="N285" i="2" s="1"/>
  <c r="V285" i="2" s="1"/>
  <c r="L284" i="2"/>
  <c r="N284" i="2" s="1"/>
  <c r="V284" i="2" s="1"/>
  <c r="L283" i="2"/>
  <c r="N283" i="2" s="1"/>
  <c r="V283" i="2" s="1"/>
  <c r="L282" i="2"/>
  <c r="N282" i="2" s="1"/>
  <c r="V282" i="2" s="1"/>
  <c r="L281" i="2"/>
  <c r="N281" i="2" s="1"/>
  <c r="V281" i="2" s="1"/>
  <c r="L280" i="2"/>
  <c r="T280" i="2" s="1"/>
  <c r="L279" i="2"/>
  <c r="N279" i="2" s="1"/>
  <c r="V279" i="2" s="1"/>
  <c r="L278" i="2"/>
  <c r="L277" i="2"/>
  <c r="T277" i="2" s="1"/>
  <c r="L276" i="2"/>
  <c r="T276" i="2" s="1"/>
  <c r="L275" i="2"/>
  <c r="T275" i="2" s="1"/>
  <c r="L274" i="2"/>
  <c r="N274" i="2" s="1"/>
  <c r="V274" i="2" s="1"/>
  <c r="L273" i="2"/>
  <c r="L272" i="2"/>
  <c r="N272" i="2" s="1"/>
  <c r="V272" i="2" s="1"/>
  <c r="L271" i="2"/>
  <c r="N271" i="2" s="1"/>
  <c r="V271" i="2" s="1"/>
  <c r="L270" i="2"/>
  <c r="N270" i="2" s="1"/>
  <c r="V270" i="2" s="1"/>
  <c r="L269" i="2"/>
  <c r="N269" i="2" s="1"/>
  <c r="V269" i="2" s="1"/>
  <c r="L268" i="2"/>
  <c r="T268" i="2" s="1"/>
  <c r="L267" i="2"/>
  <c r="T267" i="2" s="1"/>
  <c r="L266" i="2"/>
  <c r="T266" i="2" s="1"/>
  <c r="L265" i="2"/>
  <c r="T265" i="2" s="1"/>
  <c r="L264" i="2"/>
  <c r="T264" i="2" s="1"/>
  <c r="L263" i="2"/>
  <c r="T263" i="2" s="1"/>
  <c r="L262" i="2"/>
  <c r="N262" i="2" s="1"/>
  <c r="V262" i="2" s="1"/>
  <c r="L261" i="2"/>
  <c r="L260" i="2"/>
  <c r="N260" i="2" s="1"/>
  <c r="V260" i="2" s="1"/>
  <c r="L259" i="2"/>
  <c r="N259" i="2" s="1"/>
  <c r="V259" i="2" s="1"/>
  <c r="L258" i="2"/>
  <c r="T258" i="2" s="1"/>
  <c r="L257" i="2"/>
  <c r="N257" i="2" s="1"/>
  <c r="V257" i="2" s="1"/>
  <c r="L256" i="2"/>
  <c r="T256" i="2" s="1"/>
  <c r="L255" i="2"/>
  <c r="T255" i="2" s="1"/>
  <c r="L254" i="2"/>
  <c r="T254" i="2" s="1"/>
  <c r="L253" i="2"/>
  <c r="T253" i="2" s="1"/>
  <c r="L252" i="2"/>
  <c r="T252" i="2" s="1"/>
  <c r="L251" i="2"/>
  <c r="T251" i="2" s="1"/>
  <c r="L250" i="2"/>
  <c r="N250" i="2" s="1"/>
  <c r="V250" i="2" s="1"/>
  <c r="L249" i="2"/>
  <c r="N249" i="2" s="1"/>
  <c r="V249" i="2" s="1"/>
  <c r="L248" i="2"/>
  <c r="N248" i="2" s="1"/>
  <c r="V248" i="2" s="1"/>
  <c r="L247" i="2"/>
  <c r="N247" i="2" s="1"/>
  <c r="V247" i="2" s="1"/>
  <c r="L246" i="2"/>
  <c r="T246" i="2" s="1"/>
  <c r="L245" i="2"/>
  <c r="T245" i="2" s="1"/>
  <c r="L244" i="2"/>
  <c r="T244" i="2" s="1"/>
  <c r="L243" i="2"/>
  <c r="T243" i="2" s="1"/>
  <c r="L242" i="2"/>
  <c r="T242" i="2" s="1"/>
  <c r="L241" i="2"/>
  <c r="L240" i="2"/>
  <c r="T240" i="2" s="1"/>
  <c r="L239" i="2"/>
  <c r="T239" i="2" s="1"/>
  <c r="L238" i="2"/>
  <c r="N238" i="2" s="1"/>
  <c r="V238" i="2" s="1"/>
  <c r="L237" i="2"/>
  <c r="N237" i="2" s="1"/>
  <c r="V237" i="2" s="1"/>
  <c r="L236" i="2"/>
  <c r="N236" i="2" s="1"/>
  <c r="V236" i="2" s="1"/>
  <c r="L235" i="2"/>
  <c r="N235" i="2" s="1"/>
  <c r="V235" i="2" s="1"/>
  <c r="L234" i="2"/>
  <c r="T234" i="2" s="1"/>
  <c r="L233" i="2"/>
  <c r="T233" i="2" s="1"/>
  <c r="L232" i="2"/>
  <c r="T232" i="2" s="1"/>
  <c r="L231" i="2"/>
  <c r="T231" i="2" s="1"/>
  <c r="L230" i="2"/>
  <c r="T230" i="2" s="1"/>
  <c r="L229" i="2"/>
  <c r="L228" i="2"/>
  <c r="T228" i="2" s="1"/>
  <c r="L227" i="2"/>
  <c r="T227" i="2" s="1"/>
  <c r="L226" i="2"/>
  <c r="N226" i="2" s="1"/>
  <c r="V226" i="2" s="1"/>
  <c r="L225" i="2"/>
  <c r="N225" i="2" s="1"/>
  <c r="V225" i="2" s="1"/>
  <c r="L224" i="2"/>
  <c r="N224" i="2" s="1"/>
  <c r="V224" i="2" s="1"/>
  <c r="L223" i="2"/>
  <c r="N223" i="2" s="1"/>
  <c r="V223" i="2" s="1"/>
  <c r="L222" i="2"/>
  <c r="T222" i="2" s="1"/>
  <c r="L221" i="2"/>
  <c r="T221" i="2" s="1"/>
  <c r="L220" i="2"/>
  <c r="L219" i="2"/>
  <c r="T219" i="2" s="1"/>
  <c r="L218" i="2"/>
  <c r="L217" i="2"/>
  <c r="L216" i="2"/>
  <c r="N216" i="2" s="1"/>
  <c r="V216" i="2" s="1"/>
  <c r="L215" i="2"/>
  <c r="T215" i="2" s="1"/>
  <c r="L214" i="2"/>
  <c r="N214" i="2" s="1"/>
  <c r="V214" i="2" s="1"/>
  <c r="L213" i="2"/>
  <c r="N213" i="2" s="1"/>
  <c r="V213" i="2" s="1"/>
  <c r="L212" i="2"/>
  <c r="N212" i="2" s="1"/>
  <c r="V212" i="2" s="1"/>
  <c r="L211" i="2"/>
  <c r="N211" i="2" s="1"/>
  <c r="V211" i="2" s="1"/>
  <c r="L210" i="2"/>
  <c r="T210" i="2" s="1"/>
  <c r="L209" i="2"/>
  <c r="N209" i="2" s="1"/>
  <c r="V209" i="2" s="1"/>
  <c r="L208" i="2"/>
  <c r="T208" i="2" s="1"/>
  <c r="L207" i="2"/>
  <c r="T207" i="2" s="1"/>
  <c r="L206" i="2"/>
  <c r="T206" i="2" s="1"/>
  <c r="L205" i="2"/>
  <c r="L204" i="2"/>
  <c r="L203" i="2"/>
  <c r="T203" i="2" s="1"/>
  <c r="L202" i="2"/>
  <c r="T202" i="2" s="1"/>
  <c r="L201" i="2"/>
  <c r="N201" i="2" s="1"/>
  <c r="V201" i="2" s="1"/>
  <c r="L200" i="2"/>
  <c r="T200" i="2" s="1"/>
  <c r="L199" i="2"/>
  <c r="L198" i="2"/>
  <c r="L197" i="2"/>
  <c r="T197" i="2" s="1"/>
  <c r="L196" i="2"/>
  <c r="T196" i="2" s="1"/>
  <c r="L195" i="2"/>
  <c r="T195" i="2" s="1"/>
  <c r="L194" i="2"/>
  <c r="T194" i="2" s="1"/>
  <c r="L193" i="2"/>
  <c r="L192" i="2"/>
  <c r="T192" i="2" s="1"/>
  <c r="L191" i="2"/>
  <c r="T191" i="2" s="1"/>
  <c r="L190" i="2"/>
  <c r="L189" i="2"/>
  <c r="T189" i="2" s="1"/>
  <c r="L188" i="2"/>
  <c r="T188" i="2" s="1"/>
  <c r="L187" i="2"/>
  <c r="L186" i="2"/>
  <c r="N186" i="2" s="1"/>
  <c r="V186" i="2" s="1"/>
  <c r="L185" i="2"/>
  <c r="T185" i="2" s="1"/>
  <c r="L184" i="2"/>
  <c r="T184" i="2" s="1"/>
  <c r="L183" i="2"/>
  <c r="T183" i="2" s="1"/>
  <c r="L182" i="2"/>
  <c r="T182" i="2" s="1"/>
  <c r="L181" i="2"/>
  <c r="L180" i="2"/>
  <c r="T180" i="2" s="1"/>
  <c r="L179" i="2"/>
  <c r="T179" i="2" s="1"/>
  <c r="L178" i="2"/>
  <c r="T178" i="2" s="1"/>
  <c r="L177" i="2"/>
  <c r="T177" i="2" s="1"/>
  <c r="L176" i="2"/>
  <c r="T176" i="2" s="1"/>
  <c r="L175" i="2"/>
  <c r="L174" i="2"/>
  <c r="L173" i="2"/>
  <c r="T173" i="2" s="1"/>
  <c r="L172" i="2"/>
  <c r="T172" i="2" s="1"/>
  <c r="L171" i="2"/>
  <c r="N171" i="2" s="1"/>
  <c r="V171" i="2" s="1"/>
  <c r="L170" i="2"/>
  <c r="L169" i="2"/>
  <c r="L168" i="2"/>
  <c r="T168" i="2" s="1"/>
  <c r="L167" i="2"/>
  <c r="N167" i="2" s="1"/>
  <c r="V167" i="2" s="1"/>
  <c r="L166" i="2"/>
  <c r="N166" i="2" s="1"/>
  <c r="V166" i="2" s="1"/>
  <c r="L165" i="2"/>
  <c r="T165" i="2" s="1"/>
  <c r="L164" i="2"/>
  <c r="T164" i="2" s="1"/>
  <c r="L163" i="2"/>
  <c r="L162" i="2"/>
  <c r="N162" i="2" s="1"/>
  <c r="V162" i="2" s="1"/>
  <c r="L161" i="2"/>
  <c r="N161" i="2" s="1"/>
  <c r="V161" i="2" s="1"/>
  <c r="L160" i="2"/>
  <c r="T160" i="2" s="1"/>
  <c r="L159" i="2"/>
  <c r="T159" i="2" s="1"/>
  <c r="L158" i="2"/>
  <c r="N158" i="2" s="1"/>
  <c r="V158" i="2" s="1"/>
  <c r="L157" i="2"/>
  <c r="L156" i="2"/>
  <c r="T156" i="2" s="1"/>
  <c r="L155" i="2"/>
  <c r="T155" i="2" s="1"/>
  <c r="L154" i="2"/>
  <c r="L153" i="2"/>
  <c r="T153" i="2" s="1"/>
  <c r="L152" i="2"/>
  <c r="T152" i="2" s="1"/>
  <c r="L151" i="2"/>
  <c r="L150" i="2"/>
  <c r="L149" i="2"/>
  <c r="T149" i="2" s="1"/>
  <c r="L148" i="2"/>
  <c r="T148" i="2" s="1"/>
  <c r="L147" i="2"/>
  <c r="T147" i="2" s="1"/>
  <c r="L146" i="2"/>
  <c r="T146" i="2" s="1"/>
  <c r="L145" i="2"/>
  <c r="L144" i="2"/>
  <c r="T144" i="2" s="1"/>
  <c r="L143" i="2"/>
  <c r="T143" i="2" s="1"/>
  <c r="L142" i="2"/>
  <c r="T142" i="2" s="1"/>
  <c r="L141" i="2"/>
  <c r="T141" i="2" s="1"/>
  <c r="L140" i="2"/>
  <c r="N140" i="2" s="1"/>
  <c r="V140" i="2" s="1"/>
  <c r="L139" i="2"/>
  <c r="L138" i="2"/>
  <c r="L137" i="2"/>
  <c r="N137" i="2" s="1"/>
  <c r="V137" i="2" s="1"/>
  <c r="L136" i="2"/>
  <c r="L135" i="2"/>
  <c r="T135" i="2" s="1"/>
  <c r="L134" i="2"/>
  <c r="N134" i="2" s="1"/>
  <c r="V134" i="2" s="1"/>
  <c r="L133" i="2"/>
  <c r="N133" i="2" s="1"/>
  <c r="V133" i="2" s="1"/>
  <c r="L132" i="2"/>
  <c r="T132" i="2" s="1"/>
  <c r="L131" i="2"/>
  <c r="T131" i="2" s="1"/>
  <c r="L130" i="2"/>
  <c r="N130" i="2" s="1"/>
  <c r="V130" i="2" s="1"/>
  <c r="L129" i="2"/>
  <c r="N129" i="2" s="1"/>
  <c r="V129" i="2" s="1"/>
  <c r="L128" i="2"/>
  <c r="T128" i="2" s="1"/>
  <c r="L127" i="2"/>
  <c r="L126" i="2"/>
  <c r="T126" i="2" s="1"/>
  <c r="L125" i="2"/>
  <c r="L124" i="2"/>
  <c r="T124" i="2" s="1"/>
  <c r="L123" i="2"/>
  <c r="L122" i="2"/>
  <c r="T122" i="2" s="1"/>
  <c r="L121" i="2"/>
  <c r="L120" i="2"/>
  <c r="T120" i="2" s="1"/>
  <c r="L119" i="2"/>
  <c r="T119" i="2" s="1"/>
  <c r="L118" i="2"/>
  <c r="N118" i="2" s="1"/>
  <c r="V118" i="2" s="1"/>
  <c r="L117" i="2"/>
  <c r="T117" i="2" s="1"/>
  <c r="L116" i="2"/>
  <c r="N116" i="2" s="1"/>
  <c r="V116" i="2" s="1"/>
  <c r="L115" i="2"/>
  <c r="N115" i="2" s="1"/>
  <c r="V115" i="2" s="1"/>
  <c r="L114" i="2"/>
  <c r="N114" i="2" s="1"/>
  <c r="V114" i="2" s="1"/>
  <c r="L113" i="2"/>
  <c r="N113" i="2" s="1"/>
  <c r="V113" i="2" s="1"/>
  <c r="L112" i="2"/>
  <c r="T112" i="2" s="1"/>
  <c r="L111" i="2"/>
  <c r="N111" i="2" s="1"/>
  <c r="V111" i="2" s="1"/>
  <c r="L110" i="2"/>
  <c r="N110" i="2" s="1"/>
  <c r="V110" i="2" s="1"/>
  <c r="L109" i="2"/>
  <c r="T109" i="2" s="1"/>
  <c r="L108" i="2"/>
  <c r="T108" i="2" s="1"/>
  <c r="L107" i="2"/>
  <c r="T107" i="2" s="1"/>
  <c r="L106" i="2"/>
  <c r="N106" i="2" s="1"/>
  <c r="V106" i="2" s="1"/>
  <c r="L105" i="2"/>
  <c r="T105" i="2" s="1"/>
  <c r="L104" i="2"/>
  <c r="T104" i="2" s="1"/>
  <c r="L103" i="2"/>
  <c r="N103" i="2" s="1"/>
  <c r="V103" i="2" s="1"/>
  <c r="L102" i="2"/>
  <c r="N102" i="2" s="1"/>
  <c r="V102" i="2" s="1"/>
  <c r="L101" i="2"/>
  <c r="N101" i="2" s="1"/>
  <c r="V101" i="2" s="1"/>
  <c r="L100" i="2"/>
  <c r="T100" i="2" s="1"/>
  <c r="L99" i="2"/>
  <c r="T99" i="2" s="1"/>
  <c r="L98" i="2"/>
  <c r="N98" i="2" s="1"/>
  <c r="V98" i="2" s="1"/>
  <c r="L97" i="2"/>
  <c r="T97" i="2" s="1"/>
  <c r="L96" i="2"/>
  <c r="L95" i="2"/>
  <c r="T95" i="2" s="1"/>
  <c r="L94" i="2"/>
  <c r="T94" i="2" s="1"/>
  <c r="L93" i="2"/>
  <c r="L92" i="2"/>
  <c r="T92" i="2" s="1"/>
  <c r="L91" i="2"/>
  <c r="N91" i="2" s="1"/>
  <c r="V91" i="2" s="1"/>
  <c r="L90" i="2"/>
  <c r="T90" i="2" s="1"/>
  <c r="L89" i="2"/>
  <c r="N89" i="2" s="1"/>
  <c r="V89" i="2" s="1"/>
  <c r="L88" i="2"/>
  <c r="N88" i="2" s="1"/>
  <c r="V88" i="2" s="1"/>
  <c r="L87" i="2"/>
  <c r="T87" i="2" s="1"/>
  <c r="L86" i="2"/>
  <c r="T86" i="2" s="1"/>
  <c r="L85" i="2"/>
  <c r="L84" i="2"/>
  <c r="T84" i="2" s="1"/>
  <c r="L83" i="2"/>
  <c r="L82" i="2"/>
  <c r="T82" i="2" s="1"/>
  <c r="L81" i="2"/>
  <c r="N81" i="2" s="1"/>
  <c r="V81" i="2" s="1"/>
  <c r="L80" i="2"/>
  <c r="T80" i="2" s="1"/>
  <c r="L79" i="2"/>
  <c r="T79" i="2" s="1"/>
  <c r="L78" i="2"/>
  <c r="L77" i="2"/>
  <c r="N77" i="2" s="1"/>
  <c r="V77" i="2" s="1"/>
  <c r="L76" i="2"/>
  <c r="T76" i="2" s="1"/>
  <c r="L75" i="2"/>
  <c r="T75" i="2" s="1"/>
  <c r="L74" i="2"/>
  <c r="L73" i="2"/>
  <c r="N73" i="2" s="1"/>
  <c r="V73" i="2" s="1"/>
  <c r="L72" i="2"/>
  <c r="T72" i="2" s="1"/>
  <c r="L71" i="2"/>
  <c r="L70" i="2"/>
  <c r="T70" i="2" s="1"/>
  <c r="L69" i="2"/>
  <c r="N69" i="2" s="1"/>
  <c r="V69" i="2" s="1"/>
  <c r="L68" i="2"/>
  <c r="T68" i="2" s="1"/>
  <c r="L67" i="2"/>
  <c r="N67" i="2" s="1"/>
  <c r="V67" i="2" s="1"/>
  <c r="L66" i="2"/>
  <c r="T66" i="2" s="1"/>
  <c r="L65" i="2"/>
  <c r="L64" i="2"/>
  <c r="T64" i="2" s="1"/>
  <c r="L63" i="2"/>
  <c r="N63" i="2" s="1"/>
  <c r="V63" i="2" s="1"/>
  <c r="L62" i="2"/>
  <c r="T62" i="2" s="1"/>
  <c r="L61" i="2"/>
  <c r="N61" i="2" s="1"/>
  <c r="V61" i="2" s="1"/>
  <c r="L60" i="2"/>
  <c r="T60" i="2" s="1"/>
  <c r="L59" i="2"/>
  <c r="T59" i="2" s="1"/>
  <c r="L58" i="2"/>
  <c r="N58" i="2" s="1"/>
  <c r="V58" i="2" s="1"/>
  <c r="L57" i="2"/>
  <c r="N57" i="2" s="1"/>
  <c r="V57" i="2" s="1"/>
  <c r="L56" i="2"/>
  <c r="T56" i="2" s="1"/>
  <c r="L55" i="2"/>
  <c r="T55" i="2" s="1"/>
  <c r="L54" i="2"/>
  <c r="N54" i="2" s="1"/>
  <c r="V54" i="2" s="1"/>
  <c r="L53" i="2"/>
  <c r="T53" i="2" s="1"/>
  <c r="L52" i="2"/>
  <c r="T52" i="2" s="1"/>
  <c r="L51" i="2"/>
  <c r="T51" i="2" s="1"/>
  <c r="L50" i="2"/>
  <c r="T50" i="2" s="1"/>
  <c r="L49" i="2"/>
  <c r="N49" i="2" s="1"/>
  <c r="V49" i="2" s="1"/>
  <c r="L48" i="2"/>
  <c r="T48" i="2" s="1"/>
  <c r="L47" i="2"/>
  <c r="T47" i="2" s="1"/>
  <c r="L46" i="2"/>
  <c r="T46" i="2" s="1"/>
  <c r="L45" i="2"/>
  <c r="T45" i="2" s="1"/>
  <c r="L44" i="2"/>
  <c r="T44" i="2" s="1"/>
  <c r="L43" i="2"/>
  <c r="T43" i="2" s="1"/>
  <c r="L42" i="2"/>
  <c r="N42" i="2" s="1"/>
  <c r="V42" i="2" s="1"/>
  <c r="L41" i="2"/>
  <c r="T41" i="2" s="1"/>
  <c r="L40" i="2"/>
  <c r="N40" i="2" s="1"/>
  <c r="V40" i="2" s="1"/>
  <c r="L39" i="2"/>
  <c r="N39" i="2" s="1"/>
  <c r="V39" i="2" s="1"/>
  <c r="L38" i="2"/>
  <c r="T38" i="2" s="1"/>
  <c r="L37" i="2"/>
  <c r="N37" i="2" s="1"/>
  <c r="V37" i="2" s="1"/>
  <c r="L36" i="2"/>
  <c r="T36" i="2" s="1"/>
  <c r="L35" i="2"/>
  <c r="T35" i="2" s="1"/>
  <c r="L34" i="2"/>
  <c r="N34" i="2" s="1"/>
  <c r="V34" i="2" s="1"/>
  <c r="L33" i="2"/>
  <c r="T33" i="2" s="1"/>
  <c r="L32" i="2"/>
  <c r="T32" i="2" s="1"/>
  <c r="L31" i="2"/>
  <c r="T31" i="2" s="1"/>
  <c r="L30" i="2"/>
  <c r="N30" i="2" s="1"/>
  <c r="V30" i="2" s="1"/>
  <c r="L29" i="2"/>
  <c r="T29" i="2" s="1"/>
  <c r="L28" i="2"/>
  <c r="N28" i="2" s="1"/>
  <c r="V28" i="2" s="1"/>
  <c r="L27" i="2"/>
  <c r="T27" i="2" s="1"/>
  <c r="L26" i="2"/>
  <c r="N26" i="2" s="1"/>
  <c r="V26" i="2" s="1"/>
  <c r="L25" i="2"/>
  <c r="N25" i="2" s="1"/>
  <c r="V25" i="2" s="1"/>
  <c r="L24" i="2"/>
  <c r="L23" i="2"/>
  <c r="T23" i="2" s="1"/>
  <c r="L22" i="2"/>
  <c r="N22" i="2" s="1"/>
  <c r="V22" i="2" s="1"/>
  <c r="L21" i="2"/>
  <c r="T21" i="2" s="1"/>
  <c r="L20" i="2"/>
  <c r="N20" i="2" s="1"/>
  <c r="V20" i="2" s="1"/>
  <c r="L19" i="2"/>
  <c r="N19" i="2" s="1"/>
  <c r="V19" i="2" s="1"/>
  <c r="L18" i="2"/>
  <c r="T18" i="2" s="1"/>
  <c r="L17" i="2"/>
  <c r="T17" i="2" s="1"/>
  <c r="L16" i="2"/>
  <c r="T16" i="2" s="1"/>
  <c r="L15" i="2"/>
  <c r="T15" i="2" s="1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18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" i="5"/>
  <c r="N149" i="2" l="1"/>
  <c r="V149" i="2" s="1"/>
  <c r="N160" i="2"/>
  <c r="V160" i="2" s="1"/>
  <c r="N183" i="2"/>
  <c r="V183" i="2" s="1"/>
  <c r="N15" i="2"/>
  <c r="N221" i="2"/>
  <c r="V221" i="2" s="1"/>
  <c r="T167" i="2"/>
  <c r="N178" i="2"/>
  <c r="V178" i="2" s="1"/>
  <c r="N200" i="2"/>
  <c r="V200" i="2" s="1"/>
  <c r="N32" i="2"/>
  <c r="V32" i="2" s="1"/>
  <c r="N227" i="2"/>
  <c r="V227" i="2" s="1"/>
  <c r="N291" i="2"/>
  <c r="V291" i="2" s="1"/>
  <c r="T161" i="2"/>
  <c r="M161" i="2" s="1"/>
  <c r="N202" i="2"/>
  <c r="V202" i="2" s="1"/>
  <c r="T171" i="2"/>
  <c r="N64" i="2"/>
  <c r="V64" i="2" s="1"/>
  <c r="N47" i="2"/>
  <c r="V47" i="2" s="1"/>
  <c r="T101" i="2"/>
  <c r="T284" i="2"/>
  <c r="N59" i="2"/>
  <c r="V59" i="2" s="1"/>
  <c r="N135" i="2"/>
  <c r="V135" i="2" s="1"/>
  <c r="N18" i="2"/>
  <c r="V18" i="2" s="1"/>
  <c r="T69" i="2"/>
  <c r="M69" i="2" s="1"/>
  <c r="N264" i="2"/>
  <c r="V264" i="2" s="1"/>
  <c r="N104" i="2"/>
  <c r="V104" i="2" s="1"/>
  <c r="T166" i="2"/>
  <c r="R166" i="2" s="1"/>
  <c r="N287" i="2"/>
  <c r="V287" i="2" s="1"/>
  <c r="N51" i="2"/>
  <c r="V51" i="2" s="1"/>
  <c r="T137" i="2"/>
  <c r="N148" i="2"/>
  <c r="V148" i="2" s="1"/>
  <c r="N45" i="2"/>
  <c r="V45" i="2" s="1"/>
  <c r="T26" i="2"/>
  <c r="N36" i="2"/>
  <c r="V36" i="2" s="1"/>
  <c r="N53" i="2"/>
  <c r="V53" i="2" s="1"/>
  <c r="T116" i="2"/>
  <c r="R116" i="2" s="1"/>
  <c r="N146" i="2"/>
  <c r="V146" i="2" s="1"/>
  <c r="N182" i="2"/>
  <c r="V182" i="2" s="1"/>
  <c r="N219" i="2"/>
  <c r="V219" i="2" s="1"/>
  <c r="N239" i="2"/>
  <c r="V239" i="2" s="1"/>
  <c r="T272" i="2"/>
  <c r="R272" i="2" s="1"/>
  <c r="N173" i="2"/>
  <c r="V173" i="2" s="1"/>
  <c r="T201" i="2"/>
  <c r="N210" i="2"/>
  <c r="V210" i="2" s="1"/>
  <c r="N292" i="2"/>
  <c r="V292" i="2" s="1"/>
  <c r="T212" i="2"/>
  <c r="N242" i="2"/>
  <c r="V242" i="2" s="1"/>
  <c r="N195" i="2"/>
  <c r="V195" i="2" s="1"/>
  <c r="N21" i="2"/>
  <c r="V21" i="2" s="1"/>
  <c r="N41" i="2"/>
  <c r="V41" i="2" s="1"/>
  <c r="T49" i="2"/>
  <c r="R49" i="2" s="1"/>
  <c r="N122" i="2"/>
  <c r="V122" i="2" s="1"/>
  <c r="N206" i="2"/>
  <c r="V206" i="2" s="1"/>
  <c r="T225" i="2"/>
  <c r="T279" i="2"/>
  <c r="R284" i="2"/>
  <c r="M97" i="2"/>
  <c r="U97" i="2" s="1"/>
  <c r="Q97" i="2" s="1"/>
  <c r="N44" i="2"/>
  <c r="V44" i="2" s="1"/>
  <c r="T57" i="2"/>
  <c r="M57" i="2" s="1"/>
  <c r="O57" i="2" s="1"/>
  <c r="T73" i="2"/>
  <c r="M73" i="2" s="1"/>
  <c r="T102" i="2"/>
  <c r="R102" i="2" s="1"/>
  <c r="N109" i="2"/>
  <c r="V109" i="2" s="1"/>
  <c r="N144" i="2"/>
  <c r="V144" i="2" s="1"/>
  <c r="N184" i="2"/>
  <c r="V184" i="2" s="1"/>
  <c r="T236" i="2"/>
  <c r="R236" i="2" s="1"/>
  <c r="T262" i="2"/>
  <c r="T269" i="2"/>
  <c r="R135" i="2"/>
  <c r="T22" i="2"/>
  <c r="M22" i="2" s="1"/>
  <c r="O22" i="2" s="1"/>
  <c r="T110" i="2"/>
  <c r="N128" i="2"/>
  <c r="V128" i="2" s="1"/>
  <c r="N152" i="2"/>
  <c r="V152" i="2" s="1"/>
  <c r="T213" i="2"/>
  <c r="M213" i="2" s="1"/>
  <c r="O213" i="2" s="1"/>
  <c r="N230" i="2"/>
  <c r="V230" i="2" s="1"/>
  <c r="N246" i="2"/>
  <c r="V246" i="2" s="1"/>
  <c r="N255" i="2"/>
  <c r="V255" i="2" s="1"/>
  <c r="N263" i="2"/>
  <c r="V263" i="2" s="1"/>
  <c r="T286" i="2"/>
  <c r="T293" i="2"/>
  <c r="T67" i="2"/>
  <c r="M67" i="2" s="1"/>
  <c r="N87" i="2"/>
  <c r="V87" i="2" s="1"/>
  <c r="N33" i="2"/>
  <c r="V33" i="2" s="1"/>
  <c r="T40" i="2"/>
  <c r="M40" i="2" s="1"/>
  <c r="N97" i="2"/>
  <c r="V97" i="2" s="1"/>
  <c r="T130" i="2"/>
  <c r="N164" i="2"/>
  <c r="V164" i="2" s="1"/>
  <c r="N196" i="2"/>
  <c r="V196" i="2" s="1"/>
  <c r="T209" i="2"/>
  <c r="N215" i="2"/>
  <c r="V215" i="2" s="1"/>
  <c r="N232" i="2"/>
  <c r="V232" i="2" s="1"/>
  <c r="T248" i="2"/>
  <c r="T257" i="2"/>
  <c r="M257" i="2" s="1"/>
  <c r="T281" i="2"/>
  <c r="M281" i="2" s="1"/>
  <c r="N35" i="2"/>
  <c r="V35" i="2" s="1"/>
  <c r="N141" i="2"/>
  <c r="V141" i="2" s="1"/>
  <c r="N197" i="2"/>
  <c r="V197" i="2" s="1"/>
  <c r="T226" i="2"/>
  <c r="M226" i="2" s="1"/>
  <c r="N234" i="2"/>
  <c r="V234" i="2" s="1"/>
  <c r="N267" i="2"/>
  <c r="V267" i="2" s="1"/>
  <c r="T274" i="2"/>
  <c r="T282" i="2"/>
  <c r="M282" i="2" s="1"/>
  <c r="T28" i="2"/>
  <c r="N56" i="2"/>
  <c r="V56" i="2" s="1"/>
  <c r="T91" i="2"/>
  <c r="R91" i="2" s="1"/>
  <c r="R262" i="2"/>
  <c r="M292" i="2"/>
  <c r="U292" i="2" s="1"/>
  <c r="Q292" i="2" s="1"/>
  <c r="R15" i="2"/>
  <c r="R31" i="2"/>
  <c r="M48" i="2"/>
  <c r="U48" i="2" s="1"/>
  <c r="Q48" i="2" s="1"/>
  <c r="R55" i="2"/>
  <c r="R97" i="2"/>
  <c r="R104" i="2"/>
  <c r="M135" i="2"/>
  <c r="U135" i="2" s="1"/>
  <c r="Q135" i="2" s="1"/>
  <c r="R167" i="2"/>
  <c r="M192" i="2"/>
  <c r="U192" i="2" s="1"/>
  <c r="Q192" i="2" s="1"/>
  <c r="R255" i="2"/>
  <c r="N1" i="6"/>
  <c r="M43" i="2"/>
  <c r="U43" i="2" s="1"/>
  <c r="Q43" i="2" s="1"/>
  <c r="R16" i="2"/>
  <c r="R48" i="2"/>
  <c r="M56" i="2"/>
  <c r="U56" i="2" s="1"/>
  <c r="Q56" i="2" s="1"/>
  <c r="R62" i="2"/>
  <c r="M104" i="2"/>
  <c r="M152" i="2"/>
  <c r="U152" i="2" s="1"/>
  <c r="Q152" i="2" s="1"/>
  <c r="M168" i="2"/>
  <c r="U168" i="2" s="1"/>
  <c r="Q168" i="2" s="1"/>
  <c r="R206" i="2"/>
  <c r="M219" i="2"/>
  <c r="U219" i="2" s="1"/>
  <c r="Q219" i="2" s="1"/>
  <c r="R239" i="2"/>
  <c r="M256" i="2"/>
  <c r="U256" i="2" s="1"/>
  <c r="Q256" i="2" s="1"/>
  <c r="R279" i="2"/>
  <c r="M293" i="2"/>
  <c r="U293" i="2" s="1"/>
  <c r="Q293" i="2" s="1"/>
  <c r="M68" i="2"/>
  <c r="U68" i="2" s="1"/>
  <c r="Q68" i="2" s="1"/>
  <c r="M47" i="2"/>
  <c r="O47" i="2" s="1"/>
  <c r="R44" i="2"/>
  <c r="R99" i="2"/>
  <c r="M112" i="2"/>
  <c r="U112" i="2" s="1"/>
  <c r="Q112" i="2" s="1"/>
  <c r="M120" i="2"/>
  <c r="U120" i="2" s="1"/>
  <c r="Q120" i="2" s="1"/>
  <c r="R194" i="2"/>
  <c r="M206" i="2"/>
  <c r="M212" i="2"/>
  <c r="U212" i="2" s="1"/>
  <c r="Q212" i="2" s="1"/>
  <c r="M248" i="2"/>
  <c r="U248" i="2" s="1"/>
  <c r="Q248" i="2" s="1"/>
  <c r="M232" i="2"/>
  <c r="U232" i="2" s="1"/>
  <c r="Q232" i="2" s="1"/>
  <c r="M38" i="2"/>
  <c r="U38" i="2" s="1"/>
  <c r="Q38" i="2" s="1"/>
  <c r="M100" i="2"/>
  <c r="U100" i="2" s="1"/>
  <c r="Q100" i="2" s="1"/>
  <c r="R137" i="2"/>
  <c r="M153" i="2"/>
  <c r="R179" i="2"/>
  <c r="R200" i="2"/>
  <c r="R219" i="2"/>
  <c r="R234" i="2"/>
  <c r="R265" i="2"/>
  <c r="M284" i="2"/>
  <c r="O284" i="2" s="1"/>
  <c r="M45" i="2"/>
  <c r="R92" i="2"/>
  <c r="R147" i="2"/>
  <c r="M180" i="2"/>
  <c r="U180" i="2" s="1"/>
  <c r="Q180" i="2" s="1"/>
  <c r="R185" i="2"/>
  <c r="M207" i="2"/>
  <c r="U207" i="2" s="1"/>
  <c r="Q207" i="2" s="1"/>
  <c r="M234" i="2"/>
  <c r="R242" i="2"/>
  <c r="M36" i="2"/>
  <c r="U36" i="2" s="1"/>
  <c r="Q36" i="2" s="1"/>
  <c r="M18" i="2"/>
  <c r="U18" i="2" s="1"/>
  <c r="Q18" i="2" s="1"/>
  <c r="M101" i="2"/>
  <c r="U101" i="2" s="1"/>
  <c r="Q101" i="2" s="1"/>
  <c r="R155" i="2"/>
  <c r="M171" i="2"/>
  <c r="U171" i="2" s="1"/>
  <c r="Q171" i="2" s="1"/>
  <c r="R208" i="2"/>
  <c r="M242" i="2"/>
  <c r="U242" i="2" s="1"/>
  <c r="Q242" i="2" s="1"/>
  <c r="R197" i="2"/>
  <c r="R26" i="2"/>
  <c r="R45" i="2"/>
  <c r="M94" i="2"/>
  <c r="U94" i="2" s="1"/>
  <c r="Q94" i="2" s="1"/>
  <c r="R107" i="2"/>
  <c r="M122" i="2"/>
  <c r="R164" i="2"/>
  <c r="R230" i="2"/>
  <c r="R274" i="2"/>
  <c r="M144" i="2"/>
  <c r="O144" i="2" s="1"/>
  <c r="R66" i="2"/>
  <c r="M75" i="2"/>
  <c r="U75" i="2" s="1"/>
  <c r="Q75" i="2" s="1"/>
  <c r="R95" i="2"/>
  <c r="R108" i="2"/>
  <c r="R141" i="2"/>
  <c r="R148" i="2"/>
  <c r="M196" i="2"/>
  <c r="M209" i="2"/>
  <c r="U209" i="2" s="1"/>
  <c r="Q209" i="2" s="1"/>
  <c r="M230" i="2"/>
  <c r="U230" i="2" s="1"/>
  <c r="Q230" i="2" s="1"/>
  <c r="R243" i="2"/>
  <c r="R267" i="2"/>
  <c r="M255" i="2"/>
  <c r="U255" i="2" s="1"/>
  <c r="Q255" i="2" s="1"/>
  <c r="R191" i="2"/>
  <c r="R21" i="2"/>
  <c r="R35" i="2"/>
  <c r="R59" i="2"/>
  <c r="M76" i="2"/>
  <c r="U76" i="2" s="1"/>
  <c r="Q76" i="2" s="1"/>
  <c r="R109" i="2"/>
  <c r="R182" i="2"/>
  <c r="R209" i="2"/>
  <c r="M244" i="2"/>
  <c r="U244" i="2" s="1"/>
  <c r="Q244" i="2" s="1"/>
  <c r="R253" i="2"/>
  <c r="M268" i="2"/>
  <c r="U268" i="2" s="1"/>
  <c r="Q268" i="2" s="1"/>
  <c r="R143" i="2"/>
  <c r="M225" i="2"/>
  <c r="O225" i="2" s="1"/>
  <c r="R28" i="2"/>
  <c r="M35" i="2"/>
  <c r="O35" i="2" s="1"/>
  <c r="M59" i="2"/>
  <c r="O59" i="2" s="1"/>
  <c r="M109" i="2"/>
  <c r="M142" i="2"/>
  <c r="U142" i="2" s="1"/>
  <c r="Q142" i="2" s="1"/>
  <c r="R231" i="2"/>
  <c r="M246" i="2"/>
  <c r="R246" i="2"/>
  <c r="R263" i="2"/>
  <c r="M263" i="2"/>
  <c r="M160" i="2"/>
  <c r="U160" i="2" s="1"/>
  <c r="Q160" i="2" s="1"/>
  <c r="R160" i="2"/>
  <c r="R203" i="2"/>
  <c r="M203" i="2"/>
  <c r="U203" i="2" s="1"/>
  <c r="Q203" i="2" s="1"/>
  <c r="R177" i="2"/>
  <c r="M177" i="2"/>
  <c r="U177" i="2" s="1"/>
  <c r="Q177" i="2" s="1"/>
  <c r="R70" i="2"/>
  <c r="M70" i="2"/>
  <c r="U70" i="2" s="1"/>
  <c r="Q70" i="2" s="1"/>
  <c r="R80" i="2"/>
  <c r="M80" i="2"/>
  <c r="U80" i="2" s="1"/>
  <c r="Q80" i="2" s="1"/>
  <c r="R119" i="2"/>
  <c r="M119" i="2"/>
  <c r="R227" i="2"/>
  <c r="M227" i="2"/>
  <c r="U227" i="2" s="1"/>
  <c r="Q227" i="2" s="1"/>
  <c r="M280" i="2"/>
  <c r="R280" i="2"/>
  <c r="M23" i="2"/>
  <c r="U23" i="2" s="1"/>
  <c r="Q23" i="2" s="1"/>
  <c r="R23" i="2"/>
  <c r="M72" i="2"/>
  <c r="U72" i="2" s="1"/>
  <c r="Q72" i="2" s="1"/>
  <c r="R72" i="2"/>
  <c r="R131" i="2"/>
  <c r="M131" i="2"/>
  <c r="R221" i="2"/>
  <c r="M221" i="2"/>
  <c r="R251" i="2"/>
  <c r="M251" i="2"/>
  <c r="M222" i="2"/>
  <c r="R222" i="2"/>
  <c r="M291" i="2"/>
  <c r="U291" i="2" s="1"/>
  <c r="Q291" i="2" s="1"/>
  <c r="R291" i="2"/>
  <c r="M52" i="2"/>
  <c r="R52" i="2"/>
  <c r="R188" i="2"/>
  <c r="M188" i="2"/>
  <c r="R215" i="2"/>
  <c r="M215" i="2"/>
  <c r="U215" i="2" s="1"/>
  <c r="Q215" i="2" s="1"/>
  <c r="R189" i="2"/>
  <c r="M189" i="2"/>
  <c r="N76" i="2"/>
  <c r="V76" i="2" s="1"/>
  <c r="T81" i="2"/>
  <c r="R81" i="2" s="1"/>
  <c r="N94" i="2"/>
  <c r="V94" i="2" s="1"/>
  <c r="N100" i="2"/>
  <c r="V100" i="2" s="1"/>
  <c r="T103" i="2"/>
  <c r="R103" i="2" s="1"/>
  <c r="N120" i="2"/>
  <c r="V120" i="2" s="1"/>
  <c r="R142" i="2"/>
  <c r="M147" i="2"/>
  <c r="U147" i="2" s="1"/>
  <c r="Q147" i="2" s="1"/>
  <c r="N155" i="2"/>
  <c r="V155" i="2" s="1"/>
  <c r="N194" i="2"/>
  <c r="V194" i="2" s="1"/>
  <c r="N228" i="2"/>
  <c r="V228" i="2" s="1"/>
  <c r="N233" i="2"/>
  <c r="V233" i="2" s="1"/>
  <c r="N16" i="2"/>
  <c r="V16" i="2" s="1"/>
  <c r="N29" i="2"/>
  <c r="V29" i="2" s="1"/>
  <c r="T39" i="2"/>
  <c r="R43" i="2"/>
  <c r="N52" i="2"/>
  <c r="V52" i="2" s="1"/>
  <c r="N68" i="2"/>
  <c r="V68" i="2" s="1"/>
  <c r="N72" i="2"/>
  <c r="V72" i="2" s="1"/>
  <c r="R100" i="2"/>
  <c r="M108" i="2"/>
  <c r="U108" i="2" s="1"/>
  <c r="Q108" i="2" s="1"/>
  <c r="R120" i="2"/>
  <c r="N126" i="2"/>
  <c r="V126" i="2" s="1"/>
  <c r="N147" i="2"/>
  <c r="V147" i="2" s="1"/>
  <c r="N168" i="2"/>
  <c r="V168" i="2" s="1"/>
  <c r="N172" i="2"/>
  <c r="V172" i="2" s="1"/>
  <c r="N177" i="2"/>
  <c r="V177" i="2" s="1"/>
  <c r="N189" i="2"/>
  <c r="V189" i="2" s="1"/>
  <c r="T224" i="2"/>
  <c r="M224" i="2" s="1"/>
  <c r="M265" i="2"/>
  <c r="U265" i="2" s="1"/>
  <c r="Q265" i="2" s="1"/>
  <c r="N280" i="2"/>
  <c r="V280" i="2" s="1"/>
  <c r="T25" i="2"/>
  <c r="M25" i="2" s="1"/>
  <c r="O25" i="2" s="1"/>
  <c r="N43" i="2"/>
  <c r="V43" i="2" s="1"/>
  <c r="T63" i="2"/>
  <c r="T89" i="2"/>
  <c r="T111" i="2"/>
  <c r="N131" i="2"/>
  <c r="V131" i="2" s="1"/>
  <c r="N143" i="2"/>
  <c r="V143" i="2" s="1"/>
  <c r="N165" i="2"/>
  <c r="V165" i="2" s="1"/>
  <c r="N185" i="2"/>
  <c r="V185" i="2" s="1"/>
  <c r="N203" i="2"/>
  <c r="M208" i="2"/>
  <c r="T238" i="2"/>
  <c r="M243" i="2"/>
  <c r="N251" i="2"/>
  <c r="V251" i="2" s="1"/>
  <c r="N256" i="2"/>
  <c r="V256" i="2" s="1"/>
  <c r="T260" i="2"/>
  <c r="T270" i="2"/>
  <c r="N275" i="2"/>
  <c r="V275" i="2" s="1"/>
  <c r="T296" i="2"/>
  <c r="N17" i="2"/>
  <c r="V17" i="2" s="1"/>
  <c r="T77" i="2"/>
  <c r="R77" i="2" s="1"/>
  <c r="T114" i="2"/>
  <c r="M148" i="2"/>
  <c r="N156" i="2"/>
  <c r="V156" i="2" s="1"/>
  <c r="M182" i="2"/>
  <c r="M200" i="2"/>
  <c r="O200" i="2" s="1"/>
  <c r="N208" i="2"/>
  <c r="V208" i="2" s="1"/>
  <c r="R212" i="2"/>
  <c r="N243" i="2"/>
  <c r="V243" i="2" s="1"/>
  <c r="R101" i="2"/>
  <c r="R168" i="2"/>
  <c r="M239" i="2"/>
  <c r="O239" i="2" s="1"/>
  <c r="M267" i="2"/>
  <c r="U267" i="2" s="1"/>
  <c r="Q267" i="2" s="1"/>
  <c r="N276" i="2"/>
  <c r="V276" i="2" s="1"/>
  <c r="R292" i="2"/>
  <c r="T297" i="2"/>
  <c r="R297" i="2" s="1"/>
  <c r="N23" i="2"/>
  <c r="V23" i="2" s="1"/>
  <c r="N27" i="2"/>
  <c r="V27" i="2" s="1"/>
  <c r="N62" i="2"/>
  <c r="V62" i="2" s="1"/>
  <c r="N90" i="2"/>
  <c r="V90" i="2" s="1"/>
  <c r="N112" i="2"/>
  <c r="V112" i="2" s="1"/>
  <c r="T115" i="2"/>
  <c r="T129" i="2"/>
  <c r="R129" i="2" s="1"/>
  <c r="T158" i="2"/>
  <c r="R158" i="2" s="1"/>
  <c r="T162" i="2"/>
  <c r="M162" i="2" s="1"/>
  <c r="N191" i="2"/>
  <c r="V191" i="2" s="1"/>
  <c r="R196" i="2"/>
  <c r="N222" i="2"/>
  <c r="V222" i="2" s="1"/>
  <c r="M231" i="2"/>
  <c r="U231" i="2" s="1"/>
  <c r="Q231" i="2" s="1"/>
  <c r="N244" i="2"/>
  <c r="V244" i="2" s="1"/>
  <c r="R248" i="2"/>
  <c r="T298" i="2"/>
  <c r="R298" i="2" s="1"/>
  <c r="T58" i="2"/>
  <c r="N70" i="2"/>
  <c r="V70" i="2" s="1"/>
  <c r="R112" i="2"/>
  <c r="N119" i="2"/>
  <c r="V119" i="2" s="1"/>
  <c r="N231" i="2"/>
  <c r="V231" i="2" s="1"/>
  <c r="N38" i="2"/>
  <c r="V38" i="2" s="1"/>
  <c r="N66" i="2"/>
  <c r="V66" i="2" s="1"/>
  <c r="N75" i="2"/>
  <c r="V75" i="2" s="1"/>
  <c r="O130" i="2"/>
  <c r="T140" i="2"/>
  <c r="R140" i="2" s="1"/>
  <c r="N153" i="2"/>
  <c r="V153" i="2" s="1"/>
  <c r="N159" i="2"/>
  <c r="V159" i="2" s="1"/>
  <c r="N245" i="2"/>
  <c r="V245" i="2" s="1"/>
  <c r="N258" i="2"/>
  <c r="V258" i="2" s="1"/>
  <c r="M279" i="2"/>
  <c r="U279" i="2" s="1"/>
  <c r="Q279" i="2" s="1"/>
  <c r="N80" i="2"/>
  <c r="V80" i="2" s="1"/>
  <c r="N99" i="2"/>
  <c r="V99" i="2" s="1"/>
  <c r="N124" i="2"/>
  <c r="V124" i="2" s="1"/>
  <c r="M167" i="2"/>
  <c r="U167" i="2" s="1"/>
  <c r="Q167" i="2" s="1"/>
  <c r="N179" i="2"/>
  <c r="V179" i="2" s="1"/>
  <c r="N188" i="2"/>
  <c r="V188" i="2" s="1"/>
  <c r="T249" i="2"/>
  <c r="R249" i="2" s="1"/>
  <c r="N254" i="2"/>
  <c r="V254" i="2" s="1"/>
  <c r="N268" i="2"/>
  <c r="V268" i="2" s="1"/>
  <c r="T113" i="2"/>
  <c r="M164" i="2"/>
  <c r="U164" i="2" s="1"/>
  <c r="Q164" i="2" s="1"/>
  <c r="R171" i="2"/>
  <c r="M274" i="2"/>
  <c r="O274" i="2" s="1"/>
  <c r="T294" i="2"/>
  <c r="R51" i="2"/>
  <c r="M51" i="2"/>
  <c r="R46" i="2"/>
  <c r="M46" i="2"/>
  <c r="R82" i="2"/>
  <c r="M82" i="2"/>
  <c r="R27" i="2"/>
  <c r="M27" i="2"/>
  <c r="M60" i="2"/>
  <c r="R60" i="2"/>
  <c r="R84" i="2"/>
  <c r="M84" i="2"/>
  <c r="M16" i="2"/>
  <c r="R32" i="2"/>
  <c r="M32" i="2"/>
  <c r="T24" i="2"/>
  <c r="N24" i="2"/>
  <c r="V24" i="2" s="1"/>
  <c r="R33" i="2"/>
  <c r="M33" i="2"/>
  <c r="R86" i="2"/>
  <c r="M86" i="2"/>
  <c r="M90" i="2"/>
  <c r="R90" i="2"/>
  <c r="M17" i="2"/>
  <c r="R17" i="2"/>
  <c r="R79" i="2"/>
  <c r="M79" i="2"/>
  <c r="M29" i="2"/>
  <c r="R29" i="2"/>
  <c r="R50" i="2"/>
  <c r="M50" i="2"/>
  <c r="N60" i="2"/>
  <c r="V60" i="2" s="1"/>
  <c r="T127" i="2"/>
  <c r="N127" i="2"/>
  <c r="V127" i="2" s="1"/>
  <c r="R228" i="2"/>
  <c r="M228" i="2"/>
  <c r="M28" i="2"/>
  <c r="T30" i="2"/>
  <c r="M55" i="2"/>
  <c r="T74" i="2"/>
  <c r="N74" i="2"/>
  <c r="V74" i="2" s="1"/>
  <c r="N82" i="2"/>
  <c r="V82" i="2" s="1"/>
  <c r="N84" i="2"/>
  <c r="V84" i="2" s="1"/>
  <c r="N86" i="2"/>
  <c r="V86" i="2" s="1"/>
  <c r="N105" i="2"/>
  <c r="V105" i="2" s="1"/>
  <c r="N117" i="2"/>
  <c r="V117" i="2" s="1"/>
  <c r="M87" i="2"/>
  <c r="R87" i="2"/>
  <c r="R105" i="2"/>
  <c r="M105" i="2"/>
  <c r="R117" i="2"/>
  <c r="M117" i="2"/>
  <c r="N46" i="2"/>
  <c r="V46" i="2" s="1"/>
  <c r="R18" i="2"/>
  <c r="T20" i="2"/>
  <c r="T34" i="2"/>
  <c r="R38" i="2"/>
  <c r="N55" i="2"/>
  <c r="V55" i="2" s="1"/>
  <c r="R56" i="2"/>
  <c r="R68" i="2"/>
  <c r="R75" i="2"/>
  <c r="M92" i="2"/>
  <c r="T98" i="2"/>
  <c r="N123" i="2"/>
  <c r="V123" i="2" s="1"/>
  <c r="T123" i="2"/>
  <c r="M110" i="2"/>
  <c r="R110" i="2"/>
  <c r="T19" i="2"/>
  <c r="R47" i="2"/>
  <c r="N50" i="2"/>
  <c r="V50" i="2" s="1"/>
  <c r="T61" i="2"/>
  <c r="N92" i="2"/>
  <c r="V92" i="2" s="1"/>
  <c r="R94" i="2"/>
  <c r="M128" i="2"/>
  <c r="R128" i="2"/>
  <c r="M99" i="2"/>
  <c r="R124" i="2"/>
  <c r="M124" i="2"/>
  <c r="M53" i="2"/>
  <c r="R53" i="2"/>
  <c r="M31" i="2"/>
  <c r="T42" i="2"/>
  <c r="N79" i="2"/>
  <c r="V79" i="2" s="1"/>
  <c r="T88" i="2"/>
  <c r="M95" i="2"/>
  <c r="M21" i="2"/>
  <c r="M26" i="2"/>
  <c r="N31" i="2"/>
  <c r="V31" i="2" s="1"/>
  <c r="M44" i="2"/>
  <c r="M62" i="2"/>
  <c r="M64" i="2"/>
  <c r="R64" i="2"/>
  <c r="M66" i="2"/>
  <c r="T83" i="2"/>
  <c r="N83" i="2"/>
  <c r="V83" i="2" s="1"/>
  <c r="T85" i="2"/>
  <c r="N85" i="2"/>
  <c r="V85" i="2" s="1"/>
  <c r="T93" i="2"/>
  <c r="N93" i="2"/>
  <c r="V93" i="2" s="1"/>
  <c r="N95" i="2"/>
  <c r="V95" i="2" s="1"/>
  <c r="N121" i="2"/>
  <c r="V121" i="2" s="1"/>
  <c r="T121" i="2"/>
  <c r="T71" i="2"/>
  <c r="N71" i="2"/>
  <c r="V71" i="2" s="1"/>
  <c r="T150" i="2"/>
  <c r="N150" i="2"/>
  <c r="V150" i="2" s="1"/>
  <c r="R36" i="2"/>
  <c r="M41" i="2"/>
  <c r="R41" i="2"/>
  <c r="N48" i="2"/>
  <c r="V48" i="2" s="1"/>
  <c r="M107" i="2"/>
  <c r="T138" i="2"/>
  <c r="N138" i="2"/>
  <c r="V138" i="2" s="1"/>
  <c r="T37" i="2"/>
  <c r="T54" i="2"/>
  <c r="N65" i="2"/>
  <c r="V65" i="2" s="1"/>
  <c r="T65" i="2"/>
  <c r="R76" i="2"/>
  <c r="N78" i="2"/>
  <c r="V78" i="2" s="1"/>
  <c r="T78" i="2"/>
  <c r="T96" i="2"/>
  <c r="N96" i="2"/>
  <c r="V96" i="2" s="1"/>
  <c r="N107" i="2"/>
  <c r="V107" i="2" s="1"/>
  <c r="R126" i="2"/>
  <c r="M126" i="2"/>
  <c r="R165" i="2"/>
  <c r="M165" i="2"/>
  <c r="R153" i="2"/>
  <c r="R146" i="2"/>
  <c r="M146" i="2"/>
  <c r="T151" i="2"/>
  <c r="N151" i="2"/>
  <c r="V151" i="2" s="1"/>
  <c r="R176" i="2"/>
  <c r="M176" i="2"/>
  <c r="T136" i="2"/>
  <c r="N136" i="2"/>
  <c r="V136" i="2" s="1"/>
  <c r="M141" i="2"/>
  <c r="T154" i="2"/>
  <c r="N154" i="2"/>
  <c r="V154" i="2" s="1"/>
  <c r="R172" i="2"/>
  <c r="M172" i="2"/>
  <c r="M132" i="2"/>
  <c r="R132" i="2"/>
  <c r="N108" i="2"/>
  <c r="V108" i="2" s="1"/>
  <c r="N132" i="2"/>
  <c r="V132" i="2" s="1"/>
  <c r="T170" i="2"/>
  <c r="N170" i="2"/>
  <c r="V170" i="2" s="1"/>
  <c r="T190" i="2"/>
  <c r="N190" i="2"/>
  <c r="V190" i="2" s="1"/>
  <c r="N198" i="2"/>
  <c r="V198" i="2" s="1"/>
  <c r="T198" i="2"/>
  <c r="T106" i="2"/>
  <c r="T118" i="2"/>
  <c r="R122" i="2"/>
  <c r="T134" i="2"/>
  <c r="N142" i="2"/>
  <c r="V142" i="2" s="1"/>
  <c r="R144" i="2"/>
  <c r="R195" i="2"/>
  <c r="M195" i="2"/>
  <c r="R149" i="2"/>
  <c r="M149" i="2"/>
  <c r="R159" i="2"/>
  <c r="M159" i="2"/>
  <c r="M258" i="2"/>
  <c r="R258" i="2"/>
  <c r="O122" i="2"/>
  <c r="U122" i="2"/>
  <c r="Q122" i="2" s="1"/>
  <c r="T125" i="2"/>
  <c r="N125" i="2"/>
  <c r="V125" i="2" s="1"/>
  <c r="M156" i="2"/>
  <c r="R156" i="2"/>
  <c r="N174" i="2"/>
  <c r="V174" i="2" s="1"/>
  <c r="T174" i="2"/>
  <c r="R184" i="2"/>
  <c r="U188" i="2"/>
  <c r="Q188" i="2" s="1"/>
  <c r="M178" i="2"/>
  <c r="R178" i="2"/>
  <c r="M137" i="2"/>
  <c r="R152" i="2"/>
  <c r="M155" i="2"/>
  <c r="T163" i="2"/>
  <c r="N163" i="2"/>
  <c r="V163" i="2" s="1"/>
  <c r="N180" i="2"/>
  <c r="V180" i="2" s="1"/>
  <c r="T186" i="2"/>
  <c r="R202" i="2"/>
  <c r="M202" i="2"/>
  <c r="T220" i="2"/>
  <c r="N220" i="2"/>
  <c r="V220" i="2" s="1"/>
  <c r="T278" i="2"/>
  <c r="N278" i="2"/>
  <c r="V278" i="2" s="1"/>
  <c r="N145" i="2"/>
  <c r="V145" i="2" s="1"/>
  <c r="T145" i="2"/>
  <c r="N169" i="2"/>
  <c r="V169" i="2" s="1"/>
  <c r="T169" i="2"/>
  <c r="T187" i="2"/>
  <c r="N187" i="2"/>
  <c r="V187" i="2" s="1"/>
  <c r="N192" i="2"/>
  <c r="V192" i="2" s="1"/>
  <c r="U206" i="2"/>
  <c r="Q206" i="2" s="1"/>
  <c r="T241" i="2"/>
  <c r="N241" i="2"/>
  <c r="V241" i="2" s="1"/>
  <c r="T133" i="2"/>
  <c r="M179" i="2"/>
  <c r="R180" i="2"/>
  <c r="M194" i="2"/>
  <c r="T199" i="2"/>
  <c r="N199" i="2"/>
  <c r="V199" i="2" s="1"/>
  <c r="N176" i="2"/>
  <c r="V176" i="2" s="1"/>
  <c r="O292" i="2"/>
  <c r="R192" i="2"/>
  <c r="T216" i="2"/>
  <c r="R238" i="2"/>
  <c r="M238" i="2"/>
  <c r="R288" i="2"/>
  <c r="M288" i="2"/>
  <c r="T139" i="2"/>
  <c r="N139" i="2"/>
  <c r="V139" i="2" s="1"/>
  <c r="N157" i="2"/>
  <c r="V157" i="2" s="1"/>
  <c r="T157" i="2"/>
  <c r="T175" i="2"/>
  <c r="N175" i="2"/>
  <c r="V175" i="2" s="1"/>
  <c r="N181" i="2"/>
  <c r="V181" i="2" s="1"/>
  <c r="T181" i="2"/>
  <c r="M191" i="2"/>
  <c r="M210" i="2"/>
  <c r="R210" i="2"/>
  <c r="R173" i="2"/>
  <c r="M173" i="2"/>
  <c r="N193" i="2"/>
  <c r="V193" i="2" s="1"/>
  <c r="T193" i="2"/>
  <c r="M201" i="2"/>
  <c r="R201" i="2"/>
  <c r="M143" i="2"/>
  <c r="T204" i="2"/>
  <c r="N204" i="2"/>
  <c r="V204" i="2" s="1"/>
  <c r="T218" i="2"/>
  <c r="N218" i="2"/>
  <c r="V218" i="2" s="1"/>
  <c r="R275" i="2"/>
  <c r="M275" i="2"/>
  <c r="R207" i="2"/>
  <c r="R252" i="2"/>
  <c r="M252" i="2"/>
  <c r="M185" i="2"/>
  <c r="M197" i="2"/>
  <c r="O212" i="2"/>
  <c r="T214" i="2"/>
  <c r="R232" i="2"/>
  <c r="N252" i="2"/>
  <c r="V252" i="2" s="1"/>
  <c r="M262" i="2"/>
  <c r="M269" i="2"/>
  <c r="R269" i="2"/>
  <c r="R289" i="2"/>
  <c r="M289" i="2"/>
  <c r="M245" i="2"/>
  <c r="R245" i="2"/>
  <c r="T290" i="2"/>
  <c r="N290" i="2"/>
  <c r="V290" i="2" s="1"/>
  <c r="R225" i="2"/>
  <c r="T229" i="2"/>
  <c r="N229" i="2"/>
  <c r="V229" i="2" s="1"/>
  <c r="T250" i="2"/>
  <c r="R276" i="2"/>
  <c r="M276" i="2"/>
  <c r="N273" i="2"/>
  <c r="V273" i="2" s="1"/>
  <c r="T273" i="2"/>
  <c r="T217" i="2"/>
  <c r="N217" i="2"/>
  <c r="V217" i="2" s="1"/>
  <c r="M253" i="2"/>
  <c r="R266" i="2"/>
  <c r="M266" i="2"/>
  <c r="R299" i="2"/>
  <c r="M299" i="2"/>
  <c r="T237" i="2"/>
  <c r="R244" i="2"/>
  <c r="N266" i="2"/>
  <c r="V266" i="2" s="1"/>
  <c r="T205" i="2"/>
  <c r="N205" i="2"/>
  <c r="V205" i="2" s="1"/>
  <c r="R240" i="2"/>
  <c r="M240" i="2"/>
  <c r="R268" i="2"/>
  <c r="R277" i="2"/>
  <c r="M277" i="2"/>
  <c r="R286" i="2"/>
  <c r="M286" i="2"/>
  <c r="R300" i="2"/>
  <c r="M300" i="2"/>
  <c r="N240" i="2"/>
  <c r="V240" i="2" s="1"/>
  <c r="R254" i="2"/>
  <c r="M254" i="2"/>
  <c r="R287" i="2"/>
  <c r="M287" i="2"/>
  <c r="N207" i="2"/>
  <c r="V207" i="2" s="1"/>
  <c r="M233" i="2"/>
  <c r="R233" i="2"/>
  <c r="R256" i="2"/>
  <c r="N261" i="2"/>
  <c r="V261" i="2" s="1"/>
  <c r="T261" i="2"/>
  <c r="R264" i="2"/>
  <c r="M264" i="2"/>
  <c r="R301" i="2"/>
  <c r="M301" i="2"/>
  <c r="T285" i="2"/>
  <c r="T211" i="2"/>
  <c r="T223" i="2"/>
  <c r="T235" i="2"/>
  <c r="T247" i="2"/>
  <c r="N253" i="2"/>
  <c r="V253" i="2" s="1"/>
  <c r="T259" i="2"/>
  <c r="N265" i="2"/>
  <c r="V265" i="2" s="1"/>
  <c r="T271" i="2"/>
  <c r="N277" i="2"/>
  <c r="V277" i="2" s="1"/>
  <c r="T283" i="2"/>
  <c r="N289" i="2"/>
  <c r="V289" i="2" s="1"/>
  <c r="R293" i="2"/>
  <c r="T295" i="2"/>
  <c r="N301" i="2"/>
  <c r="V301" i="2" s="1"/>
  <c r="N288" i="2"/>
  <c r="V288" i="2" s="1"/>
  <c r="N300" i="2"/>
  <c r="V300" i="2" s="1"/>
  <c r="N299" i="2"/>
  <c r="V299" i="2" s="1"/>
  <c r="M297" i="2"/>
  <c r="M15" i="2"/>
  <c r="V15" i="2"/>
  <c r="R162" i="2" l="1"/>
  <c r="R73" i="2"/>
  <c r="R281" i="2"/>
  <c r="U144" i="2"/>
  <c r="Q144" i="2" s="1"/>
  <c r="O171" i="2"/>
  <c r="R161" i="2"/>
  <c r="R226" i="2"/>
  <c r="M140" i="2"/>
  <c r="O140" i="2" s="1"/>
  <c r="U59" i="2"/>
  <c r="Q59" i="2" s="1"/>
  <c r="O56" i="2"/>
  <c r="R213" i="2"/>
  <c r="S213" i="2" s="1"/>
  <c r="O182" i="2"/>
  <c r="S182" i="2" s="1"/>
  <c r="M298" i="2"/>
  <c r="O298" i="2" s="1"/>
  <c r="O256" i="2"/>
  <c r="S256" i="2" s="1"/>
  <c r="O109" i="2"/>
  <c r="S109" i="2" s="1"/>
  <c r="M102" i="2"/>
  <c r="O230" i="2"/>
  <c r="S230" i="2" s="1"/>
  <c r="O104" i="2"/>
  <c r="S104" i="2" s="1"/>
  <c r="M49" i="2"/>
  <c r="U49" i="2" s="1"/>
  <c r="Q49" i="2" s="1"/>
  <c r="M249" i="2"/>
  <c r="O249" i="2" s="1"/>
  <c r="U200" i="2"/>
  <c r="Q200" i="2" s="1"/>
  <c r="O208" i="2"/>
  <c r="S208" i="2" s="1"/>
  <c r="O100" i="2"/>
  <c r="S100" i="2" s="1"/>
  <c r="O147" i="2"/>
  <c r="S147" i="2" s="1"/>
  <c r="O280" i="2"/>
  <c r="S280" i="2" s="1"/>
  <c r="U280" i="2"/>
  <c r="Q280" i="2" s="1"/>
  <c r="U35" i="2"/>
  <c r="Q35" i="2" s="1"/>
  <c r="U104" i="2"/>
  <c r="Q104" i="2" s="1"/>
  <c r="O135" i="2"/>
  <c r="S135" i="2" s="1"/>
  <c r="O36" i="2"/>
  <c r="S36" i="2" s="1"/>
  <c r="O206" i="2"/>
  <c r="S206" i="2" s="1"/>
  <c r="U25" i="2"/>
  <c r="Q25" i="2" s="1"/>
  <c r="M236" i="2"/>
  <c r="M166" i="2"/>
  <c r="R25" i="2"/>
  <c r="S25" i="2" s="1"/>
  <c r="U208" i="2"/>
  <c r="Q208" i="2" s="1"/>
  <c r="O196" i="2"/>
  <c r="S196" i="2" s="1"/>
  <c r="U109" i="2"/>
  <c r="Q109" i="2" s="1"/>
  <c r="M272" i="2"/>
  <c r="O43" i="2"/>
  <c r="S43" i="2" s="1"/>
  <c r="O188" i="2"/>
  <c r="S188" i="2" s="1"/>
  <c r="R282" i="2"/>
  <c r="U47" i="2"/>
  <c r="Q47" i="2" s="1"/>
  <c r="M81" i="2"/>
  <c r="O81" i="2" s="1"/>
  <c r="M129" i="2"/>
  <c r="U129" i="2" s="1"/>
  <c r="Q129" i="2" s="1"/>
  <c r="O215" i="2"/>
  <c r="S215" i="2" s="1"/>
  <c r="O263" i="2"/>
  <c r="S263" i="2" s="1"/>
  <c r="S239" i="2"/>
  <c r="O177" i="2"/>
  <c r="S177" i="2" s="1"/>
  <c r="U196" i="2"/>
  <c r="Q196" i="2" s="1"/>
  <c r="U213" i="2"/>
  <c r="Q213" i="2" s="1"/>
  <c r="U239" i="2"/>
  <c r="Q239" i="2" s="1"/>
  <c r="O101" i="2"/>
  <c r="S101" i="2" s="1"/>
  <c r="O68" i="2"/>
  <c r="S68" i="2" s="1"/>
  <c r="O209" i="2"/>
  <c r="S209" i="2" s="1"/>
  <c r="O167" i="2"/>
  <c r="S167" i="2" s="1"/>
  <c r="R40" i="2"/>
  <c r="O18" i="2"/>
  <c r="S18" i="2" s="1"/>
  <c r="O248" i="2"/>
  <c r="S248" i="2" s="1"/>
  <c r="O231" i="2"/>
  <c r="S231" i="2" s="1"/>
  <c r="O293" i="2"/>
  <c r="S293" i="2" s="1"/>
  <c r="U182" i="2"/>
  <c r="Q182" i="2" s="1"/>
  <c r="O80" i="2"/>
  <c r="S80" i="2" s="1"/>
  <c r="U225" i="2"/>
  <c r="Q225" i="2" s="1"/>
  <c r="S225" i="2"/>
  <c r="M116" i="2"/>
  <c r="O116" i="2" s="1"/>
  <c r="S116" i="2" s="1"/>
  <c r="U263" i="2"/>
  <c r="Q263" i="2" s="1"/>
  <c r="O152" i="2"/>
  <c r="S152" i="2" s="1"/>
  <c r="O97" i="2"/>
  <c r="S97" i="2" s="1"/>
  <c r="O160" i="2"/>
  <c r="S160" i="2" s="1"/>
  <c r="R69" i="2"/>
  <c r="O242" i="2"/>
  <c r="S242" i="2" s="1"/>
  <c r="U284" i="2"/>
  <c r="Q284" i="2" s="1"/>
  <c r="R57" i="2"/>
  <c r="S57" i="2" s="1"/>
  <c r="O232" i="2"/>
  <c r="S232" i="2" s="1"/>
  <c r="O244" i="2"/>
  <c r="S244" i="2" s="1"/>
  <c r="U274" i="2"/>
  <c r="Q274" i="2" s="1"/>
  <c r="O52" i="2"/>
  <c r="S52" i="2" s="1"/>
  <c r="O120" i="2"/>
  <c r="S120" i="2" s="1"/>
  <c r="R224" i="2"/>
  <c r="O279" i="2"/>
  <c r="S279" i="2" s="1"/>
  <c r="M158" i="2"/>
  <c r="O158" i="2" s="1"/>
  <c r="S130" i="2"/>
  <c r="O267" i="2"/>
  <c r="S267" i="2" s="1"/>
  <c r="O255" i="2"/>
  <c r="S255" i="2" s="1"/>
  <c r="O219" i="2"/>
  <c r="S219" i="2" s="1"/>
  <c r="R257" i="2"/>
  <c r="M77" i="2"/>
  <c r="U77" i="2" s="1"/>
  <c r="Q77" i="2" s="1"/>
  <c r="U22" i="2"/>
  <c r="Q22" i="2" s="1"/>
  <c r="U57" i="2"/>
  <c r="Q57" i="2" s="1"/>
  <c r="O153" i="2"/>
  <c r="S153" i="2" s="1"/>
  <c r="R67" i="2"/>
  <c r="O94" i="2"/>
  <c r="S94" i="2" s="1"/>
  <c r="R22" i="2"/>
  <c r="S22" i="2" s="1"/>
  <c r="M91" i="2"/>
  <c r="U91" i="2" s="1"/>
  <c r="Q91" i="2" s="1"/>
  <c r="O268" i="2"/>
  <c r="S268" i="2" s="1"/>
  <c r="O164" i="2"/>
  <c r="S164" i="2" s="1"/>
  <c r="O227" i="2"/>
  <c r="S227" i="2" s="1"/>
  <c r="O72" i="2"/>
  <c r="S72" i="2" s="1"/>
  <c r="O45" i="2"/>
  <c r="S45" i="2" s="1"/>
  <c r="U45" i="2"/>
  <c r="Q45" i="2" s="1"/>
  <c r="O291" i="2"/>
  <c r="S291" i="2" s="1"/>
  <c r="U52" i="2"/>
  <c r="Q52" i="2" s="1"/>
  <c r="U130" i="2"/>
  <c r="Q130" i="2" s="1"/>
  <c r="U153" i="2"/>
  <c r="Q153" i="2" s="1"/>
  <c r="O234" i="2"/>
  <c r="S234" i="2" s="1"/>
  <c r="U234" i="2"/>
  <c r="Q234" i="2" s="1"/>
  <c r="O23" i="2"/>
  <c r="S23" i="2" s="1"/>
  <c r="O112" i="2"/>
  <c r="S112" i="2" s="1"/>
  <c r="M39" i="2"/>
  <c r="R39" i="2"/>
  <c r="M296" i="2"/>
  <c r="R296" i="2"/>
  <c r="O180" i="2"/>
  <c r="S180" i="2" s="1"/>
  <c r="O70" i="2"/>
  <c r="S70" i="2" s="1"/>
  <c r="M270" i="2"/>
  <c r="R270" i="2"/>
  <c r="R58" i="2"/>
  <c r="M58" i="2"/>
  <c r="M260" i="2"/>
  <c r="R260" i="2"/>
  <c r="M111" i="2"/>
  <c r="R111" i="2"/>
  <c r="M103" i="2"/>
  <c r="U103" i="2" s="1"/>
  <c r="Q103" i="2" s="1"/>
  <c r="R89" i="2"/>
  <c r="M89" i="2"/>
  <c r="O38" i="2"/>
  <c r="S38" i="2" s="1"/>
  <c r="O189" i="2"/>
  <c r="S189" i="2" s="1"/>
  <c r="U189" i="2"/>
  <c r="Q189" i="2" s="1"/>
  <c r="U222" i="2"/>
  <c r="Q222" i="2" s="1"/>
  <c r="O222" i="2"/>
  <c r="S222" i="2" s="1"/>
  <c r="M294" i="2"/>
  <c r="R294" i="2"/>
  <c r="U243" i="2"/>
  <c r="Q243" i="2" s="1"/>
  <c r="O243" i="2"/>
  <c r="S243" i="2" s="1"/>
  <c r="M63" i="2"/>
  <c r="R63" i="2"/>
  <c r="O251" i="2"/>
  <c r="S251" i="2" s="1"/>
  <c r="U251" i="2"/>
  <c r="Q251" i="2" s="1"/>
  <c r="O148" i="2"/>
  <c r="S148" i="2" s="1"/>
  <c r="U148" i="2"/>
  <c r="Q148" i="2" s="1"/>
  <c r="U221" i="2"/>
  <c r="Q221" i="2" s="1"/>
  <c r="O221" i="2"/>
  <c r="S221" i="2" s="1"/>
  <c r="O119" i="2"/>
  <c r="S119" i="2" s="1"/>
  <c r="U119" i="2"/>
  <c r="Q119" i="2" s="1"/>
  <c r="M114" i="2"/>
  <c r="R114" i="2"/>
  <c r="O203" i="2"/>
  <c r="V203" i="2"/>
  <c r="O75" i="2"/>
  <c r="S75" i="2" s="1"/>
  <c r="M113" i="2"/>
  <c r="R113" i="2"/>
  <c r="U131" i="2"/>
  <c r="Q131" i="2" s="1"/>
  <c r="O131" i="2"/>
  <c r="S131" i="2" s="1"/>
  <c r="R115" i="2"/>
  <c r="M115" i="2"/>
  <c r="O168" i="2"/>
  <c r="S168" i="2" s="1"/>
  <c r="O76" i="2"/>
  <c r="S76" i="2" s="1"/>
  <c r="O246" i="2"/>
  <c r="S246" i="2" s="1"/>
  <c r="U246" i="2"/>
  <c r="Q246" i="2" s="1"/>
  <c r="U266" i="2"/>
  <c r="Q266" i="2" s="1"/>
  <c r="O266" i="2"/>
  <c r="U137" i="2"/>
  <c r="Q137" i="2" s="1"/>
  <c r="O137" i="2"/>
  <c r="M174" i="2"/>
  <c r="R174" i="2"/>
  <c r="U159" i="2"/>
  <c r="Q159" i="2" s="1"/>
  <c r="O159" i="2"/>
  <c r="O132" i="2"/>
  <c r="U132" i="2"/>
  <c r="Q132" i="2" s="1"/>
  <c r="M65" i="2"/>
  <c r="R65" i="2"/>
  <c r="M121" i="2"/>
  <c r="R121" i="2"/>
  <c r="R83" i="2"/>
  <c r="M83" i="2"/>
  <c r="M88" i="2"/>
  <c r="R88" i="2"/>
  <c r="O55" i="2"/>
  <c r="U55" i="2"/>
  <c r="Q55" i="2" s="1"/>
  <c r="U33" i="2"/>
  <c r="Q33" i="2" s="1"/>
  <c r="O33" i="2"/>
  <c r="U289" i="2"/>
  <c r="Q289" i="2" s="1"/>
  <c r="O289" i="2"/>
  <c r="R273" i="2"/>
  <c r="M273" i="2"/>
  <c r="U252" i="2"/>
  <c r="Q252" i="2" s="1"/>
  <c r="O252" i="2"/>
  <c r="U288" i="2"/>
  <c r="Q288" i="2" s="1"/>
  <c r="O288" i="2"/>
  <c r="R118" i="2"/>
  <c r="M118" i="2"/>
  <c r="M198" i="2"/>
  <c r="R198" i="2"/>
  <c r="S171" i="2"/>
  <c r="M61" i="2"/>
  <c r="R61" i="2"/>
  <c r="M30" i="2"/>
  <c r="R30" i="2"/>
  <c r="U46" i="2"/>
  <c r="Q46" i="2" s="1"/>
  <c r="O46" i="2"/>
  <c r="M235" i="2"/>
  <c r="R235" i="2"/>
  <c r="U233" i="2"/>
  <c r="Q233" i="2" s="1"/>
  <c r="O233" i="2"/>
  <c r="O265" i="2"/>
  <c r="R204" i="2"/>
  <c r="M204" i="2"/>
  <c r="O210" i="2"/>
  <c r="U210" i="2"/>
  <c r="Q210" i="2" s="1"/>
  <c r="O226" i="2"/>
  <c r="U226" i="2"/>
  <c r="Q226" i="2" s="1"/>
  <c r="O149" i="2"/>
  <c r="U149" i="2"/>
  <c r="Q149" i="2" s="1"/>
  <c r="R136" i="2"/>
  <c r="M136" i="2"/>
  <c r="O224" i="2"/>
  <c r="U224" i="2"/>
  <c r="Q224" i="2" s="1"/>
  <c r="R54" i="2"/>
  <c r="M54" i="2"/>
  <c r="O66" i="2"/>
  <c r="U66" i="2"/>
  <c r="Q66" i="2" s="1"/>
  <c r="O73" i="2"/>
  <c r="U73" i="2"/>
  <c r="Q73" i="2" s="1"/>
  <c r="U124" i="2"/>
  <c r="Q124" i="2" s="1"/>
  <c r="O124" i="2"/>
  <c r="U67" i="2"/>
  <c r="Q67" i="2" s="1"/>
  <c r="O67" i="2"/>
  <c r="O162" i="2"/>
  <c r="U162" i="2"/>
  <c r="Q162" i="2" s="1"/>
  <c r="U28" i="2"/>
  <c r="Q28" i="2" s="1"/>
  <c r="O28" i="2"/>
  <c r="U300" i="2"/>
  <c r="Q300" i="2" s="1"/>
  <c r="O300" i="2"/>
  <c r="R250" i="2"/>
  <c r="M250" i="2"/>
  <c r="O238" i="2"/>
  <c r="U238" i="2"/>
  <c r="Q238" i="2" s="1"/>
  <c r="O178" i="2"/>
  <c r="U178" i="2"/>
  <c r="Q178" i="2" s="1"/>
  <c r="U156" i="2"/>
  <c r="Q156" i="2" s="1"/>
  <c r="O156" i="2"/>
  <c r="R106" i="2"/>
  <c r="M106" i="2"/>
  <c r="O172" i="2"/>
  <c r="U172" i="2"/>
  <c r="Q172" i="2" s="1"/>
  <c r="R37" i="2"/>
  <c r="M37" i="2"/>
  <c r="U117" i="2"/>
  <c r="Q117" i="2" s="1"/>
  <c r="O117" i="2"/>
  <c r="O50" i="2"/>
  <c r="U50" i="2"/>
  <c r="Q50" i="2" s="1"/>
  <c r="O79" i="2"/>
  <c r="U79" i="2"/>
  <c r="Q79" i="2" s="1"/>
  <c r="M24" i="2"/>
  <c r="R24" i="2"/>
  <c r="U82" i="2"/>
  <c r="Q82" i="2" s="1"/>
  <c r="O82" i="2"/>
  <c r="U276" i="2"/>
  <c r="Q276" i="2" s="1"/>
  <c r="O276" i="2"/>
  <c r="U240" i="2"/>
  <c r="Q240" i="2" s="1"/>
  <c r="O240" i="2"/>
  <c r="U253" i="2"/>
  <c r="Q253" i="2" s="1"/>
  <c r="O253" i="2"/>
  <c r="U269" i="2"/>
  <c r="Q269" i="2" s="1"/>
  <c r="O269" i="2"/>
  <c r="U143" i="2"/>
  <c r="Q143" i="2" s="1"/>
  <c r="O143" i="2"/>
  <c r="U191" i="2"/>
  <c r="Q191" i="2" s="1"/>
  <c r="O191" i="2"/>
  <c r="R278" i="2"/>
  <c r="M278" i="2"/>
  <c r="O202" i="2"/>
  <c r="U202" i="2"/>
  <c r="Q202" i="2" s="1"/>
  <c r="M190" i="2"/>
  <c r="R190" i="2"/>
  <c r="M150" i="2"/>
  <c r="R150" i="2"/>
  <c r="U64" i="2"/>
  <c r="Q64" i="2" s="1"/>
  <c r="O64" i="2"/>
  <c r="M19" i="2"/>
  <c r="R19" i="2"/>
  <c r="U228" i="2"/>
  <c r="Q228" i="2" s="1"/>
  <c r="O228" i="2"/>
  <c r="U32" i="2"/>
  <c r="Q32" i="2" s="1"/>
  <c r="O32" i="2"/>
  <c r="S35" i="2"/>
  <c r="M259" i="2"/>
  <c r="R259" i="2"/>
  <c r="O262" i="2"/>
  <c r="U262" i="2"/>
  <c r="Q262" i="2" s="1"/>
  <c r="O275" i="2"/>
  <c r="U275" i="2"/>
  <c r="Q275" i="2" s="1"/>
  <c r="M181" i="2"/>
  <c r="R181" i="2"/>
  <c r="R216" i="2"/>
  <c r="M216" i="2"/>
  <c r="R199" i="2"/>
  <c r="M199" i="2"/>
  <c r="S144" i="2"/>
  <c r="U176" i="2"/>
  <c r="Q176" i="2" s="1"/>
  <c r="O176" i="2"/>
  <c r="M138" i="2"/>
  <c r="R138" i="2"/>
  <c r="O62" i="2"/>
  <c r="U62" i="2"/>
  <c r="Q62" i="2" s="1"/>
  <c r="M42" i="2"/>
  <c r="R42" i="2"/>
  <c r="U105" i="2"/>
  <c r="Q105" i="2" s="1"/>
  <c r="O105" i="2"/>
  <c r="S47" i="2"/>
  <c r="U51" i="2"/>
  <c r="Q51" i="2" s="1"/>
  <c r="O51" i="2"/>
  <c r="O282" i="2"/>
  <c r="U282" i="2"/>
  <c r="Q282" i="2" s="1"/>
  <c r="S284" i="2"/>
  <c r="M139" i="2"/>
  <c r="R139" i="2"/>
  <c r="M223" i="2"/>
  <c r="R223" i="2"/>
  <c r="M295" i="2"/>
  <c r="R295" i="2"/>
  <c r="M211" i="2"/>
  <c r="R211" i="2"/>
  <c r="U301" i="2"/>
  <c r="Q301" i="2" s="1"/>
  <c r="O301" i="2"/>
  <c r="U257" i="2"/>
  <c r="Q257" i="2" s="1"/>
  <c r="O257" i="2"/>
  <c r="U245" i="2"/>
  <c r="Q245" i="2" s="1"/>
  <c r="O245" i="2"/>
  <c r="O201" i="2"/>
  <c r="U201" i="2"/>
  <c r="Q201" i="2" s="1"/>
  <c r="O207" i="2"/>
  <c r="O194" i="2"/>
  <c r="U194" i="2"/>
  <c r="Q194" i="2" s="1"/>
  <c r="R187" i="2"/>
  <c r="M187" i="2"/>
  <c r="R220" i="2"/>
  <c r="M220" i="2"/>
  <c r="M186" i="2"/>
  <c r="R186" i="2"/>
  <c r="S200" i="2"/>
  <c r="U195" i="2"/>
  <c r="Q195" i="2" s="1"/>
  <c r="O195" i="2"/>
  <c r="R170" i="2"/>
  <c r="M170" i="2"/>
  <c r="U140" i="2"/>
  <c r="Q140" i="2" s="1"/>
  <c r="U44" i="2"/>
  <c r="Q44" i="2" s="1"/>
  <c r="O44" i="2"/>
  <c r="O40" i="2"/>
  <c r="U40" i="2"/>
  <c r="Q40" i="2" s="1"/>
  <c r="U99" i="2"/>
  <c r="Q99" i="2" s="1"/>
  <c r="O99" i="2"/>
  <c r="U110" i="2"/>
  <c r="Q110" i="2" s="1"/>
  <c r="O110" i="2"/>
  <c r="R241" i="2"/>
  <c r="M241" i="2"/>
  <c r="O286" i="2"/>
  <c r="U286" i="2"/>
  <c r="Q286" i="2" s="1"/>
  <c r="R237" i="2"/>
  <c r="M237" i="2"/>
  <c r="U277" i="2"/>
  <c r="Q277" i="2" s="1"/>
  <c r="O277" i="2"/>
  <c r="M193" i="2"/>
  <c r="R193" i="2"/>
  <c r="O192" i="2"/>
  <c r="R125" i="2"/>
  <c r="M125" i="2"/>
  <c r="O31" i="2"/>
  <c r="U31" i="2"/>
  <c r="Q31" i="2" s="1"/>
  <c r="O142" i="2"/>
  <c r="R123" i="2"/>
  <c r="M123" i="2"/>
  <c r="M127" i="2"/>
  <c r="R127" i="2"/>
  <c r="U17" i="2"/>
  <c r="Q17" i="2" s="1"/>
  <c r="O17" i="2"/>
  <c r="O297" i="2"/>
  <c r="U297" i="2"/>
  <c r="Q297" i="2" s="1"/>
  <c r="O185" i="2"/>
  <c r="U185" i="2"/>
  <c r="Q185" i="2" s="1"/>
  <c r="R229" i="2"/>
  <c r="M229" i="2"/>
  <c r="M283" i="2"/>
  <c r="R283" i="2"/>
  <c r="U264" i="2"/>
  <c r="Q264" i="2" s="1"/>
  <c r="O264" i="2"/>
  <c r="S274" i="2"/>
  <c r="R205" i="2"/>
  <c r="M205" i="2"/>
  <c r="R217" i="2"/>
  <c r="M217" i="2"/>
  <c r="M214" i="2"/>
  <c r="R214" i="2"/>
  <c r="M175" i="2"/>
  <c r="R175" i="2"/>
  <c r="S292" i="2"/>
  <c r="O179" i="2"/>
  <c r="U179" i="2"/>
  <c r="Q179" i="2" s="1"/>
  <c r="U183" i="2"/>
  <c r="Q183" i="2" s="1"/>
  <c r="O183" i="2"/>
  <c r="R154" i="2"/>
  <c r="M154" i="2"/>
  <c r="R151" i="2"/>
  <c r="M151" i="2"/>
  <c r="O165" i="2"/>
  <c r="U165" i="2"/>
  <c r="Q165" i="2" s="1"/>
  <c r="M96" i="2"/>
  <c r="R96" i="2"/>
  <c r="O107" i="2"/>
  <c r="U107" i="2"/>
  <c r="Q107" i="2" s="1"/>
  <c r="R93" i="2"/>
  <c r="M93" i="2"/>
  <c r="O26" i="2"/>
  <c r="U26" i="2"/>
  <c r="Q26" i="2" s="1"/>
  <c r="U29" i="2"/>
  <c r="Q29" i="2" s="1"/>
  <c r="O29" i="2"/>
  <c r="O48" i="2"/>
  <c r="O287" i="2"/>
  <c r="U287" i="2"/>
  <c r="Q287" i="2" s="1"/>
  <c r="M271" i="2"/>
  <c r="R271" i="2"/>
  <c r="O299" i="2"/>
  <c r="U299" i="2"/>
  <c r="Q299" i="2" s="1"/>
  <c r="U173" i="2"/>
  <c r="Q173" i="2" s="1"/>
  <c r="O173" i="2"/>
  <c r="M157" i="2"/>
  <c r="R157" i="2"/>
  <c r="R169" i="2"/>
  <c r="M169" i="2"/>
  <c r="R163" i="2"/>
  <c r="M163" i="2"/>
  <c r="S122" i="2"/>
  <c r="U141" i="2"/>
  <c r="Q141" i="2" s="1"/>
  <c r="O141" i="2"/>
  <c r="O146" i="2"/>
  <c r="U146" i="2"/>
  <c r="Q146" i="2" s="1"/>
  <c r="M78" i="2"/>
  <c r="R78" i="2"/>
  <c r="O69" i="2"/>
  <c r="U69" i="2"/>
  <c r="Q69" i="2" s="1"/>
  <c r="O21" i="2"/>
  <c r="U21" i="2"/>
  <c r="Q21" i="2" s="1"/>
  <c r="O53" i="2"/>
  <c r="U53" i="2"/>
  <c r="Q53" i="2" s="1"/>
  <c r="M98" i="2"/>
  <c r="R98" i="2"/>
  <c r="R34" i="2"/>
  <c r="M34" i="2"/>
  <c r="O108" i="2"/>
  <c r="O90" i="2"/>
  <c r="U90" i="2"/>
  <c r="Q90" i="2" s="1"/>
  <c r="U16" i="2"/>
  <c r="Q16" i="2" s="1"/>
  <c r="O16" i="2"/>
  <c r="U60" i="2"/>
  <c r="Q60" i="2" s="1"/>
  <c r="O60" i="2"/>
  <c r="S59" i="2"/>
  <c r="R285" i="2"/>
  <c r="M285" i="2"/>
  <c r="R261" i="2"/>
  <c r="M261" i="2"/>
  <c r="U254" i="2"/>
  <c r="Q254" i="2" s="1"/>
  <c r="O254" i="2"/>
  <c r="R290" i="2"/>
  <c r="M290" i="2"/>
  <c r="S212" i="2"/>
  <c r="R218" i="2"/>
  <c r="M218" i="2"/>
  <c r="R133" i="2"/>
  <c r="M133" i="2"/>
  <c r="U155" i="2"/>
  <c r="Q155" i="2" s="1"/>
  <c r="O155" i="2"/>
  <c r="O184" i="2"/>
  <c r="U184" i="2"/>
  <c r="Q184" i="2" s="1"/>
  <c r="M134" i="2"/>
  <c r="R134" i="2"/>
  <c r="U126" i="2"/>
  <c r="Q126" i="2" s="1"/>
  <c r="O126" i="2"/>
  <c r="M85" i="2"/>
  <c r="R85" i="2"/>
  <c r="U128" i="2"/>
  <c r="Q128" i="2" s="1"/>
  <c r="O128" i="2"/>
  <c r="O92" i="2"/>
  <c r="U92" i="2"/>
  <c r="Q92" i="2" s="1"/>
  <c r="M20" i="2"/>
  <c r="R20" i="2"/>
  <c r="O87" i="2"/>
  <c r="U87" i="2"/>
  <c r="Q87" i="2" s="1"/>
  <c r="U86" i="2"/>
  <c r="Q86" i="2" s="1"/>
  <c r="O86" i="2"/>
  <c r="U84" i="2"/>
  <c r="Q84" i="2" s="1"/>
  <c r="O84" i="2"/>
  <c r="U281" i="2"/>
  <c r="Q281" i="2" s="1"/>
  <c r="O281" i="2"/>
  <c r="O197" i="2"/>
  <c r="U197" i="2"/>
  <c r="Q197" i="2" s="1"/>
  <c r="R145" i="2"/>
  <c r="M145" i="2"/>
  <c r="U161" i="2"/>
  <c r="Q161" i="2" s="1"/>
  <c r="O161" i="2"/>
  <c r="O258" i="2"/>
  <c r="U258" i="2"/>
  <c r="Q258" i="2" s="1"/>
  <c r="U41" i="2"/>
  <c r="Q41" i="2" s="1"/>
  <c r="O41" i="2"/>
  <c r="R71" i="2"/>
  <c r="M71" i="2"/>
  <c r="O95" i="2"/>
  <c r="U95" i="2"/>
  <c r="Q95" i="2" s="1"/>
  <c r="M74" i="2"/>
  <c r="R74" i="2"/>
  <c r="U27" i="2"/>
  <c r="Q27" i="2" s="1"/>
  <c r="O27" i="2"/>
  <c r="S56" i="2"/>
  <c r="U15" i="2"/>
  <c r="Q15" i="2" s="1"/>
  <c r="O15" i="2"/>
  <c r="U298" i="2" l="1"/>
  <c r="Q298" i="2" s="1"/>
  <c r="U81" i="2"/>
  <c r="Q81" i="2" s="1"/>
  <c r="O49" i="2"/>
  <c r="S49" i="2" s="1"/>
  <c r="O102" i="2"/>
  <c r="S102" i="2" s="1"/>
  <c r="U102" i="2"/>
  <c r="Q102" i="2" s="1"/>
  <c r="O129" i="2"/>
  <c r="S129" i="2" s="1"/>
  <c r="U249" i="2"/>
  <c r="Q249" i="2" s="1"/>
  <c r="O77" i="2"/>
  <c r="S77" i="2" s="1"/>
  <c r="O103" i="2"/>
  <c r="S103" i="2" s="1"/>
  <c r="O272" i="2"/>
  <c r="S272" i="2" s="1"/>
  <c r="U272" i="2"/>
  <c r="Q272" i="2" s="1"/>
  <c r="U166" i="2"/>
  <c r="Q166" i="2" s="1"/>
  <c r="O166" i="2"/>
  <c r="S166" i="2" s="1"/>
  <c r="O236" i="2"/>
  <c r="S236" i="2" s="1"/>
  <c r="U236" i="2"/>
  <c r="Q236" i="2" s="1"/>
  <c r="U116" i="2"/>
  <c r="Q116" i="2" s="1"/>
  <c r="U158" i="2"/>
  <c r="Q158" i="2" s="1"/>
  <c r="O91" i="2"/>
  <c r="S91" i="2" s="1"/>
  <c r="U58" i="2"/>
  <c r="Q58" i="2" s="1"/>
  <c r="O58" i="2"/>
  <c r="S58" i="2" s="1"/>
  <c r="U113" i="2"/>
  <c r="Q113" i="2" s="1"/>
  <c r="O113" i="2"/>
  <c r="S113" i="2" s="1"/>
  <c r="U270" i="2"/>
  <c r="Q270" i="2" s="1"/>
  <c r="O270" i="2"/>
  <c r="S270" i="2" s="1"/>
  <c r="O89" i="2"/>
  <c r="S89" i="2" s="1"/>
  <c r="U89" i="2"/>
  <c r="Q89" i="2" s="1"/>
  <c r="S203" i="2"/>
  <c r="O114" i="2"/>
  <c r="S114" i="2" s="1"/>
  <c r="U114" i="2"/>
  <c r="Q114" i="2" s="1"/>
  <c r="O63" i="2"/>
  <c r="S63" i="2" s="1"/>
  <c r="U63" i="2"/>
  <c r="Q63" i="2" s="1"/>
  <c r="O296" i="2"/>
  <c r="S296" i="2" s="1"/>
  <c r="U296" i="2"/>
  <c r="Q296" i="2" s="1"/>
  <c r="O115" i="2"/>
  <c r="S115" i="2" s="1"/>
  <c r="U115" i="2"/>
  <c r="Q115" i="2" s="1"/>
  <c r="O111" i="2"/>
  <c r="S111" i="2" s="1"/>
  <c r="U111" i="2"/>
  <c r="Q111" i="2" s="1"/>
  <c r="U39" i="2"/>
  <c r="Q39" i="2" s="1"/>
  <c r="O39" i="2"/>
  <c r="S39" i="2" s="1"/>
  <c r="O294" i="2"/>
  <c r="S294" i="2" s="1"/>
  <c r="U294" i="2"/>
  <c r="Q294" i="2" s="1"/>
  <c r="O260" i="2"/>
  <c r="S260" i="2" s="1"/>
  <c r="U260" i="2"/>
  <c r="Q260" i="2" s="1"/>
  <c r="S108" i="2"/>
  <c r="S258" i="2"/>
  <c r="S161" i="2"/>
  <c r="S281" i="2"/>
  <c r="O157" i="2"/>
  <c r="U157" i="2"/>
  <c r="Q157" i="2" s="1"/>
  <c r="S29" i="2"/>
  <c r="U151" i="2"/>
  <c r="Q151" i="2" s="1"/>
  <c r="O151" i="2"/>
  <c r="S142" i="2"/>
  <c r="U241" i="2"/>
  <c r="Q241" i="2" s="1"/>
  <c r="O241" i="2"/>
  <c r="S44" i="2"/>
  <c r="O139" i="2"/>
  <c r="U139" i="2"/>
  <c r="Q139" i="2" s="1"/>
  <c r="U181" i="2"/>
  <c r="Q181" i="2" s="1"/>
  <c r="O181" i="2"/>
  <c r="S202" i="2"/>
  <c r="S79" i="2"/>
  <c r="U83" i="2"/>
  <c r="Q83" i="2" s="1"/>
  <c r="O83" i="2"/>
  <c r="S84" i="2"/>
  <c r="U85" i="2"/>
  <c r="Q85" i="2" s="1"/>
  <c r="O85" i="2"/>
  <c r="S141" i="2"/>
  <c r="S173" i="2"/>
  <c r="S185" i="2"/>
  <c r="U186" i="2"/>
  <c r="Q186" i="2" s="1"/>
  <c r="O186" i="2"/>
  <c r="S257" i="2"/>
  <c r="S105" i="2"/>
  <c r="U278" i="2"/>
  <c r="Q278" i="2" s="1"/>
  <c r="O278" i="2"/>
  <c r="S240" i="2"/>
  <c r="S300" i="2"/>
  <c r="S265" i="2"/>
  <c r="U61" i="2"/>
  <c r="Q61" i="2" s="1"/>
  <c r="O61" i="2"/>
  <c r="O247" i="2"/>
  <c r="U247" i="2"/>
  <c r="Q247" i="2" s="1"/>
  <c r="S132" i="2"/>
  <c r="S146" i="2"/>
  <c r="S87" i="2"/>
  <c r="O145" i="2"/>
  <c r="U145" i="2"/>
  <c r="Q145" i="2" s="1"/>
  <c r="S126" i="2"/>
  <c r="U133" i="2"/>
  <c r="Q133" i="2" s="1"/>
  <c r="O133" i="2"/>
  <c r="S254" i="2"/>
  <c r="S60" i="2"/>
  <c r="U98" i="2"/>
  <c r="Q98" i="2" s="1"/>
  <c r="O98" i="2"/>
  <c r="O154" i="2"/>
  <c r="U154" i="2"/>
  <c r="Q154" i="2" s="1"/>
  <c r="S264" i="2"/>
  <c r="S31" i="2"/>
  <c r="U220" i="2"/>
  <c r="Q220" i="2" s="1"/>
  <c r="O220" i="2"/>
  <c r="S275" i="2"/>
  <c r="U150" i="2"/>
  <c r="Q150" i="2" s="1"/>
  <c r="O150" i="2"/>
  <c r="S50" i="2"/>
  <c r="S178" i="2"/>
  <c r="S73" i="2"/>
  <c r="S149" i="2"/>
  <c r="S289" i="2"/>
  <c r="O134" i="2"/>
  <c r="U134" i="2"/>
  <c r="Q134" i="2" s="1"/>
  <c r="S95" i="2"/>
  <c r="O175" i="2"/>
  <c r="U175" i="2"/>
  <c r="Q175" i="2" s="1"/>
  <c r="S297" i="2"/>
  <c r="S301" i="2"/>
  <c r="S191" i="2"/>
  <c r="S276" i="2"/>
  <c r="S117" i="2"/>
  <c r="S28" i="2"/>
  <c r="O121" i="2"/>
  <c r="U121" i="2"/>
  <c r="Q121" i="2" s="1"/>
  <c r="S69" i="2"/>
  <c r="O20" i="2"/>
  <c r="U20" i="2"/>
  <c r="Q20" i="2" s="1"/>
  <c r="S26" i="2"/>
  <c r="S27" i="2"/>
  <c r="U71" i="2"/>
  <c r="Q71" i="2" s="1"/>
  <c r="O71" i="2"/>
  <c r="U218" i="2"/>
  <c r="Q218" i="2" s="1"/>
  <c r="O218" i="2"/>
  <c r="O261" i="2"/>
  <c r="U261" i="2"/>
  <c r="Q261" i="2" s="1"/>
  <c r="S16" i="2"/>
  <c r="S53" i="2"/>
  <c r="S298" i="2"/>
  <c r="O93" i="2"/>
  <c r="U93" i="2"/>
  <c r="Q93" i="2" s="1"/>
  <c r="S17" i="2"/>
  <c r="S140" i="2"/>
  <c r="O187" i="2"/>
  <c r="U187" i="2"/>
  <c r="Q187" i="2" s="1"/>
  <c r="S282" i="2"/>
  <c r="U42" i="2"/>
  <c r="Q42" i="2" s="1"/>
  <c r="O42" i="2"/>
  <c r="S158" i="2"/>
  <c r="S262" i="2"/>
  <c r="O19" i="2"/>
  <c r="U19" i="2"/>
  <c r="Q19" i="2" s="1"/>
  <c r="S66" i="2"/>
  <c r="S233" i="2"/>
  <c r="S288" i="2"/>
  <c r="S159" i="2"/>
  <c r="S249" i="2"/>
  <c r="S92" i="2"/>
  <c r="O163" i="2"/>
  <c r="U163" i="2"/>
  <c r="Q163" i="2" s="1"/>
  <c r="O214" i="2"/>
  <c r="U214" i="2"/>
  <c r="Q214" i="2" s="1"/>
  <c r="O283" i="2"/>
  <c r="U283" i="2"/>
  <c r="Q283" i="2" s="1"/>
  <c r="S51" i="2"/>
  <c r="S143" i="2"/>
  <c r="S82" i="2"/>
  <c r="U37" i="2"/>
  <c r="Q37" i="2" s="1"/>
  <c r="O37" i="2"/>
  <c r="O65" i="2"/>
  <c r="U65" i="2"/>
  <c r="Q65" i="2" s="1"/>
  <c r="S41" i="2"/>
  <c r="S128" i="2"/>
  <c r="O285" i="2"/>
  <c r="U285" i="2"/>
  <c r="Q285" i="2" s="1"/>
  <c r="S21" i="2"/>
  <c r="S299" i="2"/>
  <c r="S183" i="2"/>
  <c r="U229" i="2"/>
  <c r="Q229" i="2" s="1"/>
  <c r="O229" i="2"/>
  <c r="S277" i="2"/>
  <c r="S110" i="2"/>
  <c r="O170" i="2"/>
  <c r="U170" i="2"/>
  <c r="Q170" i="2" s="1"/>
  <c r="U211" i="2"/>
  <c r="Q211" i="2" s="1"/>
  <c r="O211" i="2"/>
  <c r="S62" i="2"/>
  <c r="O259" i="2"/>
  <c r="U259" i="2"/>
  <c r="Q259" i="2" s="1"/>
  <c r="U190" i="2"/>
  <c r="Q190" i="2" s="1"/>
  <c r="O190" i="2"/>
  <c r="S238" i="2"/>
  <c r="S81" i="2"/>
  <c r="S252" i="2"/>
  <c r="S33" i="2"/>
  <c r="U169" i="2"/>
  <c r="Q169" i="2" s="1"/>
  <c r="O169" i="2"/>
  <c r="S107" i="2"/>
  <c r="O127" i="2"/>
  <c r="U127" i="2"/>
  <c r="Q127" i="2" s="1"/>
  <c r="U125" i="2"/>
  <c r="Q125" i="2" s="1"/>
  <c r="O125" i="2"/>
  <c r="S194" i="2"/>
  <c r="O199" i="2"/>
  <c r="U199" i="2"/>
  <c r="Q199" i="2" s="1"/>
  <c r="S269" i="2"/>
  <c r="O250" i="2"/>
  <c r="U250" i="2"/>
  <c r="Q250" i="2" s="1"/>
  <c r="U54" i="2"/>
  <c r="Q54" i="2" s="1"/>
  <c r="O54" i="2"/>
  <c r="O235" i="2"/>
  <c r="U235" i="2"/>
  <c r="Q235" i="2" s="1"/>
  <c r="U174" i="2"/>
  <c r="Q174" i="2" s="1"/>
  <c r="O174" i="2"/>
  <c r="U217" i="2"/>
  <c r="Q217" i="2" s="1"/>
  <c r="O217" i="2"/>
  <c r="S99" i="2"/>
  <c r="O295" i="2"/>
  <c r="U295" i="2"/>
  <c r="Q295" i="2" s="1"/>
  <c r="S172" i="2"/>
  <c r="S162" i="2"/>
  <c r="S226" i="2"/>
  <c r="S46" i="2"/>
  <c r="S137" i="2"/>
  <c r="O271" i="2"/>
  <c r="U271" i="2"/>
  <c r="Q271" i="2" s="1"/>
  <c r="O237" i="2"/>
  <c r="U237" i="2"/>
  <c r="Q237" i="2" s="1"/>
  <c r="S195" i="2"/>
  <c r="S207" i="2"/>
  <c r="S197" i="2"/>
  <c r="S184" i="2"/>
  <c r="U96" i="2"/>
  <c r="Q96" i="2" s="1"/>
  <c r="O96" i="2"/>
  <c r="S192" i="2"/>
  <c r="U216" i="2"/>
  <c r="Q216" i="2" s="1"/>
  <c r="O216" i="2"/>
  <c r="S32" i="2"/>
  <c r="S64" i="2"/>
  <c r="U106" i="2"/>
  <c r="Q106" i="2" s="1"/>
  <c r="O106" i="2"/>
  <c r="S67" i="2"/>
  <c r="U198" i="2"/>
  <c r="Q198" i="2" s="1"/>
  <c r="O198" i="2"/>
  <c r="S55" i="2"/>
  <c r="S90" i="2"/>
  <c r="S86" i="2"/>
  <c r="S155" i="2"/>
  <c r="U290" i="2"/>
  <c r="Q290" i="2" s="1"/>
  <c r="O290" i="2"/>
  <c r="O78" i="2"/>
  <c r="U78" i="2"/>
  <c r="Q78" i="2" s="1"/>
  <c r="S287" i="2"/>
  <c r="O205" i="2"/>
  <c r="U205" i="2"/>
  <c r="Q205" i="2" s="1"/>
  <c r="O123" i="2"/>
  <c r="U123" i="2"/>
  <c r="Q123" i="2" s="1"/>
  <c r="S201" i="2"/>
  <c r="U223" i="2"/>
  <c r="Q223" i="2" s="1"/>
  <c r="O223" i="2"/>
  <c r="U138" i="2"/>
  <c r="Q138" i="2" s="1"/>
  <c r="O138" i="2"/>
  <c r="U24" i="2"/>
  <c r="Q24" i="2" s="1"/>
  <c r="O24" i="2"/>
  <c r="S224" i="2"/>
  <c r="S210" i="2"/>
  <c r="U118" i="2"/>
  <c r="Q118" i="2" s="1"/>
  <c r="O118" i="2"/>
  <c r="O273" i="2"/>
  <c r="U273" i="2"/>
  <c r="Q273" i="2" s="1"/>
  <c r="S266" i="2"/>
  <c r="U74" i="2"/>
  <c r="Q74" i="2" s="1"/>
  <c r="O74" i="2"/>
  <c r="O34" i="2"/>
  <c r="U34" i="2"/>
  <c r="Q34" i="2" s="1"/>
  <c r="S48" i="2"/>
  <c r="S165" i="2"/>
  <c r="S179" i="2"/>
  <c r="U193" i="2"/>
  <c r="Q193" i="2" s="1"/>
  <c r="O193" i="2"/>
  <c r="S286" i="2"/>
  <c r="S40" i="2"/>
  <c r="S245" i="2"/>
  <c r="S176" i="2"/>
  <c r="S228" i="2"/>
  <c r="S253" i="2"/>
  <c r="S156" i="2"/>
  <c r="S124" i="2"/>
  <c r="O136" i="2"/>
  <c r="U136" i="2"/>
  <c r="Q136" i="2" s="1"/>
  <c r="U204" i="2"/>
  <c r="Q204" i="2" s="1"/>
  <c r="O204" i="2"/>
  <c r="O30" i="2"/>
  <c r="U30" i="2"/>
  <c r="Q30" i="2" s="1"/>
  <c r="O88" i="2"/>
  <c r="U88" i="2"/>
  <c r="Q88" i="2" s="1"/>
  <c r="S15" i="2"/>
  <c r="O13" i="2" l="1"/>
  <c r="Q13" i="2" s="1"/>
  <c r="S118" i="2"/>
  <c r="S190" i="2"/>
  <c r="S71" i="2"/>
  <c r="S133" i="2"/>
  <c r="S85" i="2"/>
  <c r="S106" i="2"/>
  <c r="S34" i="2"/>
  <c r="S205" i="2"/>
  <c r="S93" i="2"/>
  <c r="S175" i="2"/>
  <c r="S247" i="2"/>
  <c r="S139" i="2"/>
  <c r="S157" i="2"/>
  <c r="S74" i="2"/>
  <c r="S24" i="2"/>
  <c r="S216" i="2"/>
  <c r="S217" i="2"/>
  <c r="S169" i="2"/>
  <c r="S229" i="2"/>
  <c r="S42" i="2"/>
  <c r="S61" i="2"/>
  <c r="S193" i="2"/>
  <c r="S138" i="2"/>
  <c r="S198" i="2"/>
  <c r="S174" i="2"/>
  <c r="S150" i="2"/>
  <c r="S186" i="2"/>
  <c r="S83" i="2"/>
  <c r="S241" i="2"/>
  <c r="S259" i="2"/>
  <c r="S283" i="2"/>
  <c r="S88" i="2"/>
  <c r="S78" i="2"/>
  <c r="S237" i="2"/>
  <c r="S199" i="2"/>
  <c r="S65" i="2"/>
  <c r="S214" i="2"/>
  <c r="S134" i="2"/>
  <c r="S154" i="2"/>
  <c r="S145" i="2"/>
  <c r="S223" i="2"/>
  <c r="S290" i="2"/>
  <c r="S96" i="2"/>
  <c r="S211" i="2"/>
  <c r="S37" i="2"/>
  <c r="S98" i="2"/>
  <c r="S30" i="2"/>
  <c r="S273" i="2"/>
  <c r="S271" i="2"/>
  <c r="S235" i="2"/>
  <c r="S163" i="2"/>
  <c r="S187" i="2"/>
  <c r="S20" i="2"/>
  <c r="S125" i="2"/>
  <c r="S151" i="2"/>
  <c r="S295" i="2"/>
  <c r="S170" i="2"/>
  <c r="S19" i="2"/>
  <c r="S261" i="2"/>
  <c r="S204" i="2"/>
  <c r="S54" i="2"/>
  <c r="S218" i="2"/>
  <c r="S220" i="2"/>
  <c r="S278" i="2"/>
  <c r="S181" i="2"/>
  <c r="S136" i="2"/>
  <c r="S123" i="2"/>
  <c r="S250" i="2"/>
  <c r="S127" i="2"/>
  <c r="S285" i="2"/>
  <c r="S121" i="2"/>
  <c r="J15" i="3" l="1"/>
  <c r="J13" i="3" s="1"/>
  <c r="J15" i="4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16" i="4"/>
  <c r="J17" i="4"/>
  <c r="J13" i="4" s="1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16" i="2"/>
  <c r="P16" i="2" s="1"/>
  <c r="J17" i="2"/>
  <c r="P17" i="2" s="1"/>
  <c r="J18" i="2"/>
  <c r="P18" i="2" s="1"/>
  <c r="J19" i="2"/>
  <c r="P19" i="2" s="1"/>
  <c r="J20" i="2"/>
  <c r="P20" i="2" s="1"/>
  <c r="J21" i="2"/>
  <c r="P21" i="2" s="1"/>
  <c r="J22" i="2"/>
  <c r="P22" i="2" s="1"/>
  <c r="J23" i="2"/>
  <c r="P23" i="2" s="1"/>
  <c r="J24" i="2"/>
  <c r="P24" i="2" s="1"/>
  <c r="J25" i="2"/>
  <c r="P25" i="2" s="1"/>
  <c r="J26" i="2"/>
  <c r="P26" i="2" s="1"/>
  <c r="J27" i="2"/>
  <c r="P27" i="2" s="1"/>
  <c r="J28" i="2"/>
  <c r="P28" i="2" s="1"/>
  <c r="J29" i="2"/>
  <c r="P29" i="2" s="1"/>
  <c r="J30" i="2"/>
  <c r="P30" i="2" s="1"/>
  <c r="J31" i="2"/>
  <c r="P31" i="2" s="1"/>
  <c r="J32" i="2"/>
  <c r="P32" i="2" s="1"/>
  <c r="J33" i="2"/>
  <c r="P33" i="2" s="1"/>
  <c r="J34" i="2"/>
  <c r="P34" i="2" s="1"/>
  <c r="J35" i="2"/>
  <c r="P35" i="2" s="1"/>
  <c r="J36" i="2"/>
  <c r="P36" i="2" s="1"/>
  <c r="J37" i="2"/>
  <c r="P37" i="2" s="1"/>
  <c r="J38" i="2"/>
  <c r="P38" i="2" s="1"/>
  <c r="J39" i="2"/>
  <c r="P39" i="2" s="1"/>
  <c r="J40" i="2"/>
  <c r="P40" i="2" s="1"/>
  <c r="J41" i="2"/>
  <c r="P41" i="2" s="1"/>
  <c r="J42" i="2"/>
  <c r="P42" i="2" s="1"/>
  <c r="J43" i="2"/>
  <c r="P43" i="2" s="1"/>
  <c r="J44" i="2"/>
  <c r="P44" i="2" s="1"/>
  <c r="J45" i="2"/>
  <c r="P45" i="2" s="1"/>
  <c r="J46" i="2"/>
  <c r="P46" i="2" s="1"/>
  <c r="J47" i="2"/>
  <c r="P47" i="2" s="1"/>
  <c r="J48" i="2"/>
  <c r="P48" i="2" s="1"/>
  <c r="J49" i="2"/>
  <c r="P49" i="2" s="1"/>
  <c r="J50" i="2"/>
  <c r="P50" i="2" s="1"/>
  <c r="J51" i="2"/>
  <c r="P51" i="2" s="1"/>
  <c r="J52" i="2"/>
  <c r="P52" i="2" s="1"/>
  <c r="J53" i="2"/>
  <c r="P53" i="2" s="1"/>
  <c r="J54" i="2"/>
  <c r="P54" i="2" s="1"/>
  <c r="J55" i="2"/>
  <c r="P55" i="2" s="1"/>
  <c r="J56" i="2"/>
  <c r="P56" i="2" s="1"/>
  <c r="J57" i="2"/>
  <c r="P57" i="2" s="1"/>
  <c r="J58" i="2"/>
  <c r="P58" i="2" s="1"/>
  <c r="J59" i="2"/>
  <c r="P59" i="2" s="1"/>
  <c r="J60" i="2"/>
  <c r="P60" i="2" s="1"/>
  <c r="J61" i="2"/>
  <c r="P61" i="2" s="1"/>
  <c r="J62" i="2"/>
  <c r="P62" i="2" s="1"/>
  <c r="J63" i="2"/>
  <c r="P63" i="2" s="1"/>
  <c r="J64" i="2"/>
  <c r="P64" i="2" s="1"/>
  <c r="J65" i="2"/>
  <c r="P65" i="2" s="1"/>
  <c r="J66" i="2"/>
  <c r="P66" i="2" s="1"/>
  <c r="J67" i="2"/>
  <c r="P67" i="2" s="1"/>
  <c r="J68" i="2"/>
  <c r="P68" i="2" s="1"/>
  <c r="J69" i="2"/>
  <c r="P69" i="2" s="1"/>
  <c r="J70" i="2"/>
  <c r="P70" i="2" s="1"/>
  <c r="J71" i="2"/>
  <c r="P71" i="2" s="1"/>
  <c r="J72" i="2"/>
  <c r="P72" i="2" s="1"/>
  <c r="J73" i="2"/>
  <c r="P73" i="2" s="1"/>
  <c r="J74" i="2"/>
  <c r="P74" i="2" s="1"/>
  <c r="J75" i="2"/>
  <c r="P75" i="2" s="1"/>
  <c r="J76" i="2"/>
  <c r="P76" i="2" s="1"/>
  <c r="J77" i="2"/>
  <c r="P77" i="2" s="1"/>
  <c r="J78" i="2"/>
  <c r="P78" i="2" s="1"/>
  <c r="J79" i="2"/>
  <c r="P79" i="2" s="1"/>
  <c r="J80" i="2"/>
  <c r="P80" i="2" s="1"/>
  <c r="J81" i="2"/>
  <c r="P81" i="2" s="1"/>
  <c r="J82" i="2"/>
  <c r="P82" i="2" s="1"/>
  <c r="J83" i="2"/>
  <c r="P83" i="2" s="1"/>
  <c r="J84" i="2"/>
  <c r="P84" i="2" s="1"/>
  <c r="J85" i="2"/>
  <c r="P85" i="2" s="1"/>
  <c r="J86" i="2"/>
  <c r="P86" i="2" s="1"/>
  <c r="J87" i="2"/>
  <c r="P87" i="2" s="1"/>
  <c r="J88" i="2"/>
  <c r="P88" i="2" s="1"/>
  <c r="J89" i="2"/>
  <c r="P89" i="2" s="1"/>
  <c r="J90" i="2"/>
  <c r="P90" i="2" s="1"/>
  <c r="J91" i="2"/>
  <c r="P91" i="2" s="1"/>
  <c r="J92" i="2"/>
  <c r="P92" i="2" s="1"/>
  <c r="J93" i="2"/>
  <c r="P93" i="2" s="1"/>
  <c r="J94" i="2"/>
  <c r="P94" i="2" s="1"/>
  <c r="J95" i="2"/>
  <c r="P95" i="2" s="1"/>
  <c r="J96" i="2"/>
  <c r="P96" i="2" s="1"/>
  <c r="J97" i="2"/>
  <c r="P97" i="2" s="1"/>
  <c r="J98" i="2"/>
  <c r="P98" i="2" s="1"/>
  <c r="J99" i="2"/>
  <c r="P99" i="2" s="1"/>
  <c r="J100" i="2"/>
  <c r="P100" i="2" s="1"/>
  <c r="J101" i="2"/>
  <c r="P101" i="2" s="1"/>
  <c r="J102" i="2"/>
  <c r="P102" i="2" s="1"/>
  <c r="J103" i="2"/>
  <c r="P103" i="2" s="1"/>
  <c r="J104" i="2"/>
  <c r="P104" i="2" s="1"/>
  <c r="J105" i="2"/>
  <c r="P105" i="2" s="1"/>
  <c r="J106" i="2"/>
  <c r="P106" i="2" s="1"/>
  <c r="J107" i="2"/>
  <c r="P107" i="2" s="1"/>
  <c r="J108" i="2"/>
  <c r="P108" i="2" s="1"/>
  <c r="J109" i="2"/>
  <c r="P109" i="2" s="1"/>
  <c r="J110" i="2"/>
  <c r="P110" i="2" s="1"/>
  <c r="J111" i="2"/>
  <c r="P111" i="2" s="1"/>
  <c r="J112" i="2"/>
  <c r="P112" i="2" s="1"/>
  <c r="J113" i="2"/>
  <c r="P113" i="2" s="1"/>
  <c r="J114" i="2"/>
  <c r="P114" i="2" s="1"/>
  <c r="J115" i="2"/>
  <c r="P115" i="2" s="1"/>
  <c r="J116" i="2"/>
  <c r="P116" i="2" s="1"/>
  <c r="J117" i="2"/>
  <c r="P117" i="2" s="1"/>
  <c r="J118" i="2"/>
  <c r="P118" i="2" s="1"/>
  <c r="J119" i="2"/>
  <c r="P119" i="2" s="1"/>
  <c r="J120" i="2"/>
  <c r="P120" i="2" s="1"/>
  <c r="J121" i="2"/>
  <c r="P121" i="2" s="1"/>
  <c r="J122" i="2"/>
  <c r="P122" i="2" s="1"/>
  <c r="J123" i="2"/>
  <c r="P123" i="2" s="1"/>
  <c r="J124" i="2"/>
  <c r="P124" i="2" s="1"/>
  <c r="J125" i="2"/>
  <c r="P125" i="2" s="1"/>
  <c r="J126" i="2"/>
  <c r="P126" i="2" s="1"/>
  <c r="J127" i="2"/>
  <c r="P127" i="2" s="1"/>
  <c r="J128" i="2"/>
  <c r="P128" i="2" s="1"/>
  <c r="J129" i="2"/>
  <c r="P129" i="2" s="1"/>
  <c r="J130" i="2"/>
  <c r="P130" i="2" s="1"/>
  <c r="J131" i="2"/>
  <c r="P131" i="2" s="1"/>
  <c r="J132" i="2"/>
  <c r="P132" i="2" s="1"/>
  <c r="J133" i="2"/>
  <c r="P133" i="2" s="1"/>
  <c r="J134" i="2"/>
  <c r="P134" i="2" s="1"/>
  <c r="J135" i="2"/>
  <c r="P135" i="2" s="1"/>
  <c r="J136" i="2"/>
  <c r="P136" i="2" s="1"/>
  <c r="J137" i="2"/>
  <c r="P137" i="2" s="1"/>
  <c r="J138" i="2"/>
  <c r="P138" i="2" s="1"/>
  <c r="J139" i="2"/>
  <c r="P139" i="2" s="1"/>
  <c r="J140" i="2"/>
  <c r="P140" i="2" s="1"/>
  <c r="J141" i="2"/>
  <c r="P141" i="2" s="1"/>
  <c r="J142" i="2"/>
  <c r="P142" i="2" s="1"/>
  <c r="J143" i="2"/>
  <c r="P143" i="2" s="1"/>
  <c r="J144" i="2"/>
  <c r="P144" i="2" s="1"/>
  <c r="J145" i="2"/>
  <c r="P145" i="2" s="1"/>
  <c r="J146" i="2"/>
  <c r="P146" i="2" s="1"/>
  <c r="J147" i="2"/>
  <c r="P147" i="2" s="1"/>
  <c r="J148" i="2"/>
  <c r="P148" i="2" s="1"/>
  <c r="J149" i="2"/>
  <c r="P149" i="2" s="1"/>
  <c r="J150" i="2"/>
  <c r="P150" i="2" s="1"/>
  <c r="J151" i="2"/>
  <c r="P151" i="2" s="1"/>
  <c r="J152" i="2"/>
  <c r="P152" i="2" s="1"/>
  <c r="J153" i="2"/>
  <c r="P153" i="2" s="1"/>
  <c r="J154" i="2"/>
  <c r="P154" i="2" s="1"/>
  <c r="J155" i="2"/>
  <c r="P155" i="2" s="1"/>
  <c r="J156" i="2"/>
  <c r="P156" i="2" s="1"/>
  <c r="J157" i="2"/>
  <c r="P157" i="2" s="1"/>
  <c r="J158" i="2"/>
  <c r="P158" i="2" s="1"/>
  <c r="J159" i="2"/>
  <c r="P159" i="2" s="1"/>
  <c r="J160" i="2"/>
  <c r="P160" i="2" s="1"/>
  <c r="J161" i="2"/>
  <c r="P161" i="2" s="1"/>
  <c r="J162" i="2"/>
  <c r="P162" i="2" s="1"/>
  <c r="J163" i="2"/>
  <c r="P163" i="2" s="1"/>
  <c r="J164" i="2"/>
  <c r="P164" i="2" s="1"/>
  <c r="J165" i="2"/>
  <c r="P165" i="2" s="1"/>
  <c r="J166" i="2"/>
  <c r="P166" i="2" s="1"/>
  <c r="J167" i="2"/>
  <c r="P167" i="2" s="1"/>
  <c r="J168" i="2"/>
  <c r="P168" i="2" s="1"/>
  <c r="J169" i="2"/>
  <c r="P169" i="2" s="1"/>
  <c r="J170" i="2"/>
  <c r="P170" i="2" s="1"/>
  <c r="J171" i="2"/>
  <c r="P171" i="2" s="1"/>
  <c r="J172" i="2"/>
  <c r="P172" i="2" s="1"/>
  <c r="J173" i="2"/>
  <c r="P173" i="2" s="1"/>
  <c r="J174" i="2"/>
  <c r="P174" i="2" s="1"/>
  <c r="J175" i="2"/>
  <c r="P175" i="2" s="1"/>
  <c r="J176" i="2"/>
  <c r="P176" i="2" s="1"/>
  <c r="J177" i="2"/>
  <c r="P177" i="2" s="1"/>
  <c r="J178" i="2"/>
  <c r="P178" i="2" s="1"/>
  <c r="J179" i="2"/>
  <c r="P179" i="2" s="1"/>
  <c r="J180" i="2"/>
  <c r="P180" i="2" s="1"/>
  <c r="J181" i="2"/>
  <c r="P181" i="2" s="1"/>
  <c r="J182" i="2"/>
  <c r="P182" i="2" s="1"/>
  <c r="J183" i="2"/>
  <c r="P183" i="2" s="1"/>
  <c r="J184" i="2"/>
  <c r="P184" i="2" s="1"/>
  <c r="J185" i="2"/>
  <c r="P185" i="2" s="1"/>
  <c r="J186" i="2"/>
  <c r="P186" i="2" s="1"/>
  <c r="J187" i="2"/>
  <c r="P187" i="2" s="1"/>
  <c r="J188" i="2"/>
  <c r="P188" i="2" s="1"/>
  <c r="J189" i="2"/>
  <c r="P189" i="2" s="1"/>
  <c r="J190" i="2"/>
  <c r="P190" i="2" s="1"/>
  <c r="J191" i="2"/>
  <c r="P191" i="2" s="1"/>
  <c r="J192" i="2"/>
  <c r="P192" i="2" s="1"/>
  <c r="J193" i="2"/>
  <c r="P193" i="2" s="1"/>
  <c r="J194" i="2"/>
  <c r="P194" i="2" s="1"/>
  <c r="J195" i="2"/>
  <c r="P195" i="2" s="1"/>
  <c r="J196" i="2"/>
  <c r="P196" i="2" s="1"/>
  <c r="J197" i="2"/>
  <c r="P197" i="2" s="1"/>
  <c r="J198" i="2"/>
  <c r="P198" i="2" s="1"/>
  <c r="J199" i="2"/>
  <c r="P199" i="2" s="1"/>
  <c r="J200" i="2"/>
  <c r="P200" i="2" s="1"/>
  <c r="J201" i="2"/>
  <c r="P201" i="2" s="1"/>
  <c r="J202" i="2"/>
  <c r="P202" i="2" s="1"/>
  <c r="J203" i="2"/>
  <c r="P203" i="2" s="1"/>
  <c r="J204" i="2"/>
  <c r="P204" i="2" s="1"/>
  <c r="J205" i="2"/>
  <c r="P205" i="2" s="1"/>
  <c r="J206" i="2"/>
  <c r="P206" i="2" s="1"/>
  <c r="J207" i="2"/>
  <c r="P207" i="2" s="1"/>
  <c r="J208" i="2"/>
  <c r="P208" i="2" s="1"/>
  <c r="J209" i="2"/>
  <c r="P209" i="2" s="1"/>
  <c r="J210" i="2"/>
  <c r="P210" i="2" s="1"/>
  <c r="J211" i="2"/>
  <c r="P211" i="2" s="1"/>
  <c r="J212" i="2"/>
  <c r="P212" i="2" s="1"/>
  <c r="J213" i="2"/>
  <c r="P213" i="2" s="1"/>
  <c r="J214" i="2"/>
  <c r="P214" i="2" s="1"/>
  <c r="J215" i="2"/>
  <c r="P215" i="2" s="1"/>
  <c r="J216" i="2"/>
  <c r="P216" i="2" s="1"/>
  <c r="J217" i="2"/>
  <c r="P217" i="2" s="1"/>
  <c r="J218" i="2"/>
  <c r="P218" i="2" s="1"/>
  <c r="J219" i="2"/>
  <c r="P219" i="2" s="1"/>
  <c r="J220" i="2"/>
  <c r="P220" i="2" s="1"/>
  <c r="J221" i="2"/>
  <c r="P221" i="2" s="1"/>
  <c r="J222" i="2"/>
  <c r="P222" i="2" s="1"/>
  <c r="J223" i="2"/>
  <c r="P223" i="2" s="1"/>
  <c r="J224" i="2"/>
  <c r="P224" i="2" s="1"/>
  <c r="J225" i="2"/>
  <c r="P225" i="2" s="1"/>
  <c r="J226" i="2"/>
  <c r="P226" i="2" s="1"/>
  <c r="J227" i="2"/>
  <c r="P227" i="2" s="1"/>
  <c r="J228" i="2"/>
  <c r="P228" i="2" s="1"/>
  <c r="J229" i="2"/>
  <c r="P229" i="2" s="1"/>
  <c r="J230" i="2"/>
  <c r="P230" i="2" s="1"/>
  <c r="J231" i="2"/>
  <c r="P231" i="2" s="1"/>
  <c r="J232" i="2"/>
  <c r="P232" i="2" s="1"/>
  <c r="J233" i="2"/>
  <c r="P233" i="2" s="1"/>
  <c r="J234" i="2"/>
  <c r="P234" i="2" s="1"/>
  <c r="J235" i="2"/>
  <c r="P235" i="2" s="1"/>
  <c r="J236" i="2"/>
  <c r="P236" i="2" s="1"/>
  <c r="J237" i="2"/>
  <c r="P237" i="2" s="1"/>
  <c r="J238" i="2"/>
  <c r="P238" i="2" s="1"/>
  <c r="J239" i="2"/>
  <c r="P239" i="2" s="1"/>
  <c r="J240" i="2"/>
  <c r="P240" i="2" s="1"/>
  <c r="J241" i="2"/>
  <c r="P241" i="2" s="1"/>
  <c r="J242" i="2"/>
  <c r="P242" i="2" s="1"/>
  <c r="J243" i="2"/>
  <c r="P243" i="2" s="1"/>
  <c r="J244" i="2"/>
  <c r="P244" i="2" s="1"/>
  <c r="J245" i="2"/>
  <c r="P245" i="2" s="1"/>
  <c r="J246" i="2"/>
  <c r="P246" i="2" s="1"/>
  <c r="J247" i="2"/>
  <c r="P247" i="2" s="1"/>
  <c r="J248" i="2"/>
  <c r="P248" i="2" s="1"/>
  <c r="J249" i="2"/>
  <c r="P249" i="2" s="1"/>
  <c r="J250" i="2"/>
  <c r="P250" i="2" s="1"/>
  <c r="J251" i="2"/>
  <c r="P251" i="2" s="1"/>
  <c r="J252" i="2"/>
  <c r="P252" i="2" s="1"/>
  <c r="J253" i="2"/>
  <c r="P253" i="2" s="1"/>
  <c r="J254" i="2"/>
  <c r="P254" i="2" s="1"/>
  <c r="J255" i="2"/>
  <c r="P255" i="2" s="1"/>
  <c r="J256" i="2"/>
  <c r="P256" i="2" s="1"/>
  <c r="J257" i="2"/>
  <c r="P257" i="2" s="1"/>
  <c r="J258" i="2"/>
  <c r="P258" i="2" s="1"/>
  <c r="J259" i="2"/>
  <c r="P259" i="2" s="1"/>
  <c r="J260" i="2"/>
  <c r="P260" i="2" s="1"/>
  <c r="J261" i="2"/>
  <c r="P261" i="2" s="1"/>
  <c r="J262" i="2"/>
  <c r="P262" i="2" s="1"/>
  <c r="J263" i="2"/>
  <c r="P263" i="2" s="1"/>
  <c r="J264" i="2"/>
  <c r="P264" i="2" s="1"/>
  <c r="J265" i="2"/>
  <c r="P265" i="2" s="1"/>
  <c r="J266" i="2"/>
  <c r="P266" i="2" s="1"/>
  <c r="J267" i="2"/>
  <c r="P267" i="2" s="1"/>
  <c r="J268" i="2"/>
  <c r="P268" i="2" s="1"/>
  <c r="J269" i="2"/>
  <c r="P269" i="2" s="1"/>
  <c r="J270" i="2"/>
  <c r="P270" i="2" s="1"/>
  <c r="J271" i="2"/>
  <c r="P271" i="2" s="1"/>
  <c r="J272" i="2"/>
  <c r="P272" i="2" s="1"/>
  <c r="J273" i="2"/>
  <c r="P273" i="2" s="1"/>
  <c r="J274" i="2"/>
  <c r="P274" i="2" s="1"/>
  <c r="J275" i="2"/>
  <c r="P275" i="2" s="1"/>
  <c r="J276" i="2"/>
  <c r="P276" i="2" s="1"/>
  <c r="J277" i="2"/>
  <c r="P277" i="2" s="1"/>
  <c r="J278" i="2"/>
  <c r="P278" i="2" s="1"/>
  <c r="J279" i="2"/>
  <c r="P279" i="2" s="1"/>
  <c r="J280" i="2"/>
  <c r="P280" i="2" s="1"/>
  <c r="J281" i="2"/>
  <c r="P281" i="2" s="1"/>
  <c r="J282" i="2"/>
  <c r="P282" i="2" s="1"/>
  <c r="J283" i="2"/>
  <c r="P283" i="2" s="1"/>
  <c r="J284" i="2"/>
  <c r="P284" i="2" s="1"/>
  <c r="J285" i="2"/>
  <c r="P285" i="2" s="1"/>
  <c r="J286" i="2"/>
  <c r="P286" i="2" s="1"/>
  <c r="J287" i="2"/>
  <c r="P287" i="2" s="1"/>
  <c r="J288" i="2"/>
  <c r="P288" i="2" s="1"/>
  <c r="J289" i="2"/>
  <c r="P289" i="2" s="1"/>
  <c r="J290" i="2"/>
  <c r="P290" i="2" s="1"/>
  <c r="J291" i="2"/>
  <c r="P291" i="2" s="1"/>
  <c r="J292" i="2"/>
  <c r="P292" i="2" s="1"/>
  <c r="J293" i="2"/>
  <c r="P293" i="2" s="1"/>
  <c r="J294" i="2"/>
  <c r="P294" i="2" s="1"/>
  <c r="J295" i="2"/>
  <c r="P295" i="2" s="1"/>
  <c r="J296" i="2"/>
  <c r="P296" i="2" s="1"/>
  <c r="J297" i="2"/>
  <c r="P297" i="2" s="1"/>
  <c r="J298" i="2"/>
  <c r="P298" i="2" s="1"/>
  <c r="J299" i="2"/>
  <c r="P299" i="2" s="1"/>
  <c r="J300" i="2"/>
  <c r="P300" i="2" s="1"/>
  <c r="J301" i="2"/>
  <c r="P301" i="2" s="1"/>
  <c r="J15" i="2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15" i="1"/>
  <c r="J13" i="1" s="1"/>
  <c r="J13" i="2" l="1"/>
  <c r="P15" i="2"/>
</calcChain>
</file>

<file path=xl/sharedStrings.xml><?xml version="1.0" encoding="utf-8"?>
<sst xmlns="http://schemas.openxmlformats.org/spreadsheetml/2006/main" count="15049" uniqueCount="877">
  <si>
    <r>
      <rPr>
        <b/>
        <sz val="14"/>
        <color rgb="FF000000"/>
        <rFont val="Segoe UI Light"/>
        <family val="2"/>
      </rPr>
      <t xml:space="preserve">CÔNG TY TNHH NÔNG SẢN THỰC PHẨM TRẦN GIA
</t>
    </r>
    <r>
      <rPr>
        <sz val="11"/>
        <color rgb="FF000000"/>
        <rFont val="Segoe UI Light"/>
        <family val="2"/>
      </rPr>
      <t xml:space="preserve">HTX: Ấp Lộc Tiến, Xã Mỹ Lộc, Huyện Cần Giuộc, Tỉnh Long An
</t>
    </r>
    <r>
      <rPr>
        <sz val="11"/>
        <color rgb="FF000000"/>
        <rFont val="Segoe UI Light"/>
        <family val="2"/>
      </rPr>
      <t xml:space="preserve">VP: Tòa nhà An Phú Plaza, 117-119 Lý Chính Thắng, P.7. Q.3, TP.HCM
</t>
    </r>
    <r>
      <rPr>
        <sz val="11"/>
        <color rgb="FF000000"/>
        <rFont val="Segoe UI Light"/>
        <family val="2"/>
      </rPr>
      <t xml:space="preserve">Kho sơ chế: 30 Kha Vạn Cân, P. Hiệp Bình Chánh, TP.Thủ Đức, TP.HCM
</t>
    </r>
    <r>
      <rPr>
        <sz val="11"/>
        <color rgb="FF000000"/>
        <rFont val="Segoe UI Light"/>
        <family val="2"/>
      </rPr>
      <t xml:space="preserve">Kho Đà Lạt: 69 Trần Thủ Độ, TT Liên Nghĩa, Huyện Đức Trọng, Tỉnh Lâm Đồng.
</t>
    </r>
    <r>
      <rPr>
        <sz val="11"/>
        <color rgb="FF000000"/>
        <rFont val="Segoe UI Light"/>
        <family val="2"/>
      </rPr>
      <t>Website: rausachtrangia.com - Hotline: 090.245.8081</t>
    </r>
  </si>
  <si>
    <t>CHI TIẾT ĐỐI CHIẾU CÔNG NỢ</t>
  </si>
  <si>
    <t xml:space="preserve">Địa chỉ: </t>
  </si>
  <si>
    <t>Người liên hệ:                                                                                              Email:</t>
  </si>
  <si>
    <t>MÃ ĐƠN HÀNG</t>
  </si>
  <si>
    <t>NGÀY</t>
  </si>
  <si>
    <t>MÃ HÀNG</t>
  </si>
  <si>
    <t>TÊN HÀNG</t>
  </si>
  <si>
    <t>ĐVT</t>
  </si>
  <si>
    <t>ĐƠN GIÁ</t>
  </si>
  <si>
    <t>THÀNH TIỀN</t>
  </si>
  <si>
    <t>GHI CHÚ</t>
  </si>
  <si>
    <t/>
  </si>
  <si>
    <t>Kg</t>
  </si>
  <si>
    <t>I100229</t>
  </si>
  <si>
    <t>Tỏi lột</t>
  </si>
  <si>
    <t>I100074</t>
  </si>
  <si>
    <t>Củ sen</t>
  </si>
  <si>
    <t>I100098</t>
  </si>
  <si>
    <t>Hành lá</t>
  </si>
  <si>
    <t>I100156</t>
  </si>
  <si>
    <t>Ngò rí</t>
  </si>
  <si>
    <t>MÃ KHÁCH HÀNG</t>
  </si>
  <si>
    <t>TÊN KHÁCH HÀNG</t>
  </si>
  <si>
    <t>SỐ LƯỢNG</t>
  </si>
  <si>
    <t>I100060</t>
  </si>
  <si>
    <t>Chanh không hạt</t>
  </si>
  <si>
    <t>I100216</t>
  </si>
  <si>
    <t>Tắc trái</t>
  </si>
  <si>
    <t>I100167</t>
  </si>
  <si>
    <t>Ớt hiểm đỏ</t>
  </si>
  <si>
    <t>I100008</t>
  </si>
  <si>
    <t>Bắp mỹ trái (Loại 1)</t>
  </si>
  <si>
    <t>Trái</t>
  </si>
  <si>
    <t>I100012</t>
  </si>
  <si>
    <t>Bí đỏ hồ lô</t>
  </si>
  <si>
    <t>I100236</t>
  </si>
  <si>
    <t>Nấm đông cô tươi</t>
  </si>
  <si>
    <t>I100237</t>
  </si>
  <si>
    <t>Nấm đùi gà</t>
  </si>
  <si>
    <t>I100634</t>
  </si>
  <si>
    <t>Nấm hải sản (kg)</t>
  </si>
  <si>
    <t>I100240</t>
  </si>
  <si>
    <t>Nấm kim châm tươi</t>
  </si>
  <si>
    <t>I100921</t>
  </si>
  <si>
    <t>Nấm linh chi trắng (kg)</t>
  </si>
  <si>
    <t>I100160</t>
  </si>
  <si>
    <t>Ngò tây</t>
  </si>
  <si>
    <t>I100209</t>
  </si>
  <si>
    <t>Xà lách romain</t>
  </si>
  <si>
    <t>I100479</t>
  </si>
  <si>
    <t>Dưa hấu</t>
  </si>
  <si>
    <t>I100113</t>
  </si>
  <si>
    <t>Húng lũi</t>
  </si>
  <si>
    <t>I100469</t>
  </si>
  <si>
    <t>Cam vàng</t>
  </si>
  <si>
    <t>I100474</t>
  </si>
  <si>
    <t>Chanh Dây</t>
  </si>
  <si>
    <t>I100062</t>
  </si>
  <si>
    <t>Chanh vàng</t>
  </si>
  <si>
    <t>TG-KS01261</t>
  </si>
  <si>
    <t>TIANLONG 06</t>
  </si>
  <si>
    <t>I100018</t>
  </si>
  <si>
    <t>Bó xôi (Nhà Lồng)</t>
  </si>
  <si>
    <t>I100034</t>
  </si>
  <si>
    <t>Cà chua</t>
  </si>
  <si>
    <t>I100051</t>
  </si>
  <si>
    <t>Cải thảo</t>
  </si>
  <si>
    <t>I100067</t>
  </si>
  <si>
    <t>Củ cải trắng (Loại 1)</t>
  </si>
  <si>
    <t>I100125</t>
  </si>
  <si>
    <t>Khoai môn cao</t>
  </si>
  <si>
    <t>I100135</t>
  </si>
  <si>
    <t>Lá chuối</t>
  </si>
  <si>
    <t>I100150</t>
  </si>
  <si>
    <t>Mồng tơi</t>
  </si>
  <si>
    <t>I100217</t>
  </si>
  <si>
    <t>Tần ô</t>
  </si>
  <si>
    <t>I100096</t>
  </si>
  <si>
    <t>Gừng còn vỏ VN</t>
  </si>
  <si>
    <t>I100923</t>
  </si>
  <si>
    <t>Hoa cúc tím</t>
  </si>
  <si>
    <t>Bó</t>
  </si>
  <si>
    <t>TG-KS01259</t>
  </si>
  <si>
    <t>TIANLONG 07</t>
  </si>
  <si>
    <t>TG-KS01266</t>
  </si>
  <si>
    <t>TIANLONG 09</t>
  </si>
  <si>
    <t>I100738</t>
  </si>
  <si>
    <t>Nấm kim châm gói (200g)</t>
  </si>
  <si>
    <t>Gói</t>
  </si>
  <si>
    <t>Tên Khách hàng: TIANLONG 06</t>
  </si>
  <si>
    <t>Tên Khách hàng: TIANLONG 07</t>
  </si>
  <si>
    <t>I100097</t>
  </si>
  <si>
    <t>Củ Gừng</t>
  </si>
  <si>
    <t>TG-KS01269</t>
  </si>
  <si>
    <t>TIANLONG 08</t>
  </si>
  <si>
    <t>Tên Khách hàng: TIANLONG 08</t>
  </si>
  <si>
    <t>Từ ngày 01 tháng 01 đến ngày 15 tháng 01 năm 2026</t>
  </si>
  <si>
    <t>01/01/2026</t>
  </si>
  <si>
    <t>TG-AA20650</t>
  </si>
  <si>
    <t>02/01/2026</t>
  </si>
  <si>
    <t>TG-AA20851</t>
  </si>
  <si>
    <t>I100001</t>
  </si>
  <si>
    <t>Bạc hà</t>
  </si>
  <si>
    <t>03/01/2026</t>
  </si>
  <si>
    <t>TG-AA20958</t>
  </si>
  <si>
    <t>04/01/2026</t>
  </si>
  <si>
    <t>TG-AA21199</t>
  </si>
  <si>
    <t>05/01/2026</t>
  </si>
  <si>
    <t>TG-AA21335</t>
  </si>
  <si>
    <t>06/01/2026</t>
  </si>
  <si>
    <t>TG-AA21466</t>
  </si>
  <si>
    <t>07/01/2026</t>
  </si>
  <si>
    <t>TG-AA21638</t>
  </si>
  <si>
    <t>08/01/2026</t>
  </si>
  <si>
    <t>TG-AA21839</t>
  </si>
  <si>
    <t>09/01/2026</t>
  </si>
  <si>
    <t>TG-AA22126</t>
  </si>
  <si>
    <t>10/01/2026</t>
  </si>
  <si>
    <t>TG-AA22312</t>
  </si>
  <si>
    <t>11/01/2026</t>
  </si>
  <si>
    <t>TG-AA22395</t>
  </si>
  <si>
    <t>TG-AA22497</t>
  </si>
  <si>
    <t>12/01/2026</t>
  </si>
  <si>
    <t>TG-AA22570</t>
  </si>
  <si>
    <t>13/01/2026</t>
  </si>
  <si>
    <t>TG-AA22747</t>
  </si>
  <si>
    <t>TG-AA22861</t>
  </si>
  <si>
    <t>14/01/2026</t>
  </si>
  <si>
    <t>TG-AA22946</t>
  </si>
  <si>
    <t>15/01/2026</t>
  </si>
  <si>
    <t>TG-AA23132</t>
  </si>
  <si>
    <t>TG-AA20651</t>
  </si>
  <si>
    <t>TG-AA20852</t>
  </si>
  <si>
    <t>TG-AA20959</t>
  </si>
  <si>
    <t>TG-AA21200</t>
  </si>
  <si>
    <t>TG-AA21336</t>
  </si>
  <si>
    <t>TG-AA21467</t>
  </si>
  <si>
    <t>TG-AA21639</t>
  </si>
  <si>
    <t>TG-AA21840</t>
  </si>
  <si>
    <t>TG-AA22108</t>
  </si>
  <si>
    <t>TG-AA22140</t>
  </si>
  <si>
    <t>TG-AA22313</t>
  </si>
  <si>
    <t>TG-AA22396</t>
  </si>
  <si>
    <t>TG-AA22561</t>
  </si>
  <si>
    <t>TG-AA22748</t>
  </si>
  <si>
    <t>TG-AA22937</t>
  </si>
  <si>
    <t>TG-AA23133</t>
  </si>
  <si>
    <t>TG-AA20652</t>
  </si>
  <si>
    <t>TG-AA20853</t>
  </si>
  <si>
    <t>TG-AA20960</t>
  </si>
  <si>
    <t>TG-AA21201</t>
  </si>
  <si>
    <t>TG-AA21337</t>
  </si>
  <si>
    <t>TG-AA21432</t>
  </si>
  <si>
    <t>TG-AA21475</t>
  </si>
  <si>
    <t>TG-AA21640</t>
  </si>
  <si>
    <t>TG-AA21841</t>
  </si>
  <si>
    <t>TG-AA22109</t>
  </si>
  <si>
    <t>TG-AA22303</t>
  </si>
  <si>
    <t>TG-AA22397</t>
  </si>
  <si>
    <t>TG-AA22562</t>
  </si>
  <si>
    <t>TG-AA22749</t>
  </si>
  <si>
    <t>TG-AA22938</t>
  </si>
  <si>
    <t>TG-AA23044</t>
  </si>
  <si>
    <t>TG-AA23143</t>
  </si>
  <si>
    <t>TG-AA20653</t>
  </si>
  <si>
    <t>TG-AA20854</t>
  </si>
  <si>
    <t>TG-AA20961</t>
  </si>
  <si>
    <t>TG-AA21202</t>
  </si>
  <si>
    <t>TG-AA21338</t>
  </si>
  <si>
    <t>TG-AA21468</t>
  </si>
  <si>
    <t>TG-AA21641</t>
  </si>
  <si>
    <t>TG-AA21842</t>
  </si>
  <si>
    <t>TG-AA21952</t>
  </si>
  <si>
    <t>TG-AA22121</t>
  </si>
  <si>
    <t>TG-AA22304</t>
  </si>
  <si>
    <t>TG-AA22398</t>
  </si>
  <si>
    <t>TG-AA22492</t>
  </si>
  <si>
    <t>TG-AA22571</t>
  </si>
  <si>
    <t>TG-AA22750</t>
  </si>
  <si>
    <t>TG-AA22939</t>
  </si>
  <si>
    <t>TG-AA23134</t>
  </si>
  <si>
    <t>STT</t>
  </si>
  <si>
    <t>Mã TG</t>
  </si>
  <si>
    <t>Mã hàng</t>
  </si>
  <si>
    <t>Tên mặt hàng</t>
  </si>
  <si>
    <t>Đvt</t>
  </si>
  <si>
    <t>I100258</t>
  </si>
  <si>
    <t>NL430151</t>
  </si>
  <si>
    <t>Bánh canh NV</t>
  </si>
  <si>
    <t>kg</t>
  </si>
  <si>
    <t>I100252</t>
  </si>
  <si>
    <t>NL300002</t>
  </si>
  <si>
    <t xml:space="preserve">Bánh phở </t>
  </si>
  <si>
    <t>I100002</t>
  </si>
  <si>
    <t>NL300003</t>
  </si>
  <si>
    <t>Bắp cải tím</t>
  </si>
  <si>
    <t>I100003</t>
  </si>
  <si>
    <t>NL300004</t>
  </si>
  <si>
    <t>Bắp cải trắng</t>
  </si>
  <si>
    <t>I100010</t>
  </si>
  <si>
    <t>NL300174</t>
  </si>
  <si>
    <t>Bầu</t>
  </si>
  <si>
    <t>NL430005</t>
  </si>
  <si>
    <t>Bầu NV</t>
  </si>
  <si>
    <t>I100017</t>
  </si>
  <si>
    <t>NL430006</t>
  </si>
  <si>
    <t>Bí bao tử NV</t>
  </si>
  <si>
    <t>NL300007</t>
  </si>
  <si>
    <t>Bí đỏ</t>
  </si>
  <si>
    <t>I100016</t>
  </si>
  <si>
    <t>NL300008</t>
  </si>
  <si>
    <t>Bí ngòi</t>
  </si>
  <si>
    <t>NL300009</t>
  </si>
  <si>
    <t>Bí nụ</t>
  </si>
  <si>
    <t>I100011</t>
  </si>
  <si>
    <t>NL430009</t>
  </si>
  <si>
    <t>Bí xanh NV</t>
  </si>
  <si>
    <t>I100025</t>
  </si>
  <si>
    <t>NL300015</t>
  </si>
  <si>
    <t>Bông cải xanh Baby</t>
  </si>
  <si>
    <t>I100031</t>
  </si>
  <si>
    <t>NL430183</t>
  </si>
  <si>
    <t xml:space="preserve">Bông súng </t>
  </si>
  <si>
    <t>I100255</t>
  </si>
  <si>
    <t>NL300012</t>
  </si>
  <si>
    <t>Bún, bún bò</t>
  </si>
  <si>
    <t>I100253</t>
  </si>
  <si>
    <t>NL300189</t>
  </si>
  <si>
    <t>bánh ướt, bún lớn</t>
  </si>
  <si>
    <t>I100249</t>
  </si>
  <si>
    <t>NL430212</t>
  </si>
  <si>
    <t xml:space="preserve">bánh hỏi </t>
  </si>
  <si>
    <t>I100009</t>
  </si>
  <si>
    <t>NL430200</t>
  </si>
  <si>
    <t>bắp non nv</t>
  </si>
  <si>
    <t>NL300013</t>
  </si>
  <si>
    <t>I100033</t>
  </si>
  <si>
    <t>NL300014</t>
  </si>
  <si>
    <t>Cà chua bi</t>
  </si>
  <si>
    <t>I100581</t>
  </si>
  <si>
    <t>NL410007</t>
  </si>
  <si>
    <t>Cá cơm NV</t>
  </si>
  <si>
    <t>I100412</t>
  </si>
  <si>
    <t>NL410008</t>
  </si>
  <si>
    <t>Cá diêu hồng NV</t>
  </si>
  <si>
    <t>I100413</t>
  </si>
  <si>
    <t>NL430145</t>
  </si>
  <si>
    <t>Cá hấp (NV)</t>
  </si>
  <si>
    <t>I100616</t>
  </si>
  <si>
    <t>NL410009</t>
  </si>
  <si>
    <t>Cá hú NV</t>
  </si>
  <si>
    <t>I100416</t>
  </si>
  <si>
    <t>NL410116</t>
  </si>
  <si>
    <t>Cá hường NV</t>
  </si>
  <si>
    <t>I100605</t>
  </si>
  <si>
    <t>NL410117</t>
  </si>
  <si>
    <t>Cá mó NV</t>
  </si>
  <si>
    <t>I100421</t>
  </si>
  <si>
    <t>NL410011</t>
  </si>
  <si>
    <t>Cá ngừ NV</t>
  </si>
  <si>
    <t>I100415</t>
  </si>
  <si>
    <t>NL410013</t>
  </si>
  <si>
    <t>Cá nục NV</t>
  </si>
  <si>
    <t>I100036</t>
  </si>
  <si>
    <t>NL430025</t>
  </si>
  <si>
    <t>Cà pháo NV sống</t>
  </si>
  <si>
    <t>I100037</t>
  </si>
  <si>
    <t>NL430184</t>
  </si>
  <si>
    <t>Cà pháo NV muối</t>
  </si>
  <si>
    <t>I100418</t>
  </si>
  <si>
    <t>NL410015</t>
  </si>
  <si>
    <t>Cá quả NV ( cá lóc)</t>
  </si>
  <si>
    <t>I100039</t>
  </si>
  <si>
    <t>NL300027</t>
  </si>
  <si>
    <t>Cà rốt</t>
  </si>
  <si>
    <t>I100040</t>
  </si>
  <si>
    <t>NL300028</t>
  </si>
  <si>
    <t>Cà rốt baby</t>
  </si>
  <si>
    <t>I100042</t>
  </si>
  <si>
    <t>NL430027</t>
  </si>
  <si>
    <t>Cà tím NV</t>
  </si>
  <si>
    <t>I100410</t>
  </si>
  <si>
    <t>NL410018</t>
  </si>
  <si>
    <t>Cá tra NV ( Cá basa NV )</t>
  </si>
  <si>
    <t>I101020</t>
  </si>
  <si>
    <t>NL410020</t>
  </si>
  <si>
    <t>Cá trê NV</t>
  </si>
  <si>
    <t>I100052</t>
  </si>
  <si>
    <t>NL300017</t>
  </si>
  <si>
    <t>Cải chíp</t>
  </si>
  <si>
    <t>I100044</t>
  </si>
  <si>
    <t>NL300155</t>
  </si>
  <si>
    <t>Cải chua nguyên cây</t>
  </si>
  <si>
    <t>NL300018</t>
  </si>
  <si>
    <t>Cải cúc</t>
  </si>
  <si>
    <t>I100049</t>
  </si>
  <si>
    <t>NL300019</t>
  </si>
  <si>
    <t>Cải làn</t>
  </si>
  <si>
    <t>I100045</t>
  </si>
  <si>
    <t>NL300020</t>
  </si>
  <si>
    <t>Cải ngồng</t>
  </si>
  <si>
    <t>I100047</t>
  </si>
  <si>
    <t>NL300021</t>
  </si>
  <si>
    <t>Cải ngọt</t>
  </si>
  <si>
    <t>NL300022</t>
  </si>
  <si>
    <t>I100580</t>
  </si>
  <si>
    <t>NL300023</t>
  </si>
  <si>
    <t>Cải xanh</t>
  </si>
  <si>
    <t>I100468</t>
  </si>
  <si>
    <t>NL600002</t>
  </si>
  <si>
    <t>Cam</t>
  </si>
  <si>
    <t>NL600067</t>
  </si>
  <si>
    <t xml:space="preserve">cam vàng </t>
  </si>
  <si>
    <t>I101102</t>
  </si>
  <si>
    <t>NL410022</t>
  </si>
  <si>
    <t>Chả cá basa</t>
  </si>
  <si>
    <t>I100429</t>
  </si>
  <si>
    <t>Chả cá NV</t>
  </si>
  <si>
    <t>I100431</t>
  </si>
  <si>
    <t>NL410024</t>
  </si>
  <si>
    <t>Chả lụa NV</t>
  </si>
  <si>
    <t>NL300029</t>
  </si>
  <si>
    <t>Chanh</t>
  </si>
  <si>
    <t>NL600068</t>
  </si>
  <si>
    <t>chanh vàng</t>
  </si>
  <si>
    <t>NL300030</t>
  </si>
  <si>
    <t>Chanh dây</t>
  </si>
  <si>
    <t>I100319</t>
  </si>
  <si>
    <t>NL200069</t>
  </si>
  <si>
    <t>chao trắng nv</t>
  </si>
  <si>
    <t>lọ</t>
  </si>
  <si>
    <t>I100475</t>
  </si>
  <si>
    <t>NL300032</t>
  </si>
  <si>
    <t>Chuối xanh</t>
  </si>
  <si>
    <t>NL300033</t>
  </si>
  <si>
    <t>Củ cải</t>
  </si>
  <si>
    <t>I100064</t>
  </si>
  <si>
    <t>NL300034</t>
  </si>
  <si>
    <t>Củ cải đỏ</t>
  </si>
  <si>
    <t>I100066</t>
  </si>
  <si>
    <t>NL430030</t>
  </si>
  <si>
    <t>Củ cải muối nv</t>
  </si>
  <si>
    <t>I100073</t>
  </si>
  <si>
    <t>NL600003</t>
  </si>
  <si>
    <t>Củ Đậu (Củ Sắn)</t>
  </si>
  <si>
    <t>NL300203</t>
  </si>
  <si>
    <t>Cải bó xôi</t>
  </si>
  <si>
    <t>I100387</t>
  </si>
  <si>
    <t>NL410217</t>
  </si>
  <si>
    <t xml:space="preserve">Củ từ </t>
  </si>
  <si>
    <t>I100068</t>
  </si>
  <si>
    <t>NL430033</t>
  </si>
  <si>
    <t>Củ dền NV</t>
  </si>
  <si>
    <t>I100072</t>
  </si>
  <si>
    <t>NL300035</t>
  </si>
  <si>
    <t>Củ riềng</t>
  </si>
  <si>
    <t>NL300036</t>
  </si>
  <si>
    <t>I100078</t>
  </si>
  <si>
    <t>đậu cô ve trắng</t>
  </si>
  <si>
    <t>I100589</t>
  </si>
  <si>
    <t>NL410012</t>
  </si>
  <si>
    <t>cánh gà</t>
  </si>
  <si>
    <t>I100600</t>
  </si>
  <si>
    <t>NL300047</t>
  </si>
  <si>
    <t>dứa nguyên vỏ</t>
  </si>
  <si>
    <t>trái</t>
  </si>
  <si>
    <t>I100264</t>
  </si>
  <si>
    <t>NL430157</t>
  </si>
  <si>
    <t>Da hoành thánh NV</t>
  </si>
  <si>
    <t>I100075</t>
  </si>
  <si>
    <t>NL300038</t>
  </si>
  <si>
    <t>Đậu bắp</t>
  </si>
  <si>
    <t>I100077</t>
  </si>
  <si>
    <t>NL300156</t>
  </si>
  <si>
    <t>Đậu cove Pháp</t>
  </si>
  <si>
    <t>I100079</t>
  </si>
  <si>
    <t>NL430038</t>
  </si>
  <si>
    <t>Đậu đũa NV</t>
  </si>
  <si>
    <t>I100405</t>
  </si>
  <si>
    <t>NL200314</t>
  </si>
  <si>
    <t>Đậu Hà Lan</t>
  </si>
  <si>
    <t>I100883</t>
  </si>
  <si>
    <t>NL300041</t>
  </si>
  <si>
    <t>Đậu hủ non trứng</t>
  </si>
  <si>
    <t>Cái</t>
  </si>
  <si>
    <t>I100489</t>
  </si>
  <si>
    <t>NL300081</t>
  </si>
  <si>
    <t>Lê vàng</t>
  </si>
  <si>
    <t>I100201</t>
  </si>
  <si>
    <t>NL300194</t>
  </si>
  <si>
    <t>Rau cải wasabi (Xà Lách Frise)</t>
  </si>
  <si>
    <t>I100466</t>
  </si>
  <si>
    <t>NL300192</t>
  </si>
  <si>
    <t>Thanh long ruột đỏ</t>
  </si>
  <si>
    <t>I100511</t>
  </si>
  <si>
    <t>NL300150</t>
  </si>
  <si>
    <t>Xoài xanh</t>
  </si>
  <si>
    <t>I100260</t>
  </si>
  <si>
    <t>NL300037</t>
  </si>
  <si>
    <t>Đậu phụ trắng, chiên</t>
  </si>
  <si>
    <t>miếng</t>
  </si>
  <si>
    <t>I100573</t>
  </si>
  <si>
    <t>NL300082</t>
  </si>
  <si>
    <t>Đinh lăng</t>
  </si>
  <si>
    <t>NL430043</t>
  </si>
  <si>
    <t>Dọc mùng NV</t>
  </si>
  <si>
    <t>I100519</t>
  </si>
  <si>
    <t>NL300043</t>
  </si>
  <si>
    <t>Đọt cóc</t>
  </si>
  <si>
    <t>I100536</t>
  </si>
  <si>
    <t>NL300044</t>
  </si>
  <si>
    <t>Đọt mọt ( Lá trăm )</t>
  </si>
  <si>
    <t>I100088</t>
  </si>
  <si>
    <t>NL300049</t>
  </si>
  <si>
    <t>Đu đủ xanh</t>
  </si>
  <si>
    <t>I100087</t>
  </si>
  <si>
    <t>NL430050</t>
  </si>
  <si>
    <t xml:space="preserve">Đu đủ NV </t>
  </si>
  <si>
    <t>I100326</t>
  </si>
  <si>
    <t>NL200126</t>
  </si>
  <si>
    <t>lạc sống</t>
  </si>
  <si>
    <t>NL430045</t>
  </si>
  <si>
    <t>Dưa chua NV</t>
  </si>
  <si>
    <t>I100089</t>
  </si>
  <si>
    <t>NL300048</t>
  </si>
  <si>
    <t>Dưa chuột</t>
  </si>
  <si>
    <t>NL600004</t>
  </si>
  <si>
    <t>I100576</t>
  </si>
  <si>
    <t>NL410034</t>
  </si>
  <si>
    <t>Đùi gà NV</t>
  </si>
  <si>
    <t>I100434</t>
  </si>
  <si>
    <t>NL410036</t>
  </si>
  <si>
    <t>Ếch NV</t>
  </si>
  <si>
    <t>I100435</t>
  </si>
  <si>
    <t>NL410121</t>
  </si>
  <si>
    <t>Gà góc tư</t>
  </si>
  <si>
    <t>I100094</t>
  </si>
  <si>
    <t>NL430051</t>
  </si>
  <si>
    <t>Giá đỗ NV</t>
  </si>
  <si>
    <t>I100617</t>
  </si>
  <si>
    <t>NL300052</t>
  </si>
  <si>
    <t>Giềng xay</t>
  </si>
  <si>
    <t>NL300053</t>
  </si>
  <si>
    <t>Gừng ta</t>
  </si>
  <si>
    <t>NL300054</t>
  </si>
  <si>
    <t>Gừng tàu</t>
  </si>
  <si>
    <t>I100730</t>
  </si>
  <si>
    <t>NL300055</t>
  </si>
  <si>
    <t>Hành bóc</t>
  </si>
  <si>
    <t>NL300058</t>
  </si>
  <si>
    <t>I100099</t>
  </si>
  <si>
    <t>NL300061</t>
  </si>
  <si>
    <t>Hành paro</t>
  </si>
  <si>
    <t>I100101</t>
  </si>
  <si>
    <t>NL300059</t>
  </si>
  <si>
    <t>Hành tây</t>
  </si>
  <si>
    <t>I100103</t>
  </si>
  <si>
    <t>NL300057</t>
  </si>
  <si>
    <t>hành khô</t>
  </si>
  <si>
    <t>I100104</t>
  </si>
  <si>
    <t>NL430057</t>
  </si>
  <si>
    <t>Hành tím lột vỏ TQ</t>
  </si>
  <si>
    <t>I100107</t>
  </si>
  <si>
    <t>Hành tím VN lột vỏ</t>
  </si>
  <si>
    <t>I100004</t>
  </si>
  <si>
    <t>NL300060</t>
  </si>
  <si>
    <t>Hoa chuối đã thái</t>
  </si>
  <si>
    <t>NL300062</t>
  </si>
  <si>
    <t>Húng Bạc Hà</t>
  </si>
  <si>
    <t>I100112</t>
  </si>
  <si>
    <t>NL300063</t>
  </si>
  <si>
    <t>Húng cây (Rau thơm)</t>
  </si>
  <si>
    <t>I100115</t>
  </si>
  <si>
    <t>NL430188</t>
  </si>
  <si>
    <t>kèo nèo</t>
  </si>
  <si>
    <t>I100116</t>
  </si>
  <si>
    <t>NL300068</t>
  </si>
  <si>
    <t>Khế</t>
  </si>
  <si>
    <t>I100121</t>
  </si>
  <si>
    <t>NL300070</t>
  </si>
  <si>
    <t>Khoai lang Nhật</t>
  </si>
  <si>
    <t>I100354</t>
  </si>
  <si>
    <t>NL410057</t>
  </si>
  <si>
    <t xml:space="preserve">Mắm cá linh </t>
  </si>
  <si>
    <t>I100355</t>
  </si>
  <si>
    <t>NL410219</t>
  </si>
  <si>
    <t>Mắm cá sặc</t>
  </si>
  <si>
    <t>I100124</t>
  </si>
  <si>
    <t>NL430065</t>
  </si>
  <si>
    <t>Khoai mỡ NV</t>
  </si>
  <si>
    <t>I100126</t>
  </si>
  <si>
    <t>NL430066</t>
  </si>
  <si>
    <t>Khoai sọ nv</t>
  </si>
  <si>
    <t>I100128</t>
  </si>
  <si>
    <t>NL430067</t>
  </si>
  <si>
    <t>Khoai tây DL NV</t>
  </si>
  <si>
    <t>I100181</t>
  </si>
  <si>
    <t>NL300072</t>
  </si>
  <si>
    <t>Kinh giới</t>
  </si>
  <si>
    <t>I100133</t>
  </si>
  <si>
    <t>NL300073</t>
  </si>
  <si>
    <t>Lá chanh</t>
  </si>
  <si>
    <t>NL300074</t>
  </si>
  <si>
    <t>I100136</t>
  </si>
  <si>
    <t>NL300184</t>
  </si>
  <si>
    <t>lá dứa</t>
  </si>
  <si>
    <t>I100683</t>
  </si>
  <si>
    <t>NL300206</t>
  </si>
  <si>
    <t>lá cách</t>
  </si>
  <si>
    <t>I100526</t>
  </si>
  <si>
    <t>NL300173</t>
  </si>
  <si>
    <t>Lá giang</t>
  </si>
  <si>
    <t>I100111</t>
  </si>
  <si>
    <t>NL300076</t>
  </si>
  <si>
    <t>Lá hẹ</t>
  </si>
  <si>
    <t>I100196</t>
  </si>
  <si>
    <t>NL300066</t>
  </si>
  <si>
    <t>Lá hương thảo tươi</t>
  </si>
  <si>
    <t>I100139</t>
  </si>
  <si>
    <t>NL300077</t>
  </si>
  <si>
    <t>Lá lốt (có cuống)</t>
  </si>
  <si>
    <t>I100454</t>
  </si>
  <si>
    <t>NL300078</t>
  </si>
  <si>
    <t>Lá móc mật</t>
  </si>
  <si>
    <t>I100132</t>
  </si>
  <si>
    <t>NL300080</t>
  </si>
  <si>
    <t>Lá vừng Hàn Quốc - Lá kê nhíp</t>
  </si>
  <si>
    <t>I100484</t>
  </si>
  <si>
    <t>NL300218</t>
  </si>
  <si>
    <t>hoa cúc ( decor)</t>
  </si>
  <si>
    <t xml:space="preserve">bó </t>
  </si>
  <si>
    <t>I100565</t>
  </si>
  <si>
    <t>NL410042</t>
  </si>
  <si>
    <t>gà nhân viên</t>
  </si>
  <si>
    <t>NL430061</t>
  </si>
  <si>
    <t>húng chó</t>
  </si>
  <si>
    <t>NL410099</t>
  </si>
  <si>
    <t>tim gà</t>
  </si>
  <si>
    <t>NL410051</t>
  </si>
  <si>
    <t xml:space="preserve">lòng già </t>
  </si>
  <si>
    <t>I100604</t>
  </si>
  <si>
    <t>NL410053</t>
  </si>
  <si>
    <t>Lòng mề gà NV</t>
  </si>
  <si>
    <t>I100145</t>
  </si>
  <si>
    <t>NL430082</t>
  </si>
  <si>
    <t>Măng củ NV</t>
  </si>
  <si>
    <t>I100143</t>
  </si>
  <si>
    <t>NL430083</t>
  </si>
  <si>
    <t>Măng lá NV</t>
  </si>
  <si>
    <t>I100359</t>
  </si>
  <si>
    <t>NL430081</t>
  </si>
  <si>
    <t>Mắm tôm</t>
  </si>
  <si>
    <t>I100358</t>
  </si>
  <si>
    <t>NL430080</t>
  </si>
  <si>
    <t>Mắm ruốc</t>
  </si>
  <si>
    <t>I100761</t>
  </si>
  <si>
    <t>NL300175</t>
  </si>
  <si>
    <t>Mẻ chua</t>
  </si>
  <si>
    <t>I100147</t>
  </si>
  <si>
    <t>NL420028</t>
  </si>
  <si>
    <t>Me vàng NV</t>
  </si>
  <si>
    <t>NL300084</t>
  </si>
  <si>
    <t>Mồng tơi nhặt</t>
  </si>
  <si>
    <t>NL300085</t>
  </si>
  <si>
    <t>Mùi ta ( Ngò rí )</t>
  </si>
  <si>
    <t>I100243</t>
  </si>
  <si>
    <t>NL420030</t>
  </si>
  <si>
    <t>Mộc nhĩ NV</t>
  </si>
  <si>
    <t>I100154</t>
  </si>
  <si>
    <t>NL300086</t>
  </si>
  <si>
    <t>Mùi tàu ( Ngò gai )</t>
  </si>
  <si>
    <t>I100118</t>
  </si>
  <si>
    <t>NL430092</t>
  </si>
  <si>
    <t>Mướp đắng NV ( Khổ qua NV )</t>
  </si>
  <si>
    <t>I100151</t>
  </si>
  <si>
    <t>NL300088</t>
  </si>
  <si>
    <t>Mướp hương</t>
  </si>
  <si>
    <t>NL300090</t>
  </si>
  <si>
    <t>Nấm đông cô</t>
  </si>
  <si>
    <t>NL300091</t>
  </si>
  <si>
    <t>I100650</t>
  </si>
  <si>
    <t>NL300092</t>
  </si>
  <si>
    <t>Nấm đùi gà baby</t>
  </si>
  <si>
    <t>NL300094</t>
  </si>
  <si>
    <t>Nấm hải sản</t>
  </si>
  <si>
    <t>NL300096</t>
  </si>
  <si>
    <t>I100635</t>
  </si>
  <si>
    <t>NL300097</t>
  </si>
  <si>
    <t>Nấm Linh Chi nâu</t>
  </si>
  <si>
    <t>NL300098</t>
  </si>
  <si>
    <t>Nấm Linh Chi trắng</t>
  </si>
  <si>
    <t>I100532</t>
  </si>
  <si>
    <t>NL300100</t>
  </si>
  <si>
    <t>Nấm mỡ</t>
  </si>
  <si>
    <t>I100733</t>
  </si>
  <si>
    <t>NL300158</t>
  </si>
  <si>
    <t>Nấm mỡ đen</t>
  </si>
  <si>
    <t>I100970</t>
  </si>
  <si>
    <t>NL300101</t>
  </si>
  <si>
    <t>Nấm Mối</t>
  </si>
  <si>
    <t>I100245</t>
  </si>
  <si>
    <t>NL430098</t>
  </si>
  <si>
    <t>Nấm Rơm NV</t>
  </si>
  <si>
    <t>I100235</t>
  </si>
  <si>
    <t>NL300102</t>
  </si>
  <si>
    <t>Nấm sò nâu</t>
  </si>
  <si>
    <t>I100234</t>
  </si>
  <si>
    <t>NL300103</t>
  </si>
  <si>
    <t>Nấm sò trắng</t>
  </si>
  <si>
    <t>I100464</t>
  </si>
  <si>
    <t>NL300104</t>
  </si>
  <si>
    <t>Ngải cứu</t>
  </si>
  <si>
    <t>I100153</t>
  </si>
  <si>
    <t>NL300105</t>
  </si>
  <si>
    <t>Nghệ</t>
  </si>
  <si>
    <t>NL300107</t>
  </si>
  <si>
    <t>Ngô ngọt</t>
  </si>
  <si>
    <t>I100157</t>
  </si>
  <si>
    <t>NL300171</t>
  </si>
  <si>
    <t>Ngó sen</t>
  </si>
  <si>
    <t>I100530</t>
  </si>
  <si>
    <t>NL600006</t>
  </si>
  <si>
    <t>Ổi (Tráng miệng)</t>
  </si>
  <si>
    <t>I100164</t>
  </si>
  <si>
    <t>NL300112</t>
  </si>
  <si>
    <t>Ớt đỏ Đà Lạt</t>
  </si>
  <si>
    <t>NL300113</t>
  </si>
  <si>
    <t>Ớt hiểm đỏ, chỉ thiên</t>
  </si>
  <si>
    <t>I100168</t>
  </si>
  <si>
    <t>NL300111</t>
  </si>
  <si>
    <t>Ớt hiểm xanh</t>
  </si>
  <si>
    <t>I101021</t>
  </si>
  <si>
    <t>NL100065</t>
  </si>
  <si>
    <t>Ruột ốc</t>
  </si>
  <si>
    <t>I100424</t>
  </si>
  <si>
    <t>NL410218</t>
  </si>
  <si>
    <t xml:space="preserve">cá thu nhật </t>
  </si>
  <si>
    <t>I100085</t>
  </si>
  <si>
    <t>NL430119</t>
  </si>
  <si>
    <t>rau lang</t>
  </si>
  <si>
    <t>I100169</t>
  </si>
  <si>
    <t>Ớt hiểm xay</t>
  </si>
  <si>
    <t>I100171</t>
  </si>
  <si>
    <t>NL300116</t>
  </si>
  <si>
    <t>Ớt sừng xanh,đỏ</t>
  </si>
  <si>
    <t>I100165</t>
  </si>
  <si>
    <t>NL300152</t>
  </si>
  <si>
    <t>Ớt vàng Đà Lạt</t>
  </si>
  <si>
    <t>I100166</t>
  </si>
  <si>
    <t>NL300153</t>
  </si>
  <si>
    <t>Ớt xanh Đà Lạt</t>
  </si>
  <si>
    <t>NL300119</t>
  </si>
  <si>
    <t>Quất ( Tắc trái )</t>
  </si>
  <si>
    <t>I100518</t>
  </si>
  <si>
    <t>NL300120</t>
  </si>
  <si>
    <t>Quế vị</t>
  </si>
  <si>
    <t>I100174</t>
  </si>
  <si>
    <t>NL430122</t>
  </si>
  <si>
    <t>Rau ngót NV</t>
  </si>
  <si>
    <t>I100081</t>
  </si>
  <si>
    <t>NL430041</t>
  </si>
  <si>
    <t xml:space="preserve">Đậu rồng NV </t>
  </si>
  <si>
    <t>I100433</t>
  </si>
  <si>
    <t>NL410107</t>
  </si>
  <si>
    <t xml:space="preserve">ức gà </t>
  </si>
  <si>
    <t>I100056</t>
  </si>
  <si>
    <t>NL300172</t>
  </si>
  <si>
    <t>Rau Cần Tàu</t>
  </si>
  <si>
    <t>I100057</t>
  </si>
  <si>
    <t>NL300025</t>
  </si>
  <si>
    <t>Rau cần tây</t>
  </si>
  <si>
    <t>I100175</t>
  </si>
  <si>
    <t>NL300122</t>
  </si>
  <si>
    <t>Rau càng cua</t>
  </si>
  <si>
    <t>I100222</t>
  </si>
  <si>
    <t>NL300141</t>
  </si>
  <si>
    <t>Tiêu xanh</t>
  </si>
  <si>
    <t>I100259</t>
  </si>
  <si>
    <t>BSTAKN009</t>
  </si>
  <si>
    <t>Đậu hũ chiên NV</t>
  </si>
  <si>
    <t>I100043</t>
  </si>
  <si>
    <t>NL430013</t>
  </si>
  <si>
    <t>Cải bẹ xanh có gốc</t>
  </si>
  <si>
    <t>I100233</t>
  </si>
  <si>
    <t>NL100100</t>
  </si>
  <si>
    <t>Trứng gà CP</t>
  </si>
  <si>
    <t>vỉ</t>
  </si>
  <si>
    <t>I100186</t>
  </si>
  <si>
    <t xml:space="preserve">NL430090 </t>
  </si>
  <si>
    <t xml:space="preserve">rau muống lá </t>
  </si>
  <si>
    <t>I100114</t>
  </si>
  <si>
    <t>NL420039</t>
  </si>
  <si>
    <t>Quế NV</t>
  </si>
  <si>
    <t>I100176</t>
  </si>
  <si>
    <t>NL300123</t>
  </si>
  <si>
    <t>rau đắng</t>
  </si>
  <si>
    <t>I100178</t>
  </si>
  <si>
    <t>NL300124</t>
  </si>
  <si>
    <t>Rau Dền đỏ, trắng</t>
  </si>
  <si>
    <t>I100626</t>
  </si>
  <si>
    <t>NL300125</t>
  </si>
  <si>
    <t>Rau má NV</t>
  </si>
  <si>
    <t>NL430120</t>
  </si>
  <si>
    <t>NL300126</t>
  </si>
  <si>
    <t>Rau mùi tây</t>
  </si>
  <si>
    <t>I100183</t>
  </si>
  <si>
    <t>NL300087</t>
  </si>
  <si>
    <t>Rau muống chẻ</t>
  </si>
  <si>
    <t>I100184</t>
  </si>
  <si>
    <t>NL300127</t>
  </si>
  <si>
    <t>Rau muống cọng</t>
  </si>
  <si>
    <t>NL430090</t>
  </si>
  <si>
    <t>I100155</t>
  </si>
  <si>
    <t>NL300128</t>
  </si>
  <si>
    <t>Rau ngổ</t>
  </si>
  <si>
    <t>I100189</t>
  </si>
  <si>
    <t>NL300121</t>
  </si>
  <si>
    <t>Rau răm</t>
  </si>
  <si>
    <t>I100198</t>
  </si>
  <si>
    <t>NL300132</t>
  </si>
  <si>
    <t>Sả</t>
  </si>
  <si>
    <t>I100199</t>
  </si>
  <si>
    <t>NL300133</t>
  </si>
  <si>
    <t>Sả xay</t>
  </si>
  <si>
    <t>I100375</t>
  </si>
  <si>
    <t>NL300162</t>
  </si>
  <si>
    <t xml:space="preserve">sao nhái </t>
  </si>
  <si>
    <t>I100214</t>
  </si>
  <si>
    <t>NL300138</t>
  </si>
  <si>
    <t>Su su quả</t>
  </si>
  <si>
    <t>I100024</t>
  </si>
  <si>
    <t>NL300137</t>
  </si>
  <si>
    <t>Súp lơ xanh</t>
  </si>
  <si>
    <t>I100022</t>
  </si>
  <si>
    <t>NL430077</t>
  </si>
  <si>
    <t>Súp lơ trắng NV</t>
  </si>
  <si>
    <t>I100218</t>
  </si>
  <si>
    <t>NL300214</t>
  </si>
  <si>
    <t>thân chuối bào</t>
  </si>
  <si>
    <t>I100210</t>
  </si>
  <si>
    <t>NL430022</t>
  </si>
  <si>
    <t>Cải xoong NV</t>
  </si>
  <si>
    <t>I100213</t>
  </si>
  <si>
    <t>NL430131</t>
  </si>
  <si>
    <t>su hào NV</t>
  </si>
  <si>
    <t>I100180</t>
  </si>
  <si>
    <t>NL430042</t>
  </si>
  <si>
    <t>diếp cá NV</t>
  </si>
  <si>
    <t>I101106</t>
  </si>
  <si>
    <t>NL600042</t>
  </si>
  <si>
    <t xml:space="preserve"> táo quả</t>
  </si>
  <si>
    <t>I100310</t>
  </si>
  <si>
    <t>NL410083</t>
  </si>
  <si>
    <t>Tép tươi NV</t>
  </si>
  <si>
    <t>I100219</t>
  </si>
  <si>
    <t>NL300139</t>
  </si>
  <si>
    <t>thì là</t>
  </si>
  <si>
    <t>NL430135</t>
  </si>
  <si>
    <t>Thì là NV</t>
  </si>
  <si>
    <t>I100194</t>
  </si>
  <si>
    <t>NL300140</t>
  </si>
  <si>
    <t>Tía tô</t>
  </si>
  <si>
    <t>I100224</t>
  </si>
  <si>
    <t>NL300144</t>
  </si>
  <si>
    <t>Tỏi bắc lột</t>
  </si>
  <si>
    <t>NL300142</t>
  </si>
  <si>
    <t>Tỏi bóc tàu</t>
  </si>
  <si>
    <t>I100271</t>
  </si>
  <si>
    <t>NL420042</t>
  </si>
  <si>
    <t>Trứng cút NV</t>
  </si>
  <si>
    <t>I100275</t>
  </si>
  <si>
    <t>NL100101</t>
  </si>
  <si>
    <t>Trứng vịt muối</t>
  </si>
  <si>
    <t>quả</t>
  </si>
  <si>
    <t>I100274</t>
  </si>
  <si>
    <t>NL410106</t>
  </si>
  <si>
    <t>Trứng vịt NV</t>
  </si>
  <si>
    <t>I100556</t>
  </si>
  <si>
    <t>NL410109</t>
  </si>
  <si>
    <t>Vịt NV</t>
  </si>
  <si>
    <t>I100207</t>
  </si>
  <si>
    <t>NL300145</t>
  </si>
  <si>
    <t>Xà lách</t>
  </si>
  <si>
    <t>I100203</t>
  </si>
  <si>
    <t>NL300146</t>
  </si>
  <si>
    <t>Xà lách cuộn</t>
  </si>
  <si>
    <t>I100212</t>
  </si>
  <si>
    <t>NL300131</t>
  </si>
  <si>
    <t>Xà lách Rocket</t>
  </si>
  <si>
    <t>NL300147</t>
  </si>
  <si>
    <t>Xà lách Roman</t>
  </si>
  <si>
    <t>NL430158</t>
  </si>
  <si>
    <t>Xà lách son NV</t>
  </si>
  <si>
    <t>I100206</t>
  </si>
  <si>
    <t>NL300148</t>
  </si>
  <si>
    <t>Xà lách tím</t>
  </si>
  <si>
    <t>NL300209</t>
  </si>
  <si>
    <t>Khoai môn</t>
  </si>
  <si>
    <t>Ngày ct</t>
  </si>
  <si>
    <t>Mã ct</t>
  </si>
  <si>
    <t>Số ct</t>
  </si>
  <si>
    <t>Áp giá</t>
  </si>
  <si>
    <t>Mã ncc</t>
  </si>
  <si>
    <t>Tên ncc</t>
  </si>
  <si>
    <t>Diễn giải</t>
  </si>
  <si>
    <t>Số lượng</t>
  </si>
  <si>
    <t>Giá</t>
  </si>
  <si>
    <t>Giá báo</t>
  </si>
  <si>
    <t>Thuế suất</t>
  </si>
  <si>
    <t>Chênh lệch giá</t>
  </si>
  <si>
    <t>Kho hàng</t>
  </si>
  <si>
    <t>Mã nx</t>
  </si>
  <si>
    <t>Vụ việc</t>
  </si>
  <si>
    <t>Bộ phận</t>
  </si>
  <si>
    <t>Hợp đồng</t>
  </si>
  <si>
    <t>Người tạo</t>
  </si>
  <si>
    <t>Người sửa</t>
  </si>
  <si>
    <t>2601TSG07002</t>
  </si>
  <si>
    <t>1</t>
  </si>
  <si>
    <t>NCC100186</t>
  </si>
  <si>
    <t>CÔNG TY TNHH NÔNG SẢN THỰC PHẨM TRẦN GIA</t>
  </si>
  <si>
    <t>TSG07 - Nhập hàng mua ngày 01/01/2026</t>
  </si>
  <si>
    <t>Củ cải trắng</t>
  </si>
  <si>
    <t>TSG.07</t>
  </si>
  <si>
    <t>3311</t>
  </si>
  <si>
    <t>TSG07</t>
  </si>
  <si>
    <t>TRANNTB</t>
  </si>
  <si>
    <t>Ngô ngọt ( Bắp trái)</t>
  </si>
  <si>
    <t>Tỏi bóc</t>
  </si>
  <si>
    <t>Cải cúc (Tần Ô)</t>
  </si>
  <si>
    <t>2601TSG07003</t>
  </si>
  <si>
    <t>2601TSG07004</t>
  </si>
  <si>
    <t>TSG07 - Nhập hàng mua ngày 02/01/2026</t>
  </si>
  <si>
    <t>Chanh dây (chanh leo)</t>
  </si>
  <si>
    <t>2601TSG07005</t>
  </si>
  <si>
    <t>2601TSG07009</t>
  </si>
  <si>
    <t>TSG07 - Nhập hàng mua ngày 03/01/2026</t>
  </si>
  <si>
    <t>2601TSG07010</t>
  </si>
  <si>
    <t>2601TSG07014</t>
  </si>
  <si>
    <t>TSG07 - Nhập hàng mua ngày 04/01/2026</t>
  </si>
  <si>
    <t>2601TSG07016</t>
  </si>
  <si>
    <t>TSG07 - Nhập hàng mua ngày 05/01/2026</t>
  </si>
  <si>
    <t>TSG072601017</t>
  </si>
  <si>
    <t>TSG07 - Nhập hàng mua ngày 06/01/2026</t>
  </si>
  <si>
    <t>2601TSG07020</t>
  </si>
  <si>
    <t>TSG07 - Nhập hàng mua ngày 07/01/2026</t>
  </si>
  <si>
    <t>Hoa cúc (decor) bó</t>
  </si>
  <si>
    <t>2601TSG07021</t>
  </si>
  <si>
    <t>2601TSG07024</t>
  </si>
  <si>
    <t>TSG07 - Nhập hàng mua ngày 08/01/2026</t>
  </si>
  <si>
    <t>2601TSG07025</t>
  </si>
  <si>
    <t>2601TSG07027</t>
  </si>
  <si>
    <t>TSG07 - Nhập hàng mua ngày 09/01/2026</t>
  </si>
  <si>
    <t>TSG072601052</t>
  </si>
  <si>
    <t>2601TSG07029</t>
  </si>
  <si>
    <t>TSG07 - Nhập hàng mua ngày 10/01/2026</t>
  </si>
  <si>
    <t>2601TSG07030</t>
  </si>
  <si>
    <t>TSG07 - Nhập hàng mua ngày 11/01/2026</t>
  </si>
  <si>
    <t>2601TSG07032</t>
  </si>
  <si>
    <t>TSG07 - Nhập hàng mua ngày 12/01/2026</t>
  </si>
  <si>
    <t>2601TSG07033</t>
  </si>
  <si>
    <t>2601TSG07038</t>
  </si>
  <si>
    <t>TSG07 - Nhập hàng mua ngày 13/01/2026</t>
  </si>
  <si>
    <t>2601TSG07043</t>
  </si>
  <si>
    <t>TSG07 - Nhập hàng mua ngày 14/01/2026</t>
  </si>
  <si>
    <t>2601TSG07045</t>
  </si>
  <si>
    <t>TSG07 - Nhập hàng mua ngày 15/01/2026</t>
  </si>
  <si>
    <t>tsg07</t>
  </si>
  <si>
    <t>MÃ</t>
  </si>
  <si>
    <t>THỰC NHẬN</t>
  </si>
  <si>
    <t>GIÁ CHỐT</t>
  </si>
  <si>
    <t>TỔNG</t>
  </si>
  <si>
    <t>LỆCH</t>
  </si>
  <si>
    <t>NOTE</t>
  </si>
  <si>
    <t>SAI SL</t>
  </si>
  <si>
    <t>SAI GIÁ CHỐT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</si>
</sst>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10409]dd/mm/yyyy"/>
    <numFmt numFmtId="165" formatCode="_(* #,##0.000_);_(* \(#,##0.000\);_(* &quot;-&quot;??_);_(@_)"/>
    <numFmt numFmtId="166" formatCode="0.000"/>
    <numFmt numFmtId="167" formatCode="_(* #,##0_);_(* \(#,##0\);_(* &quot;-&quot;??_);_(@_)"/>
    <numFmt numFmtId="168" formatCode="[$-10409]#,###,###,###.0000;\-#,###,###,###.0000;"/>
    <numFmt numFmtId="169" formatCode="[$-10409]###,###,###,###.00;\-###,###,###,###.00;"/>
    <numFmt numFmtId="170" formatCode="[$-10409]###,###,###,###,###;\-###,###,###,###,###;"/>
    <numFmt numFmtId="171" formatCode="_-* #,##0.000_-;\-* #,##0.000_-;_-* &quot;-&quot;??_-;_-@_-"/>
    <numFmt numFmtId="172" formatCode="_-* #,##0_-;\-* #,##0_-;_-* &quot;-&quot;??_-;_-@_-"/>
  </numFmts>
  <fonts count="1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000000"/>
      <name val="Segoe UI Light"/>
      <family val="2"/>
    </font>
    <font>
      <b/>
      <sz val="16"/>
      <color rgb="FF000000"/>
      <name val="Segoe UI"/>
      <family val="2"/>
    </font>
    <font>
      <i/>
      <sz val="11"/>
      <color rgb="FF000000"/>
      <name val="Segoe UI"/>
      <family val="2"/>
    </font>
    <font>
      <sz val="12"/>
      <color rgb="FF000000"/>
      <name val="Segoe UI"/>
      <family val="2"/>
    </font>
    <font>
      <sz val="11"/>
      <color rgb="FF000000"/>
      <name val="Segoe UI Light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Arial"/>
      <family val="2"/>
    </font>
    <font>
      <b/>
      <sz val="12"/>
      <color rgb="FFFF0000"/>
      <name val="Calibri"/>
      <family val="2"/>
    </font>
    <font>
      <b/>
      <sz val="8"/>
      <color rgb="FF000000"/>
      <name val="Verdana"/>
    </font>
    <font>
      <sz val="11"/>
      <name val="Calibri"/>
    </font>
    <font>
      <sz val="8"/>
      <color rgb="FF000000"/>
      <name val="Verdana"/>
    </font>
    <font>
      <b/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rgb="FFF0E68C"/>
      </patternFill>
    </fill>
    <fill>
      <patternFill patternType="solid">
        <fgColor rgb="FFEDF5FF"/>
        <bgColor rgb="FFEDF5FF"/>
      </patternFill>
    </fill>
    <fill>
      <patternFill patternType="solid">
        <fgColor rgb="FFFFFF00"/>
        <bgColor indexed="64"/>
      </patternFill>
    </fill>
    <fill>
      <patternFill patternType="solid">
        <fgColor rgb="FFF0E68C"/>
        <bgColor rgb="FFF0E68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0">
    <xf numFmtId="0" fontId="1" fillId="0" borderId="0" xfId="0" applyFont="1"/>
    <xf numFmtId="0" fontId="8" fillId="2" borderId="5" xfId="0" applyFont="1" applyFill="1" applyBorder="1" applyAlignment="1">
      <alignment horizontal="center" vertical="center" wrapText="1" readingOrder="1"/>
    </xf>
    <xf numFmtId="0" fontId="9" fillId="2" borderId="5" xfId="0" applyFont="1" applyFill="1" applyBorder="1" applyAlignment="1">
      <alignment horizontal="center" vertical="center" wrapText="1" readingOrder="1"/>
    </xf>
    <xf numFmtId="165" fontId="8" fillId="2" borderId="5" xfId="1" applyNumberFormat="1" applyFont="1" applyFill="1" applyBorder="1" applyAlignment="1">
      <alignment horizontal="center" vertical="center" wrapText="1" readingOrder="1"/>
    </xf>
    <xf numFmtId="164" fontId="10" fillId="0" borderId="5" xfId="0" applyNumberFormat="1" applyFont="1" applyBorder="1" applyAlignment="1">
      <alignment vertical="center" wrapText="1" readingOrder="1"/>
    </xf>
    <xf numFmtId="0" fontId="10" fillId="0" borderId="5" xfId="0" applyFont="1" applyBorder="1" applyAlignment="1">
      <alignment vertical="center" wrapText="1" readingOrder="1"/>
    </xf>
    <xf numFmtId="166" fontId="10" fillId="0" borderId="5" xfId="0" applyNumberFormat="1" applyFont="1" applyBorder="1" applyAlignment="1">
      <alignment vertical="center" wrapText="1" readingOrder="1"/>
    </xf>
    <xf numFmtId="167" fontId="10" fillId="0" borderId="5" xfId="1" applyNumberFormat="1" applyFont="1" applyBorder="1" applyAlignment="1">
      <alignment vertical="center" wrapText="1" readingOrder="1"/>
    </xf>
    <xf numFmtId="0" fontId="10" fillId="0" borderId="5" xfId="0" applyFont="1" applyBorder="1" applyAlignment="1">
      <alignment vertical="top" wrapText="1" readingOrder="1"/>
    </xf>
    <xf numFmtId="167" fontId="11" fillId="0" borderId="0" xfId="1" applyNumberFormat="1" applyFont="1"/>
    <xf numFmtId="0" fontId="5" fillId="0" borderId="4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right" vertical="top" wrapText="1" readingOrder="1"/>
    </xf>
    <xf numFmtId="0" fontId="12" fillId="3" borderId="6" xfId="0" applyFont="1" applyFill="1" applyBorder="1" applyAlignment="1">
      <alignment horizontal="center" vertical="center" wrapText="1" readingOrder="1"/>
    </xf>
    <xf numFmtId="0" fontId="13" fillId="0" borderId="0" xfId="0" applyFont="1"/>
    <xf numFmtId="164" fontId="14" fillId="0" borderId="6" xfId="0" applyNumberFormat="1" applyFont="1" applyBorder="1" applyAlignment="1">
      <alignment horizontal="center" vertical="top" wrapText="1" readingOrder="1"/>
    </xf>
    <xf numFmtId="0" fontId="14" fillId="0" borderId="6" xfId="0" applyFont="1" applyBorder="1" applyAlignment="1">
      <alignment vertical="top" wrapText="1" readingOrder="1"/>
    </xf>
    <xf numFmtId="0" fontId="14" fillId="0" borderId="6" xfId="0" applyFont="1" applyBorder="1" applyAlignment="1">
      <alignment horizontal="right" vertical="top" wrapText="1" readingOrder="1"/>
    </xf>
    <xf numFmtId="168" fontId="14" fillId="0" borderId="6" xfId="0" applyNumberFormat="1" applyFont="1" applyBorder="1" applyAlignment="1">
      <alignment horizontal="right" vertical="top" wrapText="1" readingOrder="1"/>
    </xf>
    <xf numFmtId="169" fontId="14" fillId="0" borderId="6" xfId="0" applyNumberFormat="1" applyFont="1" applyBorder="1" applyAlignment="1">
      <alignment horizontal="right" vertical="top" wrapText="1" readingOrder="1"/>
    </xf>
    <xf numFmtId="170" fontId="14" fillId="0" borderId="6" xfId="0" applyNumberFormat="1" applyFont="1" applyBorder="1" applyAlignment="1">
      <alignment horizontal="right" vertical="top" wrapText="1" readingOrder="1"/>
    </xf>
    <xf numFmtId="171" fontId="1" fillId="0" borderId="0" xfId="1" applyNumberFormat="1" applyFont="1"/>
    <xf numFmtId="172" fontId="15" fillId="4" borderId="0" xfId="1" applyNumberFormat="1" applyFont="1" applyFill="1"/>
    <xf numFmtId="172" fontId="1" fillId="0" borderId="0" xfId="1" applyNumberFormat="1" applyFont="1"/>
    <xf numFmtId="172" fontId="1" fillId="4" borderId="0" xfId="1" applyNumberFormat="1" applyFont="1" applyFill="1"/>
    <xf numFmtId="43" fontId="1" fillId="0" borderId="0" xfId="1" applyFont="1"/>
    <xf numFmtId="0" fontId="16" fillId="5" borderId="7" xfId="0" applyFont="1" applyFill="1" applyBorder="1" applyAlignment="1">
      <alignment horizontal="center" vertical="center" wrapText="1" readingOrder="1"/>
    </xf>
    <xf numFmtId="171" fontId="16" fillId="5" borderId="7" xfId="1" applyNumberFormat="1" applyFont="1" applyFill="1" applyBorder="1" applyAlignment="1">
      <alignment horizontal="center" vertical="center" wrapText="1" readingOrder="1"/>
    </xf>
    <xf numFmtId="172" fontId="16" fillId="5" borderId="7" xfId="1" applyNumberFormat="1" applyFont="1" applyFill="1" applyBorder="1" applyAlignment="1">
      <alignment horizontal="center" vertical="center" wrapText="1" readingOrder="1"/>
    </xf>
    <xf numFmtId="172" fontId="17" fillId="5" borderId="4" xfId="1" applyNumberFormat="1" applyFont="1" applyFill="1" applyBorder="1" applyAlignment="1">
      <alignment horizontal="center" vertical="center" wrapText="1" readingOrder="1"/>
    </xf>
    <xf numFmtId="0" fontId="17" fillId="5" borderId="4" xfId="0" applyFont="1" applyFill="1" applyBorder="1" applyAlignment="1">
      <alignment horizontal="center" vertical="center" wrapText="1" readingOrder="1"/>
    </xf>
    <xf numFmtId="0" fontId="1" fillId="0" borderId="5" xfId="0" applyFont="1" applyBorder="1"/>
    <xf numFmtId="171" fontId="1" fillId="0" borderId="5" xfId="1" applyNumberFormat="1" applyFont="1" applyBorder="1"/>
    <xf numFmtId="172" fontId="1" fillId="0" borderId="5" xfId="1" applyNumberFormat="1" applyFont="1" applyBorder="1"/>
    <xf numFmtId="172" fontId="1" fillId="0" borderId="0" xfId="0" applyNumberFormat="1" applyFont="1"/>
    <xf numFmtId="167" fontId="1" fillId="0" borderId="0" xfId="0" applyNumberFormat="1" applyFont="1"/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E68C"/>
      <rgbColor rgb="0040E0D0"/>
      <rgbColor rgb="00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69C04-A3C9-40FE-9874-DA411F62EF7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" y="123367"/>
          <a:ext cx="3438220" cy="10673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D29CA-A22F-4067-95BF-61775040149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" y="123367"/>
          <a:ext cx="3438220" cy="10673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</xdr:colOff>
      <xdr:row>1</xdr:row>
      <xdr:rowOff>9067</xdr:rowOff>
    </xdr:from>
    <xdr:to>
      <xdr:col>2</xdr:col>
      <xdr:colOff>913485</xdr:colOff>
      <xdr:row>1</xdr:row>
      <xdr:rowOff>1076459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B6D52-CE9C-4577-88A4-0850FD0626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" y="123367"/>
          <a:ext cx="3438220" cy="10673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C&#7853;p%20nh&#7853;t%20gi&#7845;y%20b&#225;o%20gi&#225;%20(4).xlsx" TargetMode="External"/><Relationship Id="rId1" Type="http://schemas.openxmlformats.org/officeDocument/2006/relationships/externalLinkPath" Target="/Users/Admin/Downloads/C&#7853;p%20nh&#7853;t%20gi&#7845;y%20b&#225;o%20gi&#225;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NL100100</v>
          </cell>
          <cell r="B2" t="str">
            <v>Trứng gà</v>
          </cell>
          <cell r="C2" t="str">
            <v>QUẢ</v>
          </cell>
          <cell r="D2">
            <v>3500</v>
          </cell>
          <cell r="E2" t="str">
            <v>VND</v>
          </cell>
        </row>
        <row r="3">
          <cell r="A3" t="str">
            <v>NL100101</v>
          </cell>
          <cell r="B3" t="str">
            <v>Trứng vịt muối</v>
          </cell>
          <cell r="C3" t="str">
            <v>QUẢ</v>
          </cell>
          <cell r="D3">
            <v>5000</v>
          </cell>
          <cell r="E3" t="str">
            <v>VND</v>
          </cell>
        </row>
        <row r="4">
          <cell r="A4" t="str">
            <v>NL100279</v>
          </cell>
          <cell r="B4" t="str">
            <v>Trứng Bắc Thảo</v>
          </cell>
          <cell r="C4" t="str">
            <v>QUẢ</v>
          </cell>
          <cell r="D4">
            <v>9000</v>
          </cell>
          <cell r="E4" t="str">
            <v>VND</v>
          </cell>
        </row>
        <row r="5">
          <cell r="A5" t="str">
            <v>NL300002</v>
          </cell>
          <cell r="B5" t="str">
            <v>Bánh phở</v>
          </cell>
          <cell r="C5" t="str">
            <v>KG</v>
          </cell>
          <cell r="D5">
            <v>16000</v>
          </cell>
          <cell r="E5" t="str">
            <v>VND</v>
          </cell>
        </row>
        <row r="6">
          <cell r="A6" t="str">
            <v>NL300003</v>
          </cell>
          <cell r="B6" t="str">
            <v>Bắp cải tím</v>
          </cell>
          <cell r="C6" t="str">
            <v>KG</v>
          </cell>
          <cell r="D6">
            <v>26000</v>
          </cell>
          <cell r="E6" t="str">
            <v>VND</v>
          </cell>
        </row>
        <row r="7">
          <cell r="A7" t="str">
            <v>NL300004</v>
          </cell>
          <cell r="B7" t="str">
            <v>Bắp cải trắng</v>
          </cell>
          <cell r="C7" t="str">
            <v>KG</v>
          </cell>
          <cell r="D7">
            <v>19000</v>
          </cell>
          <cell r="E7" t="str">
            <v>VND</v>
          </cell>
        </row>
        <row r="8">
          <cell r="A8" t="str">
            <v>NL300007</v>
          </cell>
          <cell r="B8" t="str">
            <v>Bí đỏ</v>
          </cell>
          <cell r="C8" t="str">
            <v>KG</v>
          </cell>
          <cell r="D8">
            <v>30000</v>
          </cell>
          <cell r="E8" t="str">
            <v>VND</v>
          </cell>
        </row>
        <row r="9">
          <cell r="A9" t="str">
            <v>NL300008</v>
          </cell>
          <cell r="B9" t="str">
            <v>Bí ngòi</v>
          </cell>
          <cell r="C9" t="str">
            <v>KG</v>
          </cell>
          <cell r="D9">
            <v>40000</v>
          </cell>
          <cell r="E9" t="str">
            <v>VND</v>
          </cell>
        </row>
        <row r="10">
          <cell r="A10" t="str">
            <v>NL300011</v>
          </cell>
          <cell r="B10" t="str">
            <v>Bông súng</v>
          </cell>
          <cell r="C10" t="str">
            <v>KG</v>
          </cell>
          <cell r="D10">
            <v>17000</v>
          </cell>
          <cell r="E10" t="str">
            <v>VND</v>
          </cell>
        </row>
        <row r="11">
          <cell r="A11" t="str">
            <v>NL300013</v>
          </cell>
          <cell r="B11" t="str">
            <v>Cà chua</v>
          </cell>
          <cell r="C11" t="str">
            <v>KG</v>
          </cell>
          <cell r="D11">
            <v>50000</v>
          </cell>
          <cell r="E11" t="str">
            <v>VND</v>
          </cell>
        </row>
        <row r="12">
          <cell r="A12" t="str">
            <v>NL300014</v>
          </cell>
          <cell r="B12" t="str">
            <v>Cà chua bi</v>
          </cell>
          <cell r="C12" t="str">
            <v>KG</v>
          </cell>
          <cell r="D12">
            <v>55000</v>
          </cell>
          <cell r="E12" t="str">
            <v>VND</v>
          </cell>
        </row>
        <row r="13">
          <cell r="A13" t="str">
            <v>NL300017</v>
          </cell>
          <cell r="B13" t="str">
            <v>Cải chíp (cải thìa)</v>
          </cell>
          <cell r="C13" t="str">
            <v>KG</v>
          </cell>
          <cell r="D13">
            <v>25000</v>
          </cell>
          <cell r="E13" t="str">
            <v>VND</v>
          </cell>
        </row>
        <row r="14">
          <cell r="A14" t="str">
            <v>NL300018</v>
          </cell>
          <cell r="B14" t="str">
            <v>Cải cúc (Tần Ô)</v>
          </cell>
          <cell r="C14" t="str">
            <v>KG</v>
          </cell>
          <cell r="D14">
            <v>38000</v>
          </cell>
          <cell r="E14" t="str">
            <v>VND</v>
          </cell>
        </row>
        <row r="15">
          <cell r="A15" t="str">
            <v>NL300020</v>
          </cell>
          <cell r="B15" t="str">
            <v>Cải ngồng</v>
          </cell>
          <cell r="C15" t="str">
            <v>KG</v>
          </cell>
          <cell r="D15">
            <v>30000</v>
          </cell>
          <cell r="E15" t="str">
            <v>VND</v>
          </cell>
        </row>
        <row r="16">
          <cell r="A16" t="str">
            <v>NL300022</v>
          </cell>
          <cell r="B16" t="str">
            <v>Cải thảo</v>
          </cell>
          <cell r="C16" t="str">
            <v>KG</v>
          </cell>
          <cell r="D16">
            <v>18000</v>
          </cell>
          <cell r="E16" t="str">
            <v>VND</v>
          </cell>
        </row>
        <row r="17">
          <cell r="A17" t="str">
            <v>NL300025</v>
          </cell>
          <cell r="B17" t="str">
            <v>Rau cần tây</v>
          </cell>
          <cell r="C17" t="str">
            <v>KG</v>
          </cell>
          <cell r="D17">
            <v>44000</v>
          </cell>
          <cell r="E17" t="str">
            <v>VND</v>
          </cell>
        </row>
        <row r="18">
          <cell r="A18" t="str">
            <v>NL300027</v>
          </cell>
          <cell r="B18" t="str">
            <v>Cà rốt</v>
          </cell>
          <cell r="C18" t="str">
            <v>KG</v>
          </cell>
          <cell r="D18">
            <v>18000</v>
          </cell>
          <cell r="E18" t="str">
            <v>VND</v>
          </cell>
        </row>
        <row r="19">
          <cell r="A19" t="str">
            <v>NL300028</v>
          </cell>
          <cell r="B19" t="str">
            <v>Cà rốt baby</v>
          </cell>
          <cell r="C19" t="str">
            <v>KG</v>
          </cell>
          <cell r="D19">
            <v>75000</v>
          </cell>
          <cell r="E19" t="str">
            <v>VND</v>
          </cell>
        </row>
        <row r="20">
          <cell r="A20" t="str">
            <v>NL300029</v>
          </cell>
          <cell r="B20" t="str">
            <v>Chanh</v>
          </cell>
          <cell r="C20" t="str">
            <v>KG</v>
          </cell>
          <cell r="D20">
            <v>22000</v>
          </cell>
          <cell r="E20" t="str">
            <v>VND</v>
          </cell>
        </row>
        <row r="21">
          <cell r="A21" t="str">
            <v>NL300030</v>
          </cell>
          <cell r="B21" t="str">
            <v>Chanh dây (chanh leo)</v>
          </cell>
          <cell r="C21" t="str">
            <v>KG</v>
          </cell>
          <cell r="D21">
            <v>34000</v>
          </cell>
          <cell r="E21" t="str">
            <v>VND</v>
          </cell>
        </row>
        <row r="22">
          <cell r="A22" t="str">
            <v>NL300033</v>
          </cell>
          <cell r="B22" t="str">
            <v>Củ cải trắng</v>
          </cell>
          <cell r="C22" t="str">
            <v>KG</v>
          </cell>
          <cell r="D22">
            <v>13000</v>
          </cell>
          <cell r="E22" t="str">
            <v>VND</v>
          </cell>
        </row>
        <row r="23">
          <cell r="A23" t="str">
            <v>NL300034</v>
          </cell>
          <cell r="B23" t="str">
            <v>Củ cải đỏ</v>
          </cell>
          <cell r="C23" t="str">
            <v>KG</v>
          </cell>
          <cell r="D23">
            <v>40000</v>
          </cell>
          <cell r="E23" t="str">
            <v>VND</v>
          </cell>
        </row>
        <row r="24">
          <cell r="A24" t="str">
            <v>NL300035</v>
          </cell>
          <cell r="B24" t="str">
            <v>Riềng củ</v>
          </cell>
          <cell r="C24" t="str">
            <v>KG</v>
          </cell>
          <cell r="D24">
            <v>25000</v>
          </cell>
          <cell r="E24" t="str">
            <v>VND</v>
          </cell>
        </row>
        <row r="25">
          <cell r="A25" t="str">
            <v>NL300036</v>
          </cell>
          <cell r="B25" t="str">
            <v>Củ sen</v>
          </cell>
          <cell r="C25" t="str">
            <v>KG</v>
          </cell>
          <cell r="D25">
            <v>47000</v>
          </cell>
          <cell r="E25" t="str">
            <v>VND</v>
          </cell>
        </row>
        <row r="26">
          <cell r="A26" t="str">
            <v>NL300037</v>
          </cell>
          <cell r="B26" t="str">
            <v>Đậu phụ ( đậu hủ miếng trắng )</v>
          </cell>
          <cell r="C26" t="str">
            <v>MIẾNG</v>
          </cell>
          <cell r="D26">
            <v>4000</v>
          </cell>
          <cell r="E26" t="str">
            <v>VND</v>
          </cell>
        </row>
        <row r="27">
          <cell r="A27" t="str">
            <v>NL300038</v>
          </cell>
          <cell r="B27" t="str">
            <v>Đậu bắp</v>
          </cell>
          <cell r="C27" t="str">
            <v>KG</v>
          </cell>
          <cell r="D27">
            <v>32000</v>
          </cell>
          <cell r="E27" t="str">
            <v>VND</v>
          </cell>
        </row>
        <row r="28">
          <cell r="A28" t="str">
            <v>NL300041</v>
          </cell>
          <cell r="B28" t="str">
            <v>Đậu hủ non trứng</v>
          </cell>
          <cell r="C28" t="str">
            <v>CÁI</v>
          </cell>
          <cell r="D28">
            <v>15000</v>
          </cell>
          <cell r="E28" t="str">
            <v>VND</v>
          </cell>
        </row>
        <row r="29">
          <cell r="A29" t="str">
            <v>NL300043</v>
          </cell>
          <cell r="B29" t="str">
            <v>Đọt cóc</v>
          </cell>
          <cell r="C29" t="str">
            <v>KG</v>
          </cell>
          <cell r="D29">
            <v>32000</v>
          </cell>
          <cell r="E29" t="str">
            <v>VND</v>
          </cell>
        </row>
        <row r="30">
          <cell r="A30" t="str">
            <v>NL300044</v>
          </cell>
          <cell r="B30" t="str">
            <v>Đọt mọt ( Lá trăm )</v>
          </cell>
          <cell r="C30" t="str">
            <v>KG</v>
          </cell>
          <cell r="D30">
            <v>38000</v>
          </cell>
          <cell r="E30" t="str">
            <v>VND</v>
          </cell>
        </row>
        <row r="31">
          <cell r="A31" t="str">
            <v>NL300047</v>
          </cell>
          <cell r="B31" t="str">
            <v>Dứa chưa gọt vỏ</v>
          </cell>
          <cell r="C31" t="str">
            <v>QUẢ</v>
          </cell>
          <cell r="D31">
            <v>18000</v>
          </cell>
          <cell r="E31" t="str">
            <v>VND</v>
          </cell>
        </row>
        <row r="32">
          <cell r="A32" t="str">
            <v>NL300048</v>
          </cell>
          <cell r="B32" t="str">
            <v>Dưa chuột</v>
          </cell>
          <cell r="C32" t="str">
            <v>KG</v>
          </cell>
          <cell r="D32">
            <v>18000</v>
          </cell>
          <cell r="E32" t="str">
            <v>VND</v>
          </cell>
        </row>
        <row r="33">
          <cell r="A33" t="str">
            <v>NL300049</v>
          </cell>
          <cell r="B33" t="str">
            <v>Đu đủ xanh</v>
          </cell>
          <cell r="C33" t="str">
            <v>KG</v>
          </cell>
          <cell r="D33">
            <v>9000</v>
          </cell>
          <cell r="E33" t="str">
            <v>VND</v>
          </cell>
        </row>
        <row r="34">
          <cell r="A34" t="str">
            <v>NL300050</v>
          </cell>
          <cell r="B34" t="str">
            <v>Giá đỗ</v>
          </cell>
          <cell r="C34" t="str">
            <v>KG</v>
          </cell>
          <cell r="D34">
            <v>9000</v>
          </cell>
          <cell r="E34" t="str">
            <v>VND</v>
          </cell>
        </row>
        <row r="35">
          <cell r="A35" t="str">
            <v>NL300053</v>
          </cell>
          <cell r="B35" t="str">
            <v>Gừng ta</v>
          </cell>
          <cell r="C35" t="str">
            <v>KG</v>
          </cell>
          <cell r="D35">
            <v>30000</v>
          </cell>
          <cell r="E35" t="str">
            <v>VND</v>
          </cell>
        </row>
        <row r="36">
          <cell r="A36" t="str">
            <v>NL300054</v>
          </cell>
          <cell r="B36" t="str">
            <v>Gừng tàu</v>
          </cell>
          <cell r="C36" t="str">
            <v>KG</v>
          </cell>
          <cell r="D36">
            <v>38000</v>
          </cell>
          <cell r="E36" t="str">
            <v>VND</v>
          </cell>
        </row>
        <row r="37">
          <cell r="A37" t="str">
            <v>NL300055</v>
          </cell>
          <cell r="B37" t="str">
            <v>Hành bóc</v>
          </cell>
          <cell r="C37" t="str">
            <v>KG</v>
          </cell>
          <cell r="D37">
            <v>80000</v>
          </cell>
          <cell r="E37" t="str">
            <v>VND</v>
          </cell>
        </row>
        <row r="38">
          <cell r="A38" t="str">
            <v>NL300058</v>
          </cell>
          <cell r="B38" t="str">
            <v>Hành lá</v>
          </cell>
          <cell r="C38" t="str">
            <v>KG</v>
          </cell>
          <cell r="D38">
            <v>55000</v>
          </cell>
          <cell r="E38" t="str">
            <v>VND</v>
          </cell>
        </row>
        <row r="39">
          <cell r="A39" t="str">
            <v>NL300059</v>
          </cell>
          <cell r="B39" t="str">
            <v>Hành tây</v>
          </cell>
          <cell r="C39" t="str">
            <v>KG</v>
          </cell>
          <cell r="D39">
            <v>13000</v>
          </cell>
          <cell r="E39" t="str">
            <v>VND</v>
          </cell>
        </row>
        <row r="40">
          <cell r="A40" t="str">
            <v>NL300060</v>
          </cell>
          <cell r="B40" t="str">
            <v>Hoa chuối đã thái</v>
          </cell>
          <cell r="C40" t="str">
            <v>KG</v>
          </cell>
          <cell r="D40">
            <v>33000</v>
          </cell>
          <cell r="E40" t="str">
            <v>VND</v>
          </cell>
        </row>
        <row r="41">
          <cell r="A41" t="str">
            <v>NL300061</v>
          </cell>
          <cell r="B41" t="str">
            <v>Hành Paro (Hành Baro)</v>
          </cell>
          <cell r="C41" t="str">
            <v>KG</v>
          </cell>
          <cell r="D41">
            <v>38000</v>
          </cell>
          <cell r="E41" t="str">
            <v>VND</v>
          </cell>
        </row>
        <row r="42">
          <cell r="A42" t="str">
            <v>NL300062</v>
          </cell>
          <cell r="B42" t="str">
            <v>Húng Bạc Hà</v>
          </cell>
          <cell r="C42" t="str">
            <v>KG</v>
          </cell>
          <cell r="D42">
            <v>65000</v>
          </cell>
          <cell r="E42" t="str">
            <v>VND</v>
          </cell>
        </row>
        <row r="43">
          <cell r="A43" t="str">
            <v>NL300063</v>
          </cell>
          <cell r="B43" t="str">
            <v>Húng cây (Rau thơm)</v>
          </cell>
          <cell r="C43" t="str">
            <v>KG</v>
          </cell>
          <cell r="D43">
            <v>48000</v>
          </cell>
          <cell r="E43" t="str">
            <v>VND</v>
          </cell>
        </row>
        <row r="44">
          <cell r="A44" t="str">
            <v>NL300064</v>
          </cell>
          <cell r="B44" t="str">
            <v>Húng chó (Húng quế)</v>
          </cell>
          <cell r="C44" t="str">
            <v>KG</v>
          </cell>
          <cell r="D44">
            <v>65000</v>
          </cell>
          <cell r="E44" t="str">
            <v>VND</v>
          </cell>
        </row>
        <row r="45">
          <cell r="A45" t="str">
            <v>NL300066</v>
          </cell>
          <cell r="B45" t="str">
            <v>Lá hương thảo tươi</v>
          </cell>
          <cell r="C45" t="str">
            <v>KG</v>
          </cell>
          <cell r="D45">
            <v>220000</v>
          </cell>
          <cell r="E45" t="str">
            <v>VND</v>
          </cell>
        </row>
        <row r="46">
          <cell r="A46" t="str">
            <v>NL300067</v>
          </cell>
          <cell r="B46" t="str">
            <v>Kèo Nèo</v>
          </cell>
          <cell r="C46" t="str">
            <v>KG</v>
          </cell>
          <cell r="D46">
            <v>25000</v>
          </cell>
          <cell r="E46" t="str">
            <v>VND</v>
          </cell>
        </row>
        <row r="47">
          <cell r="A47" t="str">
            <v>NL300068</v>
          </cell>
          <cell r="B47" t="str">
            <v>Khế</v>
          </cell>
          <cell r="C47" t="str">
            <v>KG</v>
          </cell>
          <cell r="D47">
            <v>35000</v>
          </cell>
          <cell r="E47" t="str">
            <v>VND</v>
          </cell>
        </row>
        <row r="48">
          <cell r="A48" t="str">
            <v>NL300070</v>
          </cell>
          <cell r="B48" t="str">
            <v>Khoai lang Nhật</v>
          </cell>
          <cell r="C48" t="str">
            <v>KG</v>
          </cell>
          <cell r="D48">
            <v>23000</v>
          </cell>
          <cell r="E48" t="str">
            <v>VND</v>
          </cell>
        </row>
        <row r="49">
          <cell r="A49" t="str">
            <v>NL300071</v>
          </cell>
          <cell r="B49" t="str">
            <v>Khoai tây củ</v>
          </cell>
          <cell r="C49" t="str">
            <v>KG</v>
          </cell>
          <cell r="D49">
            <v>20000</v>
          </cell>
          <cell r="E49" t="str">
            <v>VND</v>
          </cell>
        </row>
        <row r="50">
          <cell r="A50" t="str">
            <v>NL300072</v>
          </cell>
          <cell r="B50" t="str">
            <v>Kinh giới</v>
          </cell>
          <cell r="C50" t="str">
            <v>KG</v>
          </cell>
          <cell r="D50">
            <v>38000</v>
          </cell>
          <cell r="E50" t="str">
            <v>VND</v>
          </cell>
        </row>
        <row r="51">
          <cell r="A51" t="str">
            <v>NL300073</v>
          </cell>
          <cell r="B51" t="str">
            <v>Lá chanh</v>
          </cell>
          <cell r="C51" t="str">
            <v>KG</v>
          </cell>
          <cell r="D51">
            <v>42000</v>
          </cell>
          <cell r="E51" t="str">
            <v>VND</v>
          </cell>
        </row>
        <row r="52">
          <cell r="A52" t="str">
            <v>NL300074</v>
          </cell>
          <cell r="B52" t="str">
            <v>Lá chuối</v>
          </cell>
          <cell r="C52" t="str">
            <v>KG</v>
          </cell>
          <cell r="D52">
            <v>18000</v>
          </cell>
          <cell r="E52" t="str">
            <v>VND</v>
          </cell>
        </row>
        <row r="53">
          <cell r="A53" t="str">
            <v>NL300076</v>
          </cell>
          <cell r="B53" t="str">
            <v>Lá hẹ</v>
          </cell>
          <cell r="C53" t="str">
            <v>KG</v>
          </cell>
          <cell r="D53">
            <v>38000</v>
          </cell>
          <cell r="E53" t="str">
            <v>VND</v>
          </cell>
        </row>
        <row r="54">
          <cell r="A54" t="str">
            <v>NL300077</v>
          </cell>
          <cell r="B54" t="str">
            <v>Lá lốt (có cuống)</v>
          </cell>
          <cell r="C54" t="str">
            <v>KG</v>
          </cell>
          <cell r="D54">
            <v>30000</v>
          </cell>
          <cell r="E54" t="str">
            <v>VND</v>
          </cell>
        </row>
        <row r="55">
          <cell r="A55" t="str">
            <v>NL300080</v>
          </cell>
          <cell r="B55" t="str">
            <v>Lá vừng Hàn Quốc - Lá kê nhíp</v>
          </cell>
          <cell r="C55" t="str">
            <v>KG</v>
          </cell>
          <cell r="D55">
            <v>95000</v>
          </cell>
          <cell r="E55" t="str">
            <v>VND</v>
          </cell>
        </row>
        <row r="56">
          <cell r="A56" t="str">
            <v>NL300084</v>
          </cell>
          <cell r="B56" t="str">
            <v>Mồng tơi nhặt</v>
          </cell>
          <cell r="C56" t="str">
            <v>KG</v>
          </cell>
          <cell r="D56">
            <v>22000</v>
          </cell>
          <cell r="E56" t="str">
            <v>VND</v>
          </cell>
        </row>
        <row r="57">
          <cell r="A57" t="str">
            <v>NL300085</v>
          </cell>
          <cell r="B57" t="str">
            <v>Mùi ta ( Ngò rí )</v>
          </cell>
          <cell r="C57" t="str">
            <v>KG</v>
          </cell>
          <cell r="D57">
            <v>45000</v>
          </cell>
          <cell r="E57" t="str">
            <v>VND</v>
          </cell>
        </row>
        <row r="58">
          <cell r="A58" t="str">
            <v>NL300086</v>
          </cell>
          <cell r="B58" t="str">
            <v>Mùi tàu ( Ngò gai )</v>
          </cell>
          <cell r="C58" t="str">
            <v>KG</v>
          </cell>
          <cell r="D58">
            <v>33000</v>
          </cell>
          <cell r="E58" t="str">
            <v>VND</v>
          </cell>
        </row>
        <row r="59">
          <cell r="A59" t="str">
            <v>NL300088</v>
          </cell>
          <cell r="B59" t="str">
            <v>Mướp hương</v>
          </cell>
          <cell r="C59" t="str">
            <v>KG</v>
          </cell>
          <cell r="D59">
            <v>27000</v>
          </cell>
          <cell r="E59" t="str">
            <v>VND</v>
          </cell>
        </row>
        <row r="60">
          <cell r="A60" t="str">
            <v>NL300089</v>
          </cell>
          <cell r="B60" t="str">
            <v>Mướp đắng (khổ qua)</v>
          </cell>
          <cell r="C60" t="str">
            <v>KG</v>
          </cell>
          <cell r="D60">
            <v>30000</v>
          </cell>
          <cell r="E60" t="str">
            <v>VND</v>
          </cell>
        </row>
        <row r="61">
          <cell r="A61" t="str">
            <v>NL300090</v>
          </cell>
          <cell r="B61" t="str">
            <v>Nấm đông cô tươi</v>
          </cell>
          <cell r="C61" t="str">
            <v>KG</v>
          </cell>
          <cell r="D61">
            <v>145000</v>
          </cell>
          <cell r="E61" t="str">
            <v>VND</v>
          </cell>
        </row>
        <row r="62">
          <cell r="A62" t="str">
            <v>NL300091</v>
          </cell>
          <cell r="B62" t="str">
            <v>Nấm đùi gà</v>
          </cell>
          <cell r="C62" t="str">
            <v>KG</v>
          </cell>
          <cell r="D62">
            <v>47000</v>
          </cell>
          <cell r="E62" t="str">
            <v>VND</v>
          </cell>
        </row>
        <row r="63">
          <cell r="A63" t="str">
            <v>NL300092</v>
          </cell>
          <cell r="B63" t="str">
            <v>Nấm đùi gà baby</v>
          </cell>
          <cell r="C63" t="str">
            <v>KG</v>
          </cell>
          <cell r="D63">
            <v>90000</v>
          </cell>
          <cell r="E63" t="str">
            <v>VND</v>
          </cell>
        </row>
        <row r="64">
          <cell r="A64" t="str">
            <v>NL300094</v>
          </cell>
          <cell r="B64" t="str">
            <v>Nấm hải sản</v>
          </cell>
          <cell r="C64" t="str">
            <v>KG</v>
          </cell>
          <cell r="D64">
            <v>80000</v>
          </cell>
          <cell r="E64" t="str">
            <v>VND</v>
          </cell>
        </row>
        <row r="65">
          <cell r="A65" t="str">
            <v>NL300096</v>
          </cell>
          <cell r="B65" t="str">
            <v>Nấm kim châm tươi</v>
          </cell>
          <cell r="C65" t="str">
            <v>KG</v>
          </cell>
          <cell r="D65">
            <v>45000</v>
          </cell>
          <cell r="E65" t="str">
            <v>VND</v>
          </cell>
        </row>
        <row r="66">
          <cell r="A66" t="str">
            <v>NL300097</v>
          </cell>
          <cell r="B66" t="str">
            <v>Nấm Linh Chi nâu</v>
          </cell>
          <cell r="C66" t="str">
            <v>KG</v>
          </cell>
          <cell r="D66">
            <v>90000</v>
          </cell>
          <cell r="E66" t="str">
            <v>VND</v>
          </cell>
        </row>
        <row r="67">
          <cell r="A67" t="str">
            <v>NL300098</v>
          </cell>
          <cell r="B67" t="str">
            <v>Nấm Linh Chi trắng</v>
          </cell>
          <cell r="C67" t="str">
            <v>KG</v>
          </cell>
          <cell r="D67">
            <v>95000</v>
          </cell>
          <cell r="E67" t="str">
            <v>VND</v>
          </cell>
        </row>
        <row r="68">
          <cell r="A68" t="str">
            <v>NL300101</v>
          </cell>
          <cell r="B68" t="str">
            <v>Nấm Mối</v>
          </cell>
          <cell r="C68" t="str">
            <v>KG</v>
          </cell>
          <cell r="D68">
            <v>195000</v>
          </cell>
          <cell r="E68" t="str">
            <v>VND</v>
          </cell>
        </row>
        <row r="69">
          <cell r="A69" t="str">
            <v>NL300105</v>
          </cell>
          <cell r="B69" t="str">
            <v>Nghệ</v>
          </cell>
          <cell r="C69" t="str">
            <v>KG</v>
          </cell>
          <cell r="D69">
            <v>36000</v>
          </cell>
          <cell r="E69" t="str">
            <v>VND</v>
          </cell>
        </row>
        <row r="70">
          <cell r="A70" t="str">
            <v>NL300107</v>
          </cell>
          <cell r="B70" t="str">
            <v>Ngô ngọt ( Bắp trái)</v>
          </cell>
          <cell r="C70" t="str">
            <v>CÁI</v>
          </cell>
          <cell r="D70">
            <v>8500</v>
          </cell>
          <cell r="E70" t="str">
            <v>VND</v>
          </cell>
        </row>
        <row r="71">
          <cell r="A71" t="str">
            <v>NL300111</v>
          </cell>
          <cell r="B71" t="str">
            <v>Ớt chỉ thiên</v>
          </cell>
          <cell r="C71" t="str">
            <v>KG</v>
          </cell>
          <cell r="D71">
            <v>185000</v>
          </cell>
          <cell r="E71" t="str">
            <v>VND</v>
          </cell>
        </row>
        <row r="72">
          <cell r="A72" t="str">
            <v>NL300112</v>
          </cell>
          <cell r="B72" t="str">
            <v>Ớt đỏ Đà Lạt</v>
          </cell>
          <cell r="C72" t="str">
            <v>KG</v>
          </cell>
          <cell r="D72">
            <v>63000</v>
          </cell>
          <cell r="E72" t="str">
            <v>VND</v>
          </cell>
        </row>
        <row r="73">
          <cell r="A73" t="str">
            <v>NL300113</v>
          </cell>
          <cell r="B73" t="str">
            <v>Ớt hiểm đỏ</v>
          </cell>
          <cell r="C73" t="str">
            <v>KG</v>
          </cell>
          <cell r="D73">
            <v>145000</v>
          </cell>
          <cell r="E73" t="str">
            <v>VND</v>
          </cell>
        </row>
        <row r="74">
          <cell r="A74" t="str">
            <v>NL300116</v>
          </cell>
          <cell r="B74" t="str">
            <v>Ớt sừng</v>
          </cell>
          <cell r="C74" t="str">
            <v>KG</v>
          </cell>
          <cell r="D74">
            <v>148000</v>
          </cell>
          <cell r="E74" t="str">
            <v>VND</v>
          </cell>
        </row>
        <row r="75">
          <cell r="A75" t="str">
            <v>NL300119</v>
          </cell>
          <cell r="B75" t="str">
            <v>Quất ( Tắc trái )</v>
          </cell>
          <cell r="C75" t="str">
            <v>KG</v>
          </cell>
          <cell r="D75">
            <v>21000</v>
          </cell>
          <cell r="E75" t="str">
            <v>VND</v>
          </cell>
        </row>
        <row r="76">
          <cell r="A76" t="str">
            <v>NL300120</v>
          </cell>
          <cell r="B76" t="str">
            <v>Quế vị</v>
          </cell>
          <cell r="C76" t="str">
            <v>KG</v>
          </cell>
          <cell r="D76">
            <v>36000</v>
          </cell>
          <cell r="E76" t="str">
            <v>VND</v>
          </cell>
        </row>
        <row r="77">
          <cell r="A77" t="str">
            <v>NL300121</v>
          </cell>
          <cell r="B77" t="str">
            <v>Rau răm</v>
          </cell>
          <cell r="C77" t="str">
            <v>KG</v>
          </cell>
          <cell r="D77">
            <v>22000</v>
          </cell>
          <cell r="E77" t="str">
            <v>VND</v>
          </cell>
        </row>
        <row r="78">
          <cell r="A78" t="str">
            <v>NL300122</v>
          </cell>
          <cell r="B78" t="str">
            <v>Rau càng cua</v>
          </cell>
          <cell r="C78" t="str">
            <v>KG</v>
          </cell>
          <cell r="D78">
            <v>35000</v>
          </cell>
          <cell r="E78" t="str">
            <v>VND</v>
          </cell>
        </row>
        <row r="79">
          <cell r="A79" t="str">
            <v>NL300125</v>
          </cell>
          <cell r="B79" t="str">
            <v>Rau má</v>
          </cell>
          <cell r="C79" t="str">
            <v>KG</v>
          </cell>
          <cell r="D79">
            <v>42000</v>
          </cell>
          <cell r="E79" t="str">
            <v>VND</v>
          </cell>
        </row>
        <row r="80">
          <cell r="A80" t="str">
            <v>NL300126</v>
          </cell>
          <cell r="B80" t="str">
            <v>Rau mùi tây</v>
          </cell>
          <cell r="C80" t="str">
            <v>KG</v>
          </cell>
          <cell r="D80">
            <v>70000</v>
          </cell>
          <cell r="E80" t="str">
            <v>VND</v>
          </cell>
        </row>
        <row r="81">
          <cell r="A81" t="str">
            <v>NL300127</v>
          </cell>
          <cell r="B81" t="str">
            <v>Rau muống</v>
          </cell>
          <cell r="C81" t="str">
            <v>KG</v>
          </cell>
          <cell r="D81">
            <v>28000</v>
          </cell>
          <cell r="E81" t="str">
            <v>VND</v>
          </cell>
        </row>
        <row r="82">
          <cell r="A82" t="str">
            <v>NL300128</v>
          </cell>
          <cell r="B82" t="str">
            <v>Rau ngổ</v>
          </cell>
          <cell r="C82" t="str">
            <v>KG</v>
          </cell>
          <cell r="D82">
            <v>20000</v>
          </cell>
          <cell r="E82" t="str">
            <v>VND</v>
          </cell>
        </row>
        <row r="83">
          <cell r="A83" t="str">
            <v>NL300131</v>
          </cell>
          <cell r="B83" t="str">
            <v>Xà lách Rocket</v>
          </cell>
          <cell r="C83" t="str">
            <v>KG</v>
          </cell>
          <cell r="D83">
            <v>220000</v>
          </cell>
          <cell r="E83" t="str">
            <v>VND</v>
          </cell>
        </row>
        <row r="84">
          <cell r="A84" t="str">
            <v>NL300132</v>
          </cell>
          <cell r="B84" t="str">
            <v>Sả cây</v>
          </cell>
          <cell r="C84" t="str">
            <v>KG</v>
          </cell>
          <cell r="D84">
            <v>12000</v>
          </cell>
          <cell r="E84" t="str">
            <v>VND</v>
          </cell>
        </row>
        <row r="85">
          <cell r="A85" t="str">
            <v>NL300137</v>
          </cell>
          <cell r="B85" t="str">
            <v>Súp lơ xanh</v>
          </cell>
          <cell r="C85" t="str">
            <v>KG</v>
          </cell>
          <cell r="D85">
            <v>52000</v>
          </cell>
          <cell r="E85" t="str">
            <v>VND</v>
          </cell>
        </row>
        <row r="86">
          <cell r="A86" t="str">
            <v>NL300138</v>
          </cell>
          <cell r="B86" t="str">
            <v>Su su quả</v>
          </cell>
          <cell r="C86" t="str">
            <v>KG</v>
          </cell>
          <cell r="D86">
            <v>20000</v>
          </cell>
          <cell r="E86" t="str">
            <v>VND</v>
          </cell>
        </row>
        <row r="87">
          <cell r="A87" t="str">
            <v>NL300139</v>
          </cell>
          <cell r="B87" t="str">
            <v>Thì là</v>
          </cell>
          <cell r="C87" t="str">
            <v>KG</v>
          </cell>
          <cell r="D87">
            <v>42000</v>
          </cell>
          <cell r="E87" t="str">
            <v>VND</v>
          </cell>
        </row>
        <row r="88">
          <cell r="A88" t="str">
            <v>NL300140</v>
          </cell>
          <cell r="B88" t="str">
            <v>Tía tô</v>
          </cell>
          <cell r="C88" t="str">
            <v>KG</v>
          </cell>
          <cell r="D88">
            <v>36000</v>
          </cell>
          <cell r="E88" t="str">
            <v>VND</v>
          </cell>
        </row>
        <row r="89">
          <cell r="A89" t="str">
            <v>NL300141</v>
          </cell>
          <cell r="B89" t="str">
            <v>Tiêu xanh</v>
          </cell>
          <cell r="C89" t="str">
            <v>KG</v>
          </cell>
          <cell r="D89">
            <v>92000</v>
          </cell>
          <cell r="E89" t="str">
            <v>VND</v>
          </cell>
        </row>
        <row r="90">
          <cell r="A90" t="str">
            <v>NL300142</v>
          </cell>
          <cell r="B90" t="str">
            <v>Tỏi bóc</v>
          </cell>
          <cell r="C90" t="str">
            <v>KG</v>
          </cell>
          <cell r="D90">
            <v>50000</v>
          </cell>
          <cell r="E90" t="str">
            <v>VND</v>
          </cell>
        </row>
        <row r="91">
          <cell r="A91" t="str">
            <v>NL300144</v>
          </cell>
          <cell r="B91" t="str">
            <v>Tỏi ta</v>
          </cell>
          <cell r="C91" t="str">
            <v>KG</v>
          </cell>
          <cell r="D91">
            <v>90000</v>
          </cell>
          <cell r="E91" t="str">
            <v>VND</v>
          </cell>
        </row>
        <row r="92">
          <cell r="A92" t="str">
            <v>NL300145</v>
          </cell>
          <cell r="B92" t="str">
            <v>Xà lách</v>
          </cell>
          <cell r="C92" t="str">
            <v>KG</v>
          </cell>
          <cell r="D92">
            <v>38000</v>
          </cell>
          <cell r="E92" t="str">
            <v>VND</v>
          </cell>
        </row>
        <row r="93">
          <cell r="A93" t="str">
            <v>NL300146</v>
          </cell>
          <cell r="B93" t="str">
            <v>Xà lách cuộn</v>
          </cell>
          <cell r="C93" t="str">
            <v>KG</v>
          </cell>
          <cell r="D93">
            <v>65000</v>
          </cell>
          <cell r="E93" t="str">
            <v>VND</v>
          </cell>
        </row>
        <row r="94">
          <cell r="A94" t="str">
            <v>NL300147</v>
          </cell>
          <cell r="B94" t="str">
            <v>Xà lách Roman</v>
          </cell>
          <cell r="C94" t="str">
            <v>KG</v>
          </cell>
          <cell r="D94">
            <v>62000</v>
          </cell>
          <cell r="E94" t="str">
            <v>VND</v>
          </cell>
        </row>
        <row r="95">
          <cell r="A95" t="str">
            <v>NL300148</v>
          </cell>
          <cell r="B95" t="str">
            <v>Xà lách tím</v>
          </cell>
          <cell r="C95" t="str">
            <v>KG</v>
          </cell>
          <cell r="D95">
            <v>65000</v>
          </cell>
          <cell r="E95" t="str">
            <v>VND</v>
          </cell>
        </row>
        <row r="96">
          <cell r="A96" t="str">
            <v>NL300150</v>
          </cell>
          <cell r="B96" t="str">
            <v>Xoài xanh</v>
          </cell>
          <cell r="C96" t="str">
            <v>KG</v>
          </cell>
          <cell r="D96">
            <v>24000</v>
          </cell>
          <cell r="E96" t="str">
            <v>VND</v>
          </cell>
        </row>
        <row r="97">
          <cell r="A97" t="str">
            <v>NL300152</v>
          </cell>
          <cell r="B97" t="str">
            <v>Ớt vàng Đà Lạt</v>
          </cell>
          <cell r="C97" t="str">
            <v>KG</v>
          </cell>
          <cell r="D97">
            <v>65000</v>
          </cell>
          <cell r="E97" t="str">
            <v>VND</v>
          </cell>
        </row>
        <row r="98">
          <cell r="A98" t="str">
            <v>NL300153</v>
          </cell>
          <cell r="B98" t="str">
            <v>Ớt xanh Đà Lạt</v>
          </cell>
          <cell r="C98" t="str">
            <v>KG</v>
          </cell>
          <cell r="D98">
            <v>46000</v>
          </cell>
          <cell r="E98" t="str">
            <v>VND</v>
          </cell>
        </row>
        <row r="99">
          <cell r="A99" t="str">
            <v>NL300155</v>
          </cell>
          <cell r="B99" t="str">
            <v>Cải chua nguyên cây</v>
          </cell>
          <cell r="C99" t="str">
            <v>KG</v>
          </cell>
          <cell r="D99">
            <v>22000</v>
          </cell>
          <cell r="E99" t="str">
            <v>VND</v>
          </cell>
        </row>
        <row r="100">
          <cell r="A100" t="str">
            <v>NL300156</v>
          </cell>
          <cell r="B100" t="str">
            <v>Đậu cove Pháp</v>
          </cell>
          <cell r="C100" t="str">
            <v>KG</v>
          </cell>
          <cell r="D100">
            <v>75000</v>
          </cell>
          <cell r="E100" t="str">
            <v>VND</v>
          </cell>
        </row>
        <row r="101">
          <cell r="A101" t="str">
            <v>NL300158</v>
          </cell>
          <cell r="B101" t="str">
            <v>Nấm mỡ đen</v>
          </cell>
          <cell r="C101" t="str">
            <v>kg</v>
          </cell>
          <cell r="D101">
            <v>250000</v>
          </cell>
          <cell r="E101" t="str">
            <v>VND</v>
          </cell>
        </row>
        <row r="102">
          <cell r="A102" t="str">
            <v>NL300162</v>
          </cell>
          <cell r="B102" t="str">
            <v>Lá sao nhái</v>
          </cell>
          <cell r="C102" t="str">
            <v>KG</v>
          </cell>
          <cell r="D102">
            <v>36000</v>
          </cell>
          <cell r="E102" t="str">
            <v>VND</v>
          </cell>
        </row>
        <row r="103">
          <cell r="A103" t="str">
            <v>NL300167</v>
          </cell>
          <cell r="B103" t="str">
            <v>Đỗ cove</v>
          </cell>
          <cell r="C103" t="str">
            <v>KG</v>
          </cell>
          <cell r="D103">
            <v>75000</v>
          </cell>
          <cell r="E103" t="str">
            <v>VND</v>
          </cell>
        </row>
        <row r="104">
          <cell r="A104" t="str">
            <v>NL300173</v>
          </cell>
          <cell r="B104" t="str">
            <v>Lá giang</v>
          </cell>
          <cell r="C104" t="str">
            <v>KG</v>
          </cell>
          <cell r="D104">
            <v>80000</v>
          </cell>
          <cell r="E104" t="str">
            <v>VND</v>
          </cell>
        </row>
        <row r="105">
          <cell r="A105" t="str">
            <v>NL300174</v>
          </cell>
          <cell r="B105" t="str">
            <v>Bầu</v>
          </cell>
          <cell r="C105" t="str">
            <v>KG</v>
          </cell>
          <cell r="D105">
            <v>24000</v>
          </cell>
          <cell r="E105" t="str">
            <v>VND</v>
          </cell>
        </row>
        <row r="106">
          <cell r="A106" t="str">
            <v>NL300184</v>
          </cell>
          <cell r="B106" t="str">
            <v>Lá Dứa (lá nếp)</v>
          </cell>
          <cell r="C106" t="str">
            <v>KG</v>
          </cell>
          <cell r="D106">
            <v>18000</v>
          </cell>
          <cell r="E106" t="str">
            <v>VND</v>
          </cell>
        </row>
        <row r="107">
          <cell r="A107" t="str">
            <v>NL300188</v>
          </cell>
          <cell r="B107" t="str">
            <v>Củ Sắn ( Bếp)</v>
          </cell>
          <cell r="C107" t="str">
            <v>KG</v>
          </cell>
          <cell r="D107">
            <v>12000</v>
          </cell>
          <cell r="E107" t="str">
            <v>VND</v>
          </cell>
        </row>
        <row r="108">
          <cell r="A108" t="str">
            <v>NL300189</v>
          </cell>
          <cell r="B108" t="str">
            <v>Bánh ướt</v>
          </cell>
          <cell r="C108" t="str">
            <v>KG</v>
          </cell>
          <cell r="D108">
            <v>15000</v>
          </cell>
          <cell r="E108" t="str">
            <v>VND</v>
          </cell>
        </row>
        <row r="109">
          <cell r="A109" t="str">
            <v>NL300203</v>
          </cell>
          <cell r="B109" t="str">
            <v>Cải bó xôi</v>
          </cell>
          <cell r="C109" t="str">
            <v>KG</v>
          </cell>
          <cell r="D109">
            <v>45000</v>
          </cell>
          <cell r="E109" t="str">
            <v>VND</v>
          </cell>
        </row>
        <row r="110">
          <cell r="A110" t="str">
            <v>NL300209</v>
          </cell>
          <cell r="B110" t="str">
            <v>Khoai môn</v>
          </cell>
          <cell r="C110" t="str">
            <v>KG</v>
          </cell>
          <cell r="D110">
            <v>30000</v>
          </cell>
          <cell r="E110" t="str">
            <v>VND</v>
          </cell>
        </row>
        <row r="111">
          <cell r="A111" t="str">
            <v>NL300218</v>
          </cell>
          <cell r="B111" t="str">
            <v>Hoa cúc (decor) bó</v>
          </cell>
          <cell r="C111" t="str">
            <v>BÓ</v>
          </cell>
          <cell r="D111">
            <v>40000</v>
          </cell>
          <cell r="E111" t="str">
            <v>VND</v>
          </cell>
        </row>
        <row r="112">
          <cell r="A112" t="str">
            <v>NL300229</v>
          </cell>
          <cell r="B112" t="str">
            <v>Lá trúc (Decor)</v>
          </cell>
          <cell r="C112" t="str">
            <v>KG</v>
          </cell>
          <cell r="D112">
            <v>100000</v>
          </cell>
          <cell r="E112" t="str">
            <v>VND</v>
          </cell>
        </row>
        <row r="113">
          <cell r="A113" t="str">
            <v>NL300230</v>
          </cell>
          <cell r="B113" t="str">
            <v>Cải Mầm</v>
          </cell>
          <cell r="C113" t="str">
            <v>KG</v>
          </cell>
          <cell r="D113">
            <v>80000</v>
          </cell>
          <cell r="E113" t="str">
            <v>VND</v>
          </cell>
        </row>
        <row r="114">
          <cell r="A114" t="str">
            <v>NL300232</v>
          </cell>
          <cell r="B114" t="str">
            <v>Xà lách thủy tinh</v>
          </cell>
          <cell r="C114" t="str">
            <v>KG</v>
          </cell>
          <cell r="D114">
            <v>75000</v>
          </cell>
          <cell r="E114" t="str">
            <v>VND</v>
          </cell>
        </row>
        <row r="115">
          <cell r="A115" t="str">
            <v>NL410008</v>
          </cell>
          <cell r="B115" t="str">
            <v>Cá diêu hồng NV</v>
          </cell>
          <cell r="C115" t="str">
            <v>KG</v>
          </cell>
          <cell r="D115">
            <v>82000</v>
          </cell>
          <cell r="E115" t="str">
            <v>VND</v>
          </cell>
        </row>
        <row r="116">
          <cell r="A116" t="str">
            <v>NL410009</v>
          </cell>
          <cell r="B116" t="str">
            <v>Cá hú NV</v>
          </cell>
          <cell r="C116" t="str">
            <v>KG</v>
          </cell>
          <cell r="D116">
            <v>85000</v>
          </cell>
          <cell r="E116" t="str">
            <v>VND</v>
          </cell>
        </row>
        <row r="117">
          <cell r="A117" t="str">
            <v>NL410011</v>
          </cell>
          <cell r="B117" t="str">
            <v>Cá ngừ NV</v>
          </cell>
          <cell r="C117" t="str">
            <v>KG</v>
          </cell>
          <cell r="D117">
            <v>120000</v>
          </cell>
          <cell r="E117" t="str">
            <v>VND</v>
          </cell>
        </row>
        <row r="118">
          <cell r="A118" t="str">
            <v>NL410015</v>
          </cell>
          <cell r="B118" t="str">
            <v>Cá quả (Cá lóc) NV</v>
          </cell>
          <cell r="C118" t="str">
            <v>KG</v>
          </cell>
          <cell r="D118">
            <v>85000</v>
          </cell>
          <cell r="E118" t="str">
            <v>VND</v>
          </cell>
        </row>
        <row r="119">
          <cell r="A119" t="str">
            <v>NL410018</v>
          </cell>
          <cell r="B119" t="str">
            <v>Cá tra NV ( Cá basa NV )</v>
          </cell>
          <cell r="C119" t="str">
            <v>KG</v>
          </cell>
          <cell r="D119">
            <v>82000</v>
          </cell>
          <cell r="E119" t="str">
            <v>VND</v>
          </cell>
        </row>
        <row r="120">
          <cell r="A120" t="str">
            <v>NL410022</v>
          </cell>
          <cell r="B120" t="str">
            <v>Chả cá NV</v>
          </cell>
          <cell r="C120" t="str">
            <v>KG</v>
          </cell>
          <cell r="D120">
            <v>112000</v>
          </cell>
          <cell r="E120" t="str">
            <v>VND</v>
          </cell>
        </row>
        <row r="121">
          <cell r="A121" t="str">
            <v>NL410083</v>
          </cell>
          <cell r="B121" t="str">
            <v>Tép tươi NV</v>
          </cell>
          <cell r="C121" t="str">
            <v>KG</v>
          </cell>
          <cell r="D121">
            <v>145000</v>
          </cell>
          <cell r="E121" t="str">
            <v>VND</v>
          </cell>
        </row>
        <row r="122">
          <cell r="A122" t="str">
            <v>NL410106</v>
          </cell>
          <cell r="B122" t="str">
            <v>Trứng vịt NV</v>
          </cell>
          <cell r="C122" t="str">
            <v>QUẢ</v>
          </cell>
          <cell r="D122">
            <v>4000</v>
          </cell>
          <cell r="E122" t="str">
            <v>VND</v>
          </cell>
        </row>
        <row r="123">
          <cell r="A123" t="str">
            <v>NL410117</v>
          </cell>
          <cell r="B123" t="str">
            <v>Cá mó NV</v>
          </cell>
          <cell r="C123" t="str">
            <v>KG</v>
          </cell>
          <cell r="D123">
            <v>120000</v>
          </cell>
          <cell r="E123" t="str">
            <v>VND</v>
          </cell>
        </row>
        <row r="124">
          <cell r="A124" t="str">
            <v>NL410121</v>
          </cell>
          <cell r="B124" t="str">
            <v>Đùi gà góc tư NV</v>
          </cell>
          <cell r="C124" t="str">
            <v>KG</v>
          </cell>
          <cell r="D124">
            <v>80000</v>
          </cell>
          <cell r="E124" t="str">
            <v>VND</v>
          </cell>
        </row>
        <row r="125">
          <cell r="A125" t="str">
            <v>NL420037</v>
          </cell>
          <cell r="B125" t="str">
            <v>Phở sợi NV</v>
          </cell>
          <cell r="C125" t="str">
            <v>KG</v>
          </cell>
          <cell r="D125">
            <v>16000</v>
          </cell>
          <cell r="E125" t="str">
            <v>VND</v>
          </cell>
        </row>
        <row r="126">
          <cell r="A126" t="str">
            <v>NL430004</v>
          </cell>
          <cell r="B126" t="str">
            <v>Bắp cải NV</v>
          </cell>
          <cell r="C126" t="str">
            <v>kg</v>
          </cell>
          <cell r="D126">
            <v>19000</v>
          </cell>
          <cell r="E126" t="str">
            <v>VND</v>
          </cell>
        </row>
        <row r="127">
          <cell r="A127" t="str">
            <v>NL430007</v>
          </cell>
          <cell r="B127" t="str">
            <v>Bí đỏ NV</v>
          </cell>
          <cell r="C127" t="str">
            <v>kg</v>
          </cell>
          <cell r="D127">
            <v>30000</v>
          </cell>
          <cell r="E127" t="str">
            <v>VND</v>
          </cell>
        </row>
        <row r="128">
          <cell r="A128" t="str">
            <v>NL430009</v>
          </cell>
          <cell r="B128" t="str">
            <v>Bí xanh NV</v>
          </cell>
          <cell r="C128" t="str">
            <v>KG</v>
          </cell>
          <cell r="D128">
            <v>28000</v>
          </cell>
          <cell r="E128" t="str">
            <v>VND</v>
          </cell>
        </row>
        <row r="129">
          <cell r="A129" t="str">
            <v>NL430011</v>
          </cell>
          <cell r="B129" t="str">
            <v>Bún NV</v>
          </cell>
          <cell r="C129" t="str">
            <v>KG</v>
          </cell>
          <cell r="D129">
            <v>12000</v>
          </cell>
          <cell r="E129" t="str">
            <v>VND</v>
          </cell>
        </row>
        <row r="130">
          <cell r="A130" t="str">
            <v>NL430012</v>
          </cell>
          <cell r="B130" t="str">
            <v>Cà chua NV</v>
          </cell>
          <cell r="C130" t="str">
            <v>KG</v>
          </cell>
          <cell r="D130">
            <v>50000</v>
          </cell>
          <cell r="E130" t="str">
            <v>VND</v>
          </cell>
        </row>
        <row r="131">
          <cell r="A131" t="str">
            <v>NL430019</v>
          </cell>
          <cell r="B131" t="str">
            <v>Cải ngọt NV</v>
          </cell>
          <cell r="C131" t="str">
            <v>KG</v>
          </cell>
          <cell r="D131">
            <v>24000</v>
          </cell>
          <cell r="E131" t="str">
            <v>VND</v>
          </cell>
        </row>
        <row r="132">
          <cell r="A132" t="str">
            <v>NL430020</v>
          </cell>
          <cell r="B132" t="str">
            <v>Cải thảo NV</v>
          </cell>
          <cell r="C132" t="str">
            <v>KG</v>
          </cell>
          <cell r="D132">
            <v>18000</v>
          </cell>
          <cell r="E132" t="str">
            <v>VND</v>
          </cell>
        </row>
        <row r="133">
          <cell r="A133" t="str">
            <v>NL430021</v>
          </cell>
          <cell r="B133" t="str">
            <v>Cải xanh NV</v>
          </cell>
          <cell r="C133" t="str">
            <v>KG</v>
          </cell>
          <cell r="D133">
            <v>28000</v>
          </cell>
          <cell r="E133" t="str">
            <v>VND</v>
          </cell>
        </row>
        <row r="134">
          <cell r="A134" t="str">
            <v>NL430025</v>
          </cell>
          <cell r="B134" t="str">
            <v>Cà pháo NV</v>
          </cell>
          <cell r="C134" t="str">
            <v>KG</v>
          </cell>
          <cell r="D134">
            <v>25000</v>
          </cell>
          <cell r="E134" t="str">
            <v>VND</v>
          </cell>
        </row>
        <row r="135">
          <cell r="A135" t="str">
            <v>NL430027</v>
          </cell>
          <cell r="B135" t="str">
            <v>Cà tím NV</v>
          </cell>
          <cell r="C135" t="str">
            <v>KG</v>
          </cell>
          <cell r="D135">
            <v>33000</v>
          </cell>
          <cell r="E135" t="str">
            <v>VND</v>
          </cell>
        </row>
        <row r="136">
          <cell r="A136" t="str">
            <v>NL430037</v>
          </cell>
          <cell r="B136" t="str">
            <v>Đậu bắp NV</v>
          </cell>
          <cell r="C136" t="str">
            <v>KG</v>
          </cell>
          <cell r="D136">
            <v>32000</v>
          </cell>
          <cell r="E136" t="str">
            <v>VND</v>
          </cell>
        </row>
        <row r="137">
          <cell r="A137" t="str">
            <v>NL430038</v>
          </cell>
          <cell r="B137" t="str">
            <v>Đậu đũa NV</v>
          </cell>
          <cell r="C137" t="str">
            <v>KG</v>
          </cell>
          <cell r="D137">
            <v>25000</v>
          </cell>
          <cell r="E137" t="str">
            <v>VND</v>
          </cell>
        </row>
        <row r="138">
          <cell r="A138" t="str">
            <v>NL430040</v>
          </cell>
          <cell r="B138" t="str">
            <v>Đậu phụ (NV)</v>
          </cell>
          <cell r="C138" t="str">
            <v>miếng</v>
          </cell>
          <cell r="D138">
            <v>4000</v>
          </cell>
          <cell r="E138" t="str">
            <v>VND</v>
          </cell>
        </row>
        <row r="139">
          <cell r="A139" t="str">
            <v>NL430041</v>
          </cell>
          <cell r="B139" t="str">
            <v>Đậu rồng NV</v>
          </cell>
          <cell r="C139" t="str">
            <v>KG</v>
          </cell>
          <cell r="D139">
            <v>63000</v>
          </cell>
          <cell r="E139" t="str">
            <v>VND</v>
          </cell>
        </row>
        <row r="140">
          <cell r="A140" t="str">
            <v>NL430043</v>
          </cell>
          <cell r="B140" t="str">
            <v>Dọc mùng NV</v>
          </cell>
          <cell r="C140" t="str">
            <v>KG</v>
          </cell>
          <cell r="D140">
            <v>17000</v>
          </cell>
          <cell r="E140" t="str">
            <v>VND</v>
          </cell>
        </row>
        <row r="141">
          <cell r="A141" t="str">
            <v>NL430045</v>
          </cell>
          <cell r="B141" t="str">
            <v>Dưa chua NV</v>
          </cell>
          <cell r="C141" t="str">
            <v>KG</v>
          </cell>
          <cell r="D141">
            <v>22000</v>
          </cell>
          <cell r="E141" t="str">
            <v>VND</v>
          </cell>
        </row>
        <row r="142">
          <cell r="A142" t="str">
            <v>NL430047</v>
          </cell>
          <cell r="B142" t="str">
            <v>Dưa hấu NV</v>
          </cell>
          <cell r="C142" t="str">
            <v>KG</v>
          </cell>
          <cell r="D142">
            <v>18000</v>
          </cell>
          <cell r="E142" t="str">
            <v>VND</v>
          </cell>
        </row>
        <row r="143">
          <cell r="A143" t="str">
            <v>NL430051</v>
          </cell>
          <cell r="B143" t="str">
            <v>Giá đỗ NV</v>
          </cell>
          <cell r="C143" t="str">
            <v>KG</v>
          </cell>
          <cell r="D143">
            <v>9000</v>
          </cell>
          <cell r="E143" t="str">
            <v>VND</v>
          </cell>
        </row>
        <row r="144">
          <cell r="A144" t="str">
            <v>NL430061</v>
          </cell>
          <cell r="B144" t="str">
            <v>Húng chó NV</v>
          </cell>
          <cell r="C144" t="str">
            <v>KG</v>
          </cell>
          <cell r="D144">
            <v>65000</v>
          </cell>
          <cell r="E144" t="str">
            <v>VND</v>
          </cell>
        </row>
        <row r="145">
          <cell r="A145" t="str">
            <v>NL430065</v>
          </cell>
          <cell r="B145" t="str">
            <v>Khoai mỡ NV</v>
          </cell>
          <cell r="C145" t="str">
            <v>KG</v>
          </cell>
          <cell r="D145">
            <v>35000</v>
          </cell>
          <cell r="E145" t="str">
            <v>VND</v>
          </cell>
        </row>
        <row r="146">
          <cell r="A146" t="str">
            <v>NL430077</v>
          </cell>
          <cell r="B146" t="str">
            <v>Súp lơ trắng NV</v>
          </cell>
          <cell r="C146" t="str">
            <v>kg</v>
          </cell>
          <cell r="D146">
            <v>50000</v>
          </cell>
          <cell r="E146" t="str">
            <v>VND</v>
          </cell>
        </row>
        <row r="147">
          <cell r="A147" t="str">
            <v>NL430087</v>
          </cell>
          <cell r="B147" t="str">
            <v>Mồng tơi NV</v>
          </cell>
          <cell r="C147" t="str">
            <v>KG</v>
          </cell>
          <cell r="D147">
            <v>22000</v>
          </cell>
          <cell r="E147" t="str">
            <v>VND</v>
          </cell>
        </row>
        <row r="148">
          <cell r="A148" t="str">
            <v>NL430090</v>
          </cell>
          <cell r="B148" t="str">
            <v>Rau muống (NV)</v>
          </cell>
          <cell r="C148" t="str">
            <v>KG</v>
          </cell>
          <cell r="D148">
            <v>15000</v>
          </cell>
          <cell r="E148" t="str">
            <v>VND</v>
          </cell>
        </row>
        <row r="149">
          <cell r="A149" t="str">
            <v>NL430091</v>
          </cell>
          <cell r="B149" t="str">
            <v>Rau muống chẻ NV</v>
          </cell>
          <cell r="C149" t="str">
            <v>KG</v>
          </cell>
          <cell r="D149">
            <v>25000</v>
          </cell>
          <cell r="E149" t="str">
            <v>VND</v>
          </cell>
        </row>
        <row r="150">
          <cell r="A150" t="str">
            <v>NL430092</v>
          </cell>
          <cell r="B150" t="str">
            <v>Mướp đắng NV ( Khổ qua NV )</v>
          </cell>
          <cell r="C150" t="str">
            <v>KG</v>
          </cell>
          <cell r="D150">
            <v>30000</v>
          </cell>
          <cell r="E150" t="str">
            <v>VND</v>
          </cell>
        </row>
        <row r="151">
          <cell r="A151" t="str">
            <v>NL430093</v>
          </cell>
          <cell r="B151" t="str">
            <v>Mướp NV</v>
          </cell>
          <cell r="C151" t="str">
            <v>KG</v>
          </cell>
          <cell r="D151">
            <v>27000</v>
          </cell>
          <cell r="E151" t="str">
            <v>VND</v>
          </cell>
        </row>
        <row r="152">
          <cell r="A152" t="str">
            <v>NL430109</v>
          </cell>
          <cell r="B152" t="str">
            <v>Ớt xanh NV</v>
          </cell>
          <cell r="C152" t="str">
            <v>kg</v>
          </cell>
          <cell r="D152">
            <v>46000</v>
          </cell>
          <cell r="E152" t="str">
            <v>VND</v>
          </cell>
        </row>
        <row r="153">
          <cell r="A153" t="str">
            <v>NL430115</v>
          </cell>
          <cell r="B153" t="str">
            <v>Rau cần NV</v>
          </cell>
          <cell r="C153" t="str">
            <v>KG</v>
          </cell>
          <cell r="D153">
            <v>38000</v>
          </cell>
          <cell r="E153" t="str">
            <v>VND</v>
          </cell>
        </row>
        <row r="154">
          <cell r="A154" t="str">
            <v>NL430118</v>
          </cell>
          <cell r="B154" t="str">
            <v>Rau dền NV</v>
          </cell>
          <cell r="C154" t="str">
            <v>KG</v>
          </cell>
          <cell r="D154">
            <v>38000</v>
          </cell>
          <cell r="E154" t="str">
            <v>VND</v>
          </cell>
        </row>
        <row r="155">
          <cell r="A155" t="str">
            <v>NL430120</v>
          </cell>
          <cell r="B155" t="str">
            <v>Rau má NV</v>
          </cell>
          <cell r="C155" t="str">
            <v>KG</v>
          </cell>
          <cell r="D155">
            <v>42000</v>
          </cell>
          <cell r="E155" t="str">
            <v>VND</v>
          </cell>
        </row>
        <row r="156">
          <cell r="A156" t="str">
            <v>NL430130</v>
          </cell>
          <cell r="B156" t="str">
            <v>Sả xay NV</v>
          </cell>
          <cell r="C156" t="str">
            <v>KG</v>
          </cell>
          <cell r="D156">
            <v>13000</v>
          </cell>
          <cell r="E156" t="str">
            <v>VND</v>
          </cell>
        </row>
        <row r="157">
          <cell r="A157" t="str">
            <v>NL430132</v>
          </cell>
          <cell r="B157" t="str">
            <v>Su su NV</v>
          </cell>
          <cell r="C157" t="str">
            <v>kg</v>
          </cell>
          <cell r="D157">
            <v>20000</v>
          </cell>
          <cell r="E157" t="str">
            <v>VND</v>
          </cell>
        </row>
        <row r="158">
          <cell r="A158" t="str">
            <v>NL430151</v>
          </cell>
          <cell r="B158" t="str">
            <v>Bánh canh NV</v>
          </cell>
          <cell r="C158" t="str">
            <v>kg</v>
          </cell>
          <cell r="D158">
            <v>20000</v>
          </cell>
          <cell r="E158" t="str">
            <v>VND</v>
          </cell>
        </row>
        <row r="159">
          <cell r="A159" t="str">
            <v>NL430158</v>
          </cell>
          <cell r="B159" t="str">
            <v>Xà lách son NV</v>
          </cell>
          <cell r="C159" t="str">
            <v>kg</v>
          </cell>
          <cell r="D159">
            <v>65000</v>
          </cell>
          <cell r="E159" t="str">
            <v>VND</v>
          </cell>
        </row>
        <row r="160">
          <cell r="A160" t="str">
            <v>NL430197</v>
          </cell>
          <cell r="B160" t="str">
            <v>Bún bò NV</v>
          </cell>
          <cell r="C160" t="str">
            <v>KG</v>
          </cell>
          <cell r="D160">
            <v>12000</v>
          </cell>
          <cell r="E160" t="str">
            <v>VND</v>
          </cell>
        </row>
        <row r="161">
          <cell r="A161" t="str">
            <v>NL430230</v>
          </cell>
          <cell r="B161" t="str">
            <v>Hoa chuối NV</v>
          </cell>
          <cell r="C161" t="str">
            <v>CÁI</v>
          </cell>
          <cell r="D161">
            <v>33000</v>
          </cell>
          <cell r="E161" t="str">
            <v>VND</v>
          </cell>
        </row>
        <row r="162">
          <cell r="A162" t="str">
            <v>NL430231</v>
          </cell>
          <cell r="B162" t="str">
            <v>Mắm Ruốc NV</v>
          </cell>
          <cell r="C162" t="str">
            <v>HỘP</v>
          </cell>
          <cell r="D162">
            <v>62000</v>
          </cell>
          <cell r="E162" t="str">
            <v>VND</v>
          </cell>
        </row>
        <row r="163">
          <cell r="A163" t="str">
            <v>NL600002</v>
          </cell>
          <cell r="B163" t="str">
            <v>Cam sành</v>
          </cell>
          <cell r="C163" t="str">
            <v>KG</v>
          </cell>
          <cell r="D163">
            <v>15000</v>
          </cell>
          <cell r="E163" t="str">
            <v>VND</v>
          </cell>
        </row>
        <row r="164">
          <cell r="A164" t="str">
            <v>NL600004</v>
          </cell>
          <cell r="B164" t="str">
            <v>Dưa hấu</v>
          </cell>
          <cell r="C164" t="str">
            <v>KG</v>
          </cell>
          <cell r="D164">
            <v>18000</v>
          </cell>
          <cell r="E164" t="str">
            <v>VND</v>
          </cell>
        </row>
        <row r="165">
          <cell r="A165" t="str">
            <v>NL600020</v>
          </cell>
          <cell r="B165" t="str">
            <v>Dứa quả (Đồ Bar)</v>
          </cell>
          <cell r="C165" t="str">
            <v>QUẢ</v>
          </cell>
          <cell r="D165">
            <v>18000</v>
          </cell>
          <cell r="E165" t="str">
            <v>VND</v>
          </cell>
        </row>
        <row r="166">
          <cell r="A166" t="str">
            <v>NL600067</v>
          </cell>
          <cell r="B166" t="str">
            <v>Cam vàng</v>
          </cell>
          <cell r="C166" t="str">
            <v>KG</v>
          </cell>
          <cell r="D166">
            <v>75000</v>
          </cell>
          <cell r="E166" t="str">
            <v>VND</v>
          </cell>
        </row>
        <row r="167">
          <cell r="A167" t="str">
            <v>NL600068</v>
          </cell>
          <cell r="B167" t="str">
            <v>Chanh vàng</v>
          </cell>
          <cell r="C167" t="str">
            <v>KG</v>
          </cell>
          <cell r="D167">
            <v>95000</v>
          </cell>
          <cell r="E167" t="str">
            <v>VND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0"/>
  <sheetViews>
    <sheetView showGridLines="0" workbookViewId="0">
      <selection activeCell="A6" sqref="A6:K6"/>
    </sheetView>
  </sheetViews>
  <sheetFormatPr defaultRowHeight="15" x14ac:dyDescent="0.25"/>
  <cols>
    <col min="1" max="1" width="17.42578125" customWidth="1"/>
    <col min="2" max="2" width="20.5703125" customWidth="1"/>
    <col min="3" max="3" width="22.42578125" customWidth="1"/>
    <col min="4" max="4" width="29" customWidth="1"/>
    <col min="5" max="5" width="12" customWidth="1"/>
    <col min="6" max="6" width="20.85546875" customWidth="1"/>
    <col min="7" max="7" width="11" customWidth="1"/>
    <col min="8" max="8" width="17.140625" customWidth="1"/>
    <col min="9" max="9" width="18.28515625" customWidth="1"/>
    <col min="10" max="10" width="14.7109375" customWidth="1"/>
    <col min="11" max="11" width="25.85546875" customWidth="1"/>
  </cols>
  <sheetData>
    <row r="1" spans="1:11" ht="9.6" customHeight="1" x14ac:dyDescent="0.25"/>
    <row r="2" spans="1:11" ht="102.95" customHeight="1" x14ac:dyDescent="0.25">
      <c r="A2" s="13"/>
      <c r="B2" s="11"/>
      <c r="C2" s="12"/>
      <c r="D2" s="14" t="s">
        <v>0</v>
      </c>
      <c r="E2" s="11"/>
      <c r="F2" s="11"/>
      <c r="G2" s="11"/>
      <c r="H2" s="11"/>
      <c r="I2" s="11"/>
      <c r="J2" s="11"/>
      <c r="K2" s="12"/>
    </row>
    <row r="3" spans="1:11" ht="1.1499999999999999" customHeight="1" x14ac:dyDescent="0.25"/>
    <row r="4" spans="1:11" ht="24.75" customHeight="1" x14ac:dyDescent="0.25">
      <c r="A4" s="15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11" ht="2.1" customHeight="1" x14ac:dyDescent="0.25"/>
    <row r="6" spans="1:11" ht="22.5" customHeight="1" x14ac:dyDescent="0.25">
      <c r="A6" s="16" t="s">
        <v>97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 spans="1:11" ht="3" customHeight="1" x14ac:dyDescent="0.25"/>
    <row r="8" spans="1:11" ht="24.95" customHeight="1" x14ac:dyDescent="0.25">
      <c r="A8" s="10" t="s">
        <v>90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 spans="1:11" ht="4.1500000000000004" customHeight="1" x14ac:dyDescent="0.25"/>
    <row r="10" spans="1:11" ht="23.25" customHeight="1" x14ac:dyDescent="0.25">
      <c r="A10" s="10" t="s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spans="1:11" ht="3.95" customHeight="1" x14ac:dyDescent="0.25"/>
    <row r="12" spans="1:11" ht="23.85" customHeight="1" x14ac:dyDescent="0.25">
      <c r="A12" s="10" t="s">
        <v>3</v>
      </c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 spans="1:11" ht="27.75" customHeight="1" x14ac:dyDescent="0.25">
      <c r="J13" s="9">
        <f>SUBTOTAL(9,J15:J330)</f>
        <v>47186350</v>
      </c>
    </row>
    <row r="14" spans="1:11" ht="16.5" x14ac:dyDescent="0.25">
      <c r="A14" s="1" t="s">
        <v>5</v>
      </c>
      <c r="B14" s="1" t="s">
        <v>22</v>
      </c>
      <c r="C14" s="1" t="s">
        <v>23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24</v>
      </c>
      <c r="I14" s="1" t="s">
        <v>9</v>
      </c>
      <c r="J14" s="1" t="s">
        <v>10</v>
      </c>
      <c r="K14" s="1" t="s">
        <v>11</v>
      </c>
    </row>
    <row r="15" spans="1:11" x14ac:dyDescent="0.25">
      <c r="A15" s="4" t="s">
        <v>98</v>
      </c>
      <c r="B15" s="5" t="s">
        <v>60</v>
      </c>
      <c r="C15" s="4" t="s">
        <v>61</v>
      </c>
      <c r="D15" s="5" t="s">
        <v>99</v>
      </c>
      <c r="E15" s="4" t="s">
        <v>31</v>
      </c>
      <c r="F15" s="4" t="s">
        <v>32</v>
      </c>
      <c r="G15" s="4" t="s">
        <v>33</v>
      </c>
      <c r="H15" s="6">
        <v>10</v>
      </c>
      <c r="I15" s="7">
        <v>8500</v>
      </c>
      <c r="J15" s="7">
        <f>H15*I15</f>
        <v>85000</v>
      </c>
      <c r="K15" s="8" t="s">
        <v>12</v>
      </c>
    </row>
    <row r="16" spans="1:11" x14ac:dyDescent="0.25">
      <c r="A16" s="4" t="s">
        <v>98</v>
      </c>
      <c r="B16" s="5" t="s">
        <v>60</v>
      </c>
      <c r="C16" s="4" t="s">
        <v>61</v>
      </c>
      <c r="D16" s="5" t="s">
        <v>99</v>
      </c>
      <c r="E16" s="4" t="s">
        <v>34</v>
      </c>
      <c r="F16" s="4" t="s">
        <v>35</v>
      </c>
      <c r="G16" s="4" t="s">
        <v>13</v>
      </c>
      <c r="H16" s="6">
        <v>1</v>
      </c>
      <c r="I16" s="7">
        <v>30000</v>
      </c>
      <c r="J16" s="7">
        <f t="shared" ref="J16:J79" si="0">H16*I16</f>
        <v>30000</v>
      </c>
      <c r="K16" s="8" t="s">
        <v>12</v>
      </c>
    </row>
    <row r="17" spans="1:11" x14ac:dyDescent="0.25">
      <c r="A17" s="4" t="s">
        <v>98</v>
      </c>
      <c r="B17" s="5" t="s">
        <v>60</v>
      </c>
      <c r="C17" s="4" t="s">
        <v>61</v>
      </c>
      <c r="D17" s="5" t="s">
        <v>99</v>
      </c>
      <c r="E17" s="4" t="s">
        <v>62</v>
      </c>
      <c r="F17" s="4" t="s">
        <v>63</v>
      </c>
      <c r="G17" s="4" t="s">
        <v>13</v>
      </c>
      <c r="H17" s="6">
        <v>4</v>
      </c>
      <c r="I17" s="7">
        <v>45000</v>
      </c>
      <c r="J17" s="7">
        <f t="shared" si="0"/>
        <v>180000</v>
      </c>
      <c r="K17" s="8" t="s">
        <v>12</v>
      </c>
    </row>
    <row r="18" spans="1:11" x14ac:dyDescent="0.25">
      <c r="A18" s="4" t="s">
        <v>98</v>
      </c>
      <c r="B18" s="5" t="s">
        <v>60</v>
      </c>
      <c r="C18" s="4" t="s">
        <v>61</v>
      </c>
      <c r="D18" s="5" t="s">
        <v>99</v>
      </c>
      <c r="E18" s="4" t="s">
        <v>64</v>
      </c>
      <c r="F18" s="4" t="s">
        <v>65</v>
      </c>
      <c r="G18" s="4" t="s">
        <v>13</v>
      </c>
      <c r="H18" s="6">
        <v>1</v>
      </c>
      <c r="I18" s="7">
        <v>50000</v>
      </c>
      <c r="J18" s="7">
        <f t="shared" si="0"/>
        <v>50000</v>
      </c>
      <c r="K18" s="8" t="s">
        <v>12</v>
      </c>
    </row>
    <row r="19" spans="1:11" x14ac:dyDescent="0.25">
      <c r="A19" s="4" t="s">
        <v>98</v>
      </c>
      <c r="B19" s="5" t="s">
        <v>60</v>
      </c>
      <c r="C19" s="4" t="s">
        <v>61</v>
      </c>
      <c r="D19" s="5" t="s">
        <v>99</v>
      </c>
      <c r="E19" s="4" t="s">
        <v>66</v>
      </c>
      <c r="F19" s="4" t="s">
        <v>67</v>
      </c>
      <c r="G19" s="4" t="s">
        <v>13</v>
      </c>
      <c r="H19" s="6">
        <v>16</v>
      </c>
      <c r="I19" s="7">
        <v>18000</v>
      </c>
      <c r="J19" s="7">
        <f t="shared" si="0"/>
        <v>288000</v>
      </c>
      <c r="K19" s="8" t="s">
        <v>12</v>
      </c>
    </row>
    <row r="20" spans="1:11" x14ac:dyDescent="0.25">
      <c r="A20" s="4" t="s">
        <v>98</v>
      </c>
      <c r="B20" s="5" t="s">
        <v>60</v>
      </c>
      <c r="C20" s="4" t="s">
        <v>61</v>
      </c>
      <c r="D20" s="5" t="s">
        <v>99</v>
      </c>
      <c r="E20" s="4" t="s">
        <v>54</v>
      </c>
      <c r="F20" s="4" t="s">
        <v>55</v>
      </c>
      <c r="G20" s="4" t="s">
        <v>13</v>
      </c>
      <c r="H20" s="6">
        <v>0.55000000000000004</v>
      </c>
      <c r="I20" s="7">
        <v>75000</v>
      </c>
      <c r="J20" s="7">
        <f t="shared" si="0"/>
        <v>41250</v>
      </c>
      <c r="K20" s="8" t="s">
        <v>12</v>
      </c>
    </row>
    <row r="21" spans="1:11" x14ac:dyDescent="0.25">
      <c r="A21" s="4" t="s">
        <v>98</v>
      </c>
      <c r="B21" s="5" t="s">
        <v>60</v>
      </c>
      <c r="C21" s="4" t="s">
        <v>61</v>
      </c>
      <c r="D21" s="5" t="s">
        <v>99</v>
      </c>
      <c r="E21" s="4" t="s">
        <v>25</v>
      </c>
      <c r="F21" s="4" t="s">
        <v>26</v>
      </c>
      <c r="G21" s="4" t="s">
        <v>13</v>
      </c>
      <c r="H21" s="6">
        <v>0.5</v>
      </c>
      <c r="I21" s="7">
        <v>22000</v>
      </c>
      <c r="J21" s="7">
        <f t="shared" si="0"/>
        <v>11000</v>
      </c>
      <c r="K21" s="8" t="s">
        <v>12</v>
      </c>
    </row>
    <row r="22" spans="1:11" x14ac:dyDescent="0.25">
      <c r="A22" s="4" t="s">
        <v>98</v>
      </c>
      <c r="B22" s="5" t="s">
        <v>60</v>
      </c>
      <c r="C22" s="4" t="s">
        <v>61</v>
      </c>
      <c r="D22" s="5" t="s">
        <v>99</v>
      </c>
      <c r="E22" s="4" t="s">
        <v>68</v>
      </c>
      <c r="F22" s="4" t="s">
        <v>69</v>
      </c>
      <c r="G22" s="4" t="s">
        <v>13</v>
      </c>
      <c r="H22" s="6">
        <v>3.3</v>
      </c>
      <c r="I22" s="7">
        <v>13000</v>
      </c>
      <c r="J22" s="7">
        <f t="shared" si="0"/>
        <v>42900</v>
      </c>
      <c r="K22" s="8" t="s">
        <v>12</v>
      </c>
    </row>
    <row r="23" spans="1:11" x14ac:dyDescent="0.25">
      <c r="A23" s="4" t="s">
        <v>98</v>
      </c>
      <c r="B23" s="5" t="s">
        <v>60</v>
      </c>
      <c r="C23" s="4" t="s">
        <v>61</v>
      </c>
      <c r="D23" s="5" t="s">
        <v>99</v>
      </c>
      <c r="E23" s="4" t="s">
        <v>16</v>
      </c>
      <c r="F23" s="4" t="s">
        <v>17</v>
      </c>
      <c r="G23" s="4" t="s">
        <v>13</v>
      </c>
      <c r="H23" s="6">
        <v>2.1</v>
      </c>
      <c r="I23" s="7">
        <v>47000</v>
      </c>
      <c r="J23" s="7">
        <f t="shared" si="0"/>
        <v>98700</v>
      </c>
      <c r="K23" s="8" t="s">
        <v>12</v>
      </c>
    </row>
    <row r="24" spans="1:11" x14ac:dyDescent="0.25">
      <c r="A24" s="4" t="s">
        <v>98</v>
      </c>
      <c r="B24" s="5" t="s">
        <v>60</v>
      </c>
      <c r="C24" s="4" t="s">
        <v>61</v>
      </c>
      <c r="D24" s="5" t="s">
        <v>99</v>
      </c>
      <c r="E24" s="4" t="s">
        <v>50</v>
      </c>
      <c r="F24" s="4" t="s">
        <v>51</v>
      </c>
      <c r="G24" s="4" t="s">
        <v>13</v>
      </c>
      <c r="H24" s="6">
        <v>45</v>
      </c>
      <c r="I24" s="7">
        <v>18000</v>
      </c>
      <c r="J24" s="7">
        <f t="shared" si="0"/>
        <v>810000</v>
      </c>
      <c r="K24" s="8" t="s">
        <v>12</v>
      </c>
    </row>
    <row r="25" spans="1:11" x14ac:dyDescent="0.25">
      <c r="A25" s="4" t="s">
        <v>98</v>
      </c>
      <c r="B25" s="5" t="s">
        <v>60</v>
      </c>
      <c r="C25" s="4" t="s">
        <v>61</v>
      </c>
      <c r="D25" s="5" t="s">
        <v>99</v>
      </c>
      <c r="E25" s="4" t="s">
        <v>18</v>
      </c>
      <c r="F25" s="4" t="s">
        <v>19</v>
      </c>
      <c r="G25" s="4" t="s">
        <v>13</v>
      </c>
      <c r="H25" s="6">
        <v>2</v>
      </c>
      <c r="I25" s="7">
        <v>55000</v>
      </c>
      <c r="J25" s="7">
        <f t="shared" si="0"/>
        <v>110000</v>
      </c>
      <c r="K25" s="8" t="s">
        <v>12</v>
      </c>
    </row>
    <row r="26" spans="1:11" x14ac:dyDescent="0.25">
      <c r="A26" s="4" t="s">
        <v>98</v>
      </c>
      <c r="B26" s="5" t="s">
        <v>60</v>
      </c>
      <c r="C26" s="4" t="s">
        <v>61</v>
      </c>
      <c r="D26" s="5" t="s">
        <v>99</v>
      </c>
      <c r="E26" s="4" t="s">
        <v>80</v>
      </c>
      <c r="F26" s="4" t="s">
        <v>81</v>
      </c>
      <c r="G26" s="4" t="s">
        <v>82</v>
      </c>
      <c r="H26" s="6">
        <v>1</v>
      </c>
      <c r="I26" s="7">
        <v>80000</v>
      </c>
      <c r="J26" s="7">
        <f t="shared" si="0"/>
        <v>80000</v>
      </c>
      <c r="K26" s="8" t="s">
        <v>12</v>
      </c>
    </row>
    <row r="27" spans="1:11" x14ac:dyDescent="0.25">
      <c r="A27" s="4" t="s">
        <v>98</v>
      </c>
      <c r="B27" s="5" t="s">
        <v>60</v>
      </c>
      <c r="C27" s="4" t="s">
        <v>61</v>
      </c>
      <c r="D27" s="5" t="s">
        <v>99</v>
      </c>
      <c r="E27" s="4" t="s">
        <v>52</v>
      </c>
      <c r="F27" s="4" t="s">
        <v>53</v>
      </c>
      <c r="G27" s="4" t="s">
        <v>13</v>
      </c>
      <c r="H27" s="6">
        <v>0.2</v>
      </c>
      <c r="I27" s="7">
        <v>65000</v>
      </c>
      <c r="J27" s="7">
        <f t="shared" si="0"/>
        <v>13000</v>
      </c>
      <c r="K27" s="8" t="s">
        <v>12</v>
      </c>
    </row>
    <row r="28" spans="1:11" x14ac:dyDescent="0.25">
      <c r="A28" s="4" t="s">
        <v>98</v>
      </c>
      <c r="B28" s="5" t="s">
        <v>60</v>
      </c>
      <c r="C28" s="4" t="s">
        <v>61</v>
      </c>
      <c r="D28" s="5" t="s">
        <v>99</v>
      </c>
      <c r="E28" s="4" t="s">
        <v>70</v>
      </c>
      <c r="F28" s="4" t="s">
        <v>71</v>
      </c>
      <c r="G28" s="4" t="s">
        <v>13</v>
      </c>
      <c r="H28" s="6">
        <v>3.9</v>
      </c>
      <c r="I28" s="7">
        <v>30000</v>
      </c>
      <c r="J28" s="7">
        <f t="shared" si="0"/>
        <v>117000</v>
      </c>
      <c r="K28" s="8" t="s">
        <v>12</v>
      </c>
    </row>
    <row r="29" spans="1:11" x14ac:dyDescent="0.25">
      <c r="A29" s="4" t="s">
        <v>98</v>
      </c>
      <c r="B29" s="5" t="s">
        <v>60</v>
      </c>
      <c r="C29" s="4" t="s">
        <v>61</v>
      </c>
      <c r="D29" s="5" t="s">
        <v>99</v>
      </c>
      <c r="E29" s="4" t="s">
        <v>72</v>
      </c>
      <c r="F29" s="4" t="s">
        <v>73</v>
      </c>
      <c r="G29" s="4" t="s">
        <v>13</v>
      </c>
      <c r="H29" s="6">
        <v>0.8</v>
      </c>
      <c r="I29" s="7">
        <v>18000</v>
      </c>
      <c r="J29" s="7">
        <f t="shared" si="0"/>
        <v>14400</v>
      </c>
      <c r="K29" s="8" t="s">
        <v>12</v>
      </c>
    </row>
    <row r="30" spans="1:11" x14ac:dyDescent="0.25">
      <c r="A30" s="4" t="s">
        <v>98</v>
      </c>
      <c r="B30" s="5" t="s">
        <v>60</v>
      </c>
      <c r="C30" s="4" t="s">
        <v>61</v>
      </c>
      <c r="D30" s="5" t="s">
        <v>99</v>
      </c>
      <c r="E30" s="4" t="s">
        <v>74</v>
      </c>
      <c r="F30" s="4" t="s">
        <v>75</v>
      </c>
      <c r="G30" s="4" t="s">
        <v>13</v>
      </c>
      <c r="H30" s="6">
        <v>6</v>
      </c>
      <c r="I30" s="7">
        <v>22000</v>
      </c>
      <c r="J30" s="7">
        <f t="shared" si="0"/>
        <v>132000</v>
      </c>
      <c r="K30" s="8" t="s">
        <v>12</v>
      </c>
    </row>
    <row r="31" spans="1:11" x14ac:dyDescent="0.25">
      <c r="A31" s="4" t="s">
        <v>98</v>
      </c>
      <c r="B31" s="5" t="s">
        <v>60</v>
      </c>
      <c r="C31" s="4" t="s">
        <v>61</v>
      </c>
      <c r="D31" s="5" t="s">
        <v>99</v>
      </c>
      <c r="E31" s="4" t="s">
        <v>36</v>
      </c>
      <c r="F31" s="4" t="s">
        <v>37</v>
      </c>
      <c r="G31" s="4" t="s">
        <v>13</v>
      </c>
      <c r="H31" s="6">
        <v>4</v>
      </c>
      <c r="I31" s="7">
        <v>145000</v>
      </c>
      <c r="J31" s="7">
        <f t="shared" si="0"/>
        <v>580000</v>
      </c>
      <c r="K31" s="8" t="s">
        <v>12</v>
      </c>
    </row>
    <row r="32" spans="1:11" x14ac:dyDescent="0.25">
      <c r="A32" s="4" t="s">
        <v>98</v>
      </c>
      <c r="B32" s="5" t="s">
        <v>60</v>
      </c>
      <c r="C32" s="4" t="s">
        <v>61</v>
      </c>
      <c r="D32" s="5" t="s">
        <v>99</v>
      </c>
      <c r="E32" s="4" t="s">
        <v>38</v>
      </c>
      <c r="F32" s="4" t="s">
        <v>39</v>
      </c>
      <c r="G32" s="4" t="s">
        <v>13</v>
      </c>
      <c r="H32" s="6">
        <v>10</v>
      </c>
      <c r="I32" s="7">
        <v>47000</v>
      </c>
      <c r="J32" s="7">
        <f t="shared" si="0"/>
        <v>470000</v>
      </c>
      <c r="K32" s="8" t="s">
        <v>12</v>
      </c>
    </row>
    <row r="33" spans="1:11" x14ac:dyDescent="0.25">
      <c r="A33" s="4" t="s">
        <v>98</v>
      </c>
      <c r="B33" s="5" t="s">
        <v>60</v>
      </c>
      <c r="C33" s="4" t="s">
        <v>61</v>
      </c>
      <c r="D33" s="5" t="s">
        <v>99</v>
      </c>
      <c r="E33" s="4" t="s">
        <v>40</v>
      </c>
      <c r="F33" s="4" t="s">
        <v>41</v>
      </c>
      <c r="G33" s="4" t="s">
        <v>13</v>
      </c>
      <c r="H33" s="6">
        <v>1</v>
      </c>
      <c r="I33" s="7">
        <v>80000</v>
      </c>
      <c r="J33" s="7">
        <f t="shared" si="0"/>
        <v>80000</v>
      </c>
      <c r="K33" s="8" t="s">
        <v>12</v>
      </c>
    </row>
    <row r="34" spans="1:11" x14ac:dyDescent="0.25">
      <c r="A34" s="4" t="s">
        <v>98</v>
      </c>
      <c r="B34" s="5" t="s">
        <v>60</v>
      </c>
      <c r="C34" s="4" t="s">
        <v>61</v>
      </c>
      <c r="D34" s="5" t="s">
        <v>99</v>
      </c>
      <c r="E34" s="4" t="s">
        <v>42</v>
      </c>
      <c r="F34" s="4" t="s">
        <v>43</v>
      </c>
      <c r="G34" s="4" t="s">
        <v>13</v>
      </c>
      <c r="H34" s="6">
        <v>10</v>
      </c>
      <c r="I34" s="7">
        <v>45000</v>
      </c>
      <c r="J34" s="7">
        <f t="shared" si="0"/>
        <v>450000</v>
      </c>
      <c r="K34" s="8" t="s">
        <v>12</v>
      </c>
    </row>
    <row r="35" spans="1:11" ht="28.5" x14ac:dyDescent="0.25">
      <c r="A35" s="4" t="s">
        <v>98</v>
      </c>
      <c r="B35" s="5" t="s">
        <v>60</v>
      </c>
      <c r="C35" s="4" t="s">
        <v>61</v>
      </c>
      <c r="D35" s="5" t="s">
        <v>99</v>
      </c>
      <c r="E35" s="4" t="s">
        <v>44</v>
      </c>
      <c r="F35" s="4" t="s">
        <v>45</v>
      </c>
      <c r="G35" s="4" t="s">
        <v>13</v>
      </c>
      <c r="H35" s="6">
        <v>7</v>
      </c>
      <c r="I35" s="7">
        <v>95000</v>
      </c>
      <c r="J35" s="7">
        <f t="shared" si="0"/>
        <v>665000</v>
      </c>
      <c r="K35" s="8" t="s">
        <v>12</v>
      </c>
    </row>
    <row r="36" spans="1:11" x14ac:dyDescent="0.25">
      <c r="A36" s="4" t="s">
        <v>98</v>
      </c>
      <c r="B36" s="5" t="s">
        <v>60</v>
      </c>
      <c r="C36" s="4" t="s">
        <v>61</v>
      </c>
      <c r="D36" s="5" t="s">
        <v>99</v>
      </c>
      <c r="E36" s="4" t="s">
        <v>20</v>
      </c>
      <c r="F36" s="4" t="s">
        <v>21</v>
      </c>
      <c r="G36" s="4" t="s">
        <v>13</v>
      </c>
      <c r="H36" s="6">
        <v>2.5</v>
      </c>
      <c r="I36" s="7">
        <v>45000</v>
      </c>
      <c r="J36" s="7">
        <f t="shared" si="0"/>
        <v>112500</v>
      </c>
      <c r="K36" s="8" t="s">
        <v>12</v>
      </c>
    </row>
    <row r="37" spans="1:11" x14ac:dyDescent="0.25">
      <c r="A37" s="4" t="s">
        <v>98</v>
      </c>
      <c r="B37" s="5" t="s">
        <v>60</v>
      </c>
      <c r="C37" s="4" t="s">
        <v>61</v>
      </c>
      <c r="D37" s="5" t="s">
        <v>99</v>
      </c>
      <c r="E37" s="4" t="s">
        <v>46</v>
      </c>
      <c r="F37" s="4" t="s">
        <v>47</v>
      </c>
      <c r="G37" s="4" t="s">
        <v>13</v>
      </c>
      <c r="H37" s="6">
        <v>0.3</v>
      </c>
      <c r="I37" s="7">
        <v>70000</v>
      </c>
      <c r="J37" s="7">
        <f t="shared" si="0"/>
        <v>21000</v>
      </c>
      <c r="K37" s="8" t="s">
        <v>12</v>
      </c>
    </row>
    <row r="38" spans="1:11" x14ac:dyDescent="0.25">
      <c r="A38" s="4" t="s">
        <v>98</v>
      </c>
      <c r="B38" s="5" t="s">
        <v>60</v>
      </c>
      <c r="C38" s="4" t="s">
        <v>61</v>
      </c>
      <c r="D38" s="5" t="s">
        <v>99</v>
      </c>
      <c r="E38" s="4" t="s">
        <v>29</v>
      </c>
      <c r="F38" s="4" t="s">
        <v>30</v>
      </c>
      <c r="G38" s="4" t="s">
        <v>13</v>
      </c>
      <c r="H38" s="6">
        <v>2.8</v>
      </c>
      <c r="I38" s="7">
        <v>145000</v>
      </c>
      <c r="J38" s="7">
        <f t="shared" si="0"/>
        <v>406000</v>
      </c>
      <c r="K38" s="8" t="s">
        <v>12</v>
      </c>
    </row>
    <row r="39" spans="1:11" x14ac:dyDescent="0.25">
      <c r="A39" s="4" t="s">
        <v>98</v>
      </c>
      <c r="B39" s="5" t="s">
        <v>60</v>
      </c>
      <c r="C39" s="4" t="s">
        <v>61</v>
      </c>
      <c r="D39" s="5" t="s">
        <v>99</v>
      </c>
      <c r="E39" s="4" t="s">
        <v>27</v>
      </c>
      <c r="F39" s="4" t="s">
        <v>28</v>
      </c>
      <c r="G39" s="4" t="s">
        <v>13</v>
      </c>
      <c r="H39" s="6">
        <v>8.4</v>
      </c>
      <c r="I39" s="7">
        <v>21000</v>
      </c>
      <c r="J39" s="7">
        <f t="shared" si="0"/>
        <v>176400</v>
      </c>
      <c r="K39" s="8" t="s">
        <v>12</v>
      </c>
    </row>
    <row r="40" spans="1:11" x14ac:dyDescent="0.25">
      <c r="A40" s="4" t="s">
        <v>98</v>
      </c>
      <c r="B40" s="5" t="s">
        <v>60</v>
      </c>
      <c r="C40" s="4" t="s">
        <v>61</v>
      </c>
      <c r="D40" s="5" t="s">
        <v>99</v>
      </c>
      <c r="E40" s="4" t="s">
        <v>76</v>
      </c>
      <c r="F40" s="4" t="s">
        <v>77</v>
      </c>
      <c r="G40" s="4" t="s">
        <v>13</v>
      </c>
      <c r="H40" s="6">
        <v>8</v>
      </c>
      <c r="I40" s="7">
        <v>38000</v>
      </c>
      <c r="J40" s="7">
        <f t="shared" si="0"/>
        <v>304000</v>
      </c>
      <c r="K40" s="8" t="s">
        <v>12</v>
      </c>
    </row>
    <row r="41" spans="1:11" x14ac:dyDescent="0.25">
      <c r="A41" s="4" t="s">
        <v>98</v>
      </c>
      <c r="B41" s="5" t="s">
        <v>60</v>
      </c>
      <c r="C41" s="4" t="s">
        <v>61</v>
      </c>
      <c r="D41" s="5" t="s">
        <v>99</v>
      </c>
      <c r="E41" s="4" t="s">
        <v>14</v>
      </c>
      <c r="F41" s="4" t="s">
        <v>15</v>
      </c>
      <c r="G41" s="4" t="s">
        <v>13</v>
      </c>
      <c r="H41" s="6">
        <v>3</v>
      </c>
      <c r="I41" s="7">
        <v>50000</v>
      </c>
      <c r="J41" s="7">
        <f t="shared" si="0"/>
        <v>150000</v>
      </c>
      <c r="K41" s="8" t="s">
        <v>12</v>
      </c>
    </row>
    <row r="42" spans="1:11" x14ac:dyDescent="0.25">
      <c r="A42" s="4" t="s">
        <v>98</v>
      </c>
      <c r="B42" s="5" t="s">
        <v>60</v>
      </c>
      <c r="C42" s="4" t="s">
        <v>61</v>
      </c>
      <c r="D42" s="5" t="s">
        <v>99</v>
      </c>
      <c r="E42" s="4" t="s">
        <v>48</v>
      </c>
      <c r="F42" s="4" t="s">
        <v>49</v>
      </c>
      <c r="G42" s="4" t="s">
        <v>13</v>
      </c>
      <c r="H42" s="6">
        <v>14</v>
      </c>
      <c r="I42" s="7">
        <v>62000</v>
      </c>
      <c r="J42" s="7">
        <f t="shared" si="0"/>
        <v>868000</v>
      </c>
      <c r="K42" s="8" t="s">
        <v>12</v>
      </c>
    </row>
    <row r="43" spans="1:11" x14ac:dyDescent="0.25">
      <c r="A43" s="4" t="s">
        <v>100</v>
      </c>
      <c r="B43" s="5" t="s">
        <v>60</v>
      </c>
      <c r="C43" s="4" t="s">
        <v>61</v>
      </c>
      <c r="D43" s="5" t="s">
        <v>101</v>
      </c>
      <c r="E43" s="4" t="s">
        <v>102</v>
      </c>
      <c r="F43" s="4" t="s">
        <v>103</v>
      </c>
      <c r="G43" s="4" t="s">
        <v>13</v>
      </c>
      <c r="H43" s="6">
        <v>0.2</v>
      </c>
      <c r="I43" s="7">
        <v>17000</v>
      </c>
      <c r="J43" s="7">
        <f t="shared" si="0"/>
        <v>3400</v>
      </c>
      <c r="K43" s="8" t="s">
        <v>12</v>
      </c>
    </row>
    <row r="44" spans="1:11" x14ac:dyDescent="0.25">
      <c r="A44" s="4" t="s">
        <v>100</v>
      </c>
      <c r="B44" s="5" t="s">
        <v>60</v>
      </c>
      <c r="C44" s="4" t="s">
        <v>61</v>
      </c>
      <c r="D44" s="5" t="s">
        <v>101</v>
      </c>
      <c r="E44" s="4" t="s">
        <v>31</v>
      </c>
      <c r="F44" s="4" t="s">
        <v>32</v>
      </c>
      <c r="G44" s="4" t="s">
        <v>33</v>
      </c>
      <c r="H44" s="6">
        <v>4</v>
      </c>
      <c r="I44" s="7">
        <v>8500</v>
      </c>
      <c r="J44" s="7">
        <f t="shared" si="0"/>
        <v>34000</v>
      </c>
      <c r="K44" s="8" t="s">
        <v>12</v>
      </c>
    </row>
    <row r="45" spans="1:11" x14ac:dyDescent="0.25">
      <c r="A45" s="4" t="s">
        <v>100</v>
      </c>
      <c r="B45" s="5" t="s">
        <v>60</v>
      </c>
      <c r="C45" s="4" t="s">
        <v>61</v>
      </c>
      <c r="D45" s="5" t="s">
        <v>101</v>
      </c>
      <c r="E45" s="4" t="s">
        <v>62</v>
      </c>
      <c r="F45" s="4" t="s">
        <v>63</v>
      </c>
      <c r="G45" s="4" t="s">
        <v>13</v>
      </c>
      <c r="H45" s="6">
        <v>3</v>
      </c>
      <c r="I45" s="7">
        <v>45000</v>
      </c>
      <c r="J45" s="7">
        <f t="shared" si="0"/>
        <v>135000</v>
      </c>
      <c r="K45" s="8" t="s">
        <v>12</v>
      </c>
    </row>
    <row r="46" spans="1:11" x14ac:dyDescent="0.25">
      <c r="A46" s="4" t="s">
        <v>100</v>
      </c>
      <c r="B46" s="5" t="s">
        <v>60</v>
      </c>
      <c r="C46" s="4" t="s">
        <v>61</v>
      </c>
      <c r="D46" s="5" t="s">
        <v>101</v>
      </c>
      <c r="E46" s="4" t="s">
        <v>64</v>
      </c>
      <c r="F46" s="4" t="s">
        <v>65</v>
      </c>
      <c r="G46" s="4" t="s">
        <v>13</v>
      </c>
      <c r="H46" s="6">
        <v>1</v>
      </c>
      <c r="I46" s="7">
        <v>50000</v>
      </c>
      <c r="J46" s="7">
        <f t="shared" si="0"/>
        <v>50000</v>
      </c>
      <c r="K46" s="8" t="s">
        <v>12</v>
      </c>
    </row>
    <row r="47" spans="1:11" x14ac:dyDescent="0.25">
      <c r="A47" s="4" t="s">
        <v>100</v>
      </c>
      <c r="B47" s="5" t="s">
        <v>60</v>
      </c>
      <c r="C47" s="4" t="s">
        <v>61</v>
      </c>
      <c r="D47" s="5" t="s">
        <v>101</v>
      </c>
      <c r="E47" s="4" t="s">
        <v>66</v>
      </c>
      <c r="F47" s="4" t="s">
        <v>67</v>
      </c>
      <c r="G47" s="4" t="s">
        <v>13</v>
      </c>
      <c r="H47" s="6">
        <v>6.5</v>
      </c>
      <c r="I47" s="7">
        <v>18000</v>
      </c>
      <c r="J47" s="7">
        <f t="shared" si="0"/>
        <v>117000</v>
      </c>
      <c r="K47" s="8" t="s">
        <v>12</v>
      </c>
    </row>
    <row r="48" spans="1:11" x14ac:dyDescent="0.25">
      <c r="A48" s="4" t="s">
        <v>100</v>
      </c>
      <c r="B48" s="5" t="s">
        <v>60</v>
      </c>
      <c r="C48" s="4" t="s">
        <v>61</v>
      </c>
      <c r="D48" s="5" t="s">
        <v>101</v>
      </c>
      <c r="E48" s="4" t="s">
        <v>25</v>
      </c>
      <c r="F48" s="4" t="s">
        <v>26</v>
      </c>
      <c r="G48" s="4" t="s">
        <v>13</v>
      </c>
      <c r="H48" s="6">
        <v>0.3</v>
      </c>
      <c r="I48" s="7">
        <v>22000</v>
      </c>
      <c r="J48" s="7">
        <f t="shared" si="0"/>
        <v>6600</v>
      </c>
      <c r="K48" s="8" t="s">
        <v>12</v>
      </c>
    </row>
    <row r="49" spans="1:11" x14ac:dyDescent="0.25">
      <c r="A49" s="4" t="s">
        <v>100</v>
      </c>
      <c r="B49" s="5" t="s">
        <v>60</v>
      </c>
      <c r="C49" s="4" t="s">
        <v>61</v>
      </c>
      <c r="D49" s="5" t="s">
        <v>101</v>
      </c>
      <c r="E49" s="4" t="s">
        <v>68</v>
      </c>
      <c r="F49" s="4" t="s">
        <v>69</v>
      </c>
      <c r="G49" s="4" t="s">
        <v>13</v>
      </c>
      <c r="H49" s="6">
        <v>1</v>
      </c>
      <c r="I49" s="7">
        <v>13000</v>
      </c>
      <c r="J49" s="7">
        <f t="shared" si="0"/>
        <v>13000</v>
      </c>
      <c r="K49" s="8" t="s">
        <v>12</v>
      </c>
    </row>
    <row r="50" spans="1:11" x14ac:dyDescent="0.25">
      <c r="A50" s="4" t="s">
        <v>100</v>
      </c>
      <c r="B50" s="5" t="s">
        <v>60</v>
      </c>
      <c r="C50" s="4" t="s">
        <v>61</v>
      </c>
      <c r="D50" s="5" t="s">
        <v>101</v>
      </c>
      <c r="E50" s="4" t="s">
        <v>16</v>
      </c>
      <c r="F50" s="4" t="s">
        <v>17</v>
      </c>
      <c r="G50" s="4" t="s">
        <v>13</v>
      </c>
      <c r="H50" s="6">
        <v>1</v>
      </c>
      <c r="I50" s="7">
        <v>47000</v>
      </c>
      <c r="J50" s="7">
        <f t="shared" si="0"/>
        <v>47000</v>
      </c>
      <c r="K50" s="8" t="s">
        <v>12</v>
      </c>
    </row>
    <row r="51" spans="1:11" x14ac:dyDescent="0.25">
      <c r="A51" s="4" t="s">
        <v>100</v>
      </c>
      <c r="B51" s="5" t="s">
        <v>60</v>
      </c>
      <c r="C51" s="4" t="s">
        <v>61</v>
      </c>
      <c r="D51" s="5" t="s">
        <v>101</v>
      </c>
      <c r="E51" s="4" t="s">
        <v>50</v>
      </c>
      <c r="F51" s="4" t="s">
        <v>51</v>
      </c>
      <c r="G51" s="4" t="s">
        <v>13</v>
      </c>
      <c r="H51" s="6">
        <v>31</v>
      </c>
      <c r="I51" s="7">
        <v>18000</v>
      </c>
      <c r="J51" s="7">
        <f t="shared" si="0"/>
        <v>558000</v>
      </c>
      <c r="K51" s="8" t="s">
        <v>12</v>
      </c>
    </row>
    <row r="52" spans="1:11" x14ac:dyDescent="0.25">
      <c r="A52" s="4" t="s">
        <v>100</v>
      </c>
      <c r="B52" s="5" t="s">
        <v>60</v>
      </c>
      <c r="C52" s="4" t="s">
        <v>61</v>
      </c>
      <c r="D52" s="5" t="s">
        <v>101</v>
      </c>
      <c r="E52" s="4" t="s">
        <v>18</v>
      </c>
      <c r="F52" s="4" t="s">
        <v>19</v>
      </c>
      <c r="G52" s="4" t="s">
        <v>13</v>
      </c>
      <c r="H52" s="6">
        <v>1</v>
      </c>
      <c r="I52" s="7">
        <v>55000</v>
      </c>
      <c r="J52" s="7">
        <f t="shared" si="0"/>
        <v>55000</v>
      </c>
      <c r="K52" s="8" t="s">
        <v>12</v>
      </c>
    </row>
    <row r="53" spans="1:11" x14ac:dyDescent="0.25">
      <c r="A53" s="4" t="s">
        <v>100</v>
      </c>
      <c r="B53" s="5" t="s">
        <v>60</v>
      </c>
      <c r="C53" s="4" t="s">
        <v>61</v>
      </c>
      <c r="D53" s="5" t="s">
        <v>101</v>
      </c>
      <c r="E53" s="4" t="s">
        <v>80</v>
      </c>
      <c r="F53" s="4" t="s">
        <v>81</v>
      </c>
      <c r="G53" s="4" t="s">
        <v>82</v>
      </c>
      <c r="H53" s="6">
        <v>1</v>
      </c>
      <c r="I53" s="7">
        <v>80000</v>
      </c>
      <c r="J53" s="7">
        <f t="shared" si="0"/>
        <v>80000</v>
      </c>
      <c r="K53" s="8" t="s">
        <v>12</v>
      </c>
    </row>
    <row r="54" spans="1:11" x14ac:dyDescent="0.25">
      <c r="A54" s="4" t="s">
        <v>100</v>
      </c>
      <c r="B54" s="5" t="s">
        <v>60</v>
      </c>
      <c r="C54" s="4" t="s">
        <v>61</v>
      </c>
      <c r="D54" s="5" t="s">
        <v>101</v>
      </c>
      <c r="E54" s="4" t="s">
        <v>70</v>
      </c>
      <c r="F54" s="4" t="s">
        <v>71</v>
      </c>
      <c r="G54" s="4" t="s">
        <v>13</v>
      </c>
      <c r="H54" s="6">
        <v>2.4</v>
      </c>
      <c r="I54" s="7">
        <v>30000</v>
      </c>
      <c r="J54" s="7">
        <f t="shared" si="0"/>
        <v>72000</v>
      </c>
      <c r="K54" s="8" t="s">
        <v>12</v>
      </c>
    </row>
    <row r="55" spans="1:11" x14ac:dyDescent="0.25">
      <c r="A55" s="4" t="s">
        <v>100</v>
      </c>
      <c r="B55" s="5" t="s">
        <v>60</v>
      </c>
      <c r="C55" s="4" t="s">
        <v>61</v>
      </c>
      <c r="D55" s="5" t="s">
        <v>101</v>
      </c>
      <c r="E55" s="4" t="s">
        <v>74</v>
      </c>
      <c r="F55" s="4" t="s">
        <v>75</v>
      </c>
      <c r="G55" s="4" t="s">
        <v>13</v>
      </c>
      <c r="H55" s="6">
        <v>4</v>
      </c>
      <c r="I55" s="7">
        <v>22000</v>
      </c>
      <c r="J55" s="7">
        <f t="shared" si="0"/>
        <v>88000</v>
      </c>
      <c r="K55" s="8" t="s">
        <v>12</v>
      </c>
    </row>
    <row r="56" spans="1:11" x14ac:dyDescent="0.25">
      <c r="A56" s="4" t="s">
        <v>100</v>
      </c>
      <c r="B56" s="5" t="s">
        <v>60</v>
      </c>
      <c r="C56" s="4" t="s">
        <v>61</v>
      </c>
      <c r="D56" s="5" t="s">
        <v>101</v>
      </c>
      <c r="E56" s="4" t="s">
        <v>36</v>
      </c>
      <c r="F56" s="4" t="s">
        <v>37</v>
      </c>
      <c r="G56" s="4" t="s">
        <v>13</v>
      </c>
      <c r="H56" s="6">
        <v>2</v>
      </c>
      <c r="I56" s="7">
        <v>145000</v>
      </c>
      <c r="J56" s="7">
        <f t="shared" si="0"/>
        <v>290000</v>
      </c>
      <c r="K56" s="8" t="s">
        <v>12</v>
      </c>
    </row>
    <row r="57" spans="1:11" x14ac:dyDescent="0.25">
      <c r="A57" s="4" t="s">
        <v>100</v>
      </c>
      <c r="B57" s="5" t="s">
        <v>60</v>
      </c>
      <c r="C57" s="4" t="s">
        <v>61</v>
      </c>
      <c r="D57" s="5" t="s">
        <v>101</v>
      </c>
      <c r="E57" s="4" t="s">
        <v>38</v>
      </c>
      <c r="F57" s="4" t="s">
        <v>39</v>
      </c>
      <c r="G57" s="4" t="s">
        <v>13</v>
      </c>
      <c r="H57" s="6">
        <v>4</v>
      </c>
      <c r="I57" s="7">
        <v>47000</v>
      </c>
      <c r="J57" s="7">
        <f t="shared" si="0"/>
        <v>188000</v>
      </c>
      <c r="K57" s="8" t="s">
        <v>12</v>
      </c>
    </row>
    <row r="58" spans="1:11" x14ac:dyDescent="0.25">
      <c r="A58" s="4" t="s">
        <v>100</v>
      </c>
      <c r="B58" s="5" t="s">
        <v>60</v>
      </c>
      <c r="C58" s="4" t="s">
        <v>61</v>
      </c>
      <c r="D58" s="5" t="s">
        <v>101</v>
      </c>
      <c r="E58" s="4" t="s">
        <v>42</v>
      </c>
      <c r="F58" s="4" t="s">
        <v>43</v>
      </c>
      <c r="G58" s="4" t="s">
        <v>13</v>
      </c>
      <c r="H58" s="6">
        <v>5</v>
      </c>
      <c r="I58" s="7">
        <v>45000</v>
      </c>
      <c r="J58" s="7">
        <f t="shared" si="0"/>
        <v>225000</v>
      </c>
      <c r="K58" s="8" t="s">
        <v>12</v>
      </c>
    </row>
    <row r="59" spans="1:11" ht="28.5" x14ac:dyDescent="0.25">
      <c r="A59" s="4" t="s">
        <v>100</v>
      </c>
      <c r="B59" s="5" t="s">
        <v>60</v>
      </c>
      <c r="C59" s="4" t="s">
        <v>61</v>
      </c>
      <c r="D59" s="5" t="s">
        <v>101</v>
      </c>
      <c r="E59" s="4" t="s">
        <v>44</v>
      </c>
      <c r="F59" s="4" t="s">
        <v>45</v>
      </c>
      <c r="G59" s="4" t="s">
        <v>13</v>
      </c>
      <c r="H59" s="6">
        <v>5</v>
      </c>
      <c r="I59" s="7">
        <v>95000</v>
      </c>
      <c r="J59" s="7">
        <f t="shared" si="0"/>
        <v>475000</v>
      </c>
      <c r="K59" s="8" t="s">
        <v>12</v>
      </c>
    </row>
    <row r="60" spans="1:11" x14ac:dyDescent="0.25">
      <c r="A60" s="4" t="s">
        <v>100</v>
      </c>
      <c r="B60" s="5" t="s">
        <v>60</v>
      </c>
      <c r="C60" s="4" t="s">
        <v>61</v>
      </c>
      <c r="D60" s="5" t="s">
        <v>101</v>
      </c>
      <c r="E60" s="4" t="s">
        <v>20</v>
      </c>
      <c r="F60" s="4" t="s">
        <v>21</v>
      </c>
      <c r="G60" s="4" t="s">
        <v>13</v>
      </c>
      <c r="H60" s="6">
        <v>1</v>
      </c>
      <c r="I60" s="7">
        <v>45000</v>
      </c>
      <c r="J60" s="7">
        <f t="shared" si="0"/>
        <v>45000</v>
      </c>
      <c r="K60" s="8" t="s">
        <v>12</v>
      </c>
    </row>
    <row r="61" spans="1:11" x14ac:dyDescent="0.25">
      <c r="A61" s="4" t="s">
        <v>100</v>
      </c>
      <c r="B61" s="5" t="s">
        <v>60</v>
      </c>
      <c r="C61" s="4" t="s">
        <v>61</v>
      </c>
      <c r="D61" s="5" t="s">
        <v>101</v>
      </c>
      <c r="E61" s="4" t="s">
        <v>29</v>
      </c>
      <c r="F61" s="4" t="s">
        <v>30</v>
      </c>
      <c r="G61" s="4" t="s">
        <v>13</v>
      </c>
      <c r="H61" s="6">
        <v>1</v>
      </c>
      <c r="I61" s="7">
        <v>145000</v>
      </c>
      <c r="J61" s="7">
        <f t="shared" si="0"/>
        <v>145000</v>
      </c>
      <c r="K61" s="8" t="s">
        <v>12</v>
      </c>
    </row>
    <row r="62" spans="1:11" x14ac:dyDescent="0.25">
      <c r="A62" s="4" t="s">
        <v>100</v>
      </c>
      <c r="B62" s="5" t="s">
        <v>60</v>
      </c>
      <c r="C62" s="4" t="s">
        <v>61</v>
      </c>
      <c r="D62" s="5" t="s">
        <v>101</v>
      </c>
      <c r="E62" s="4" t="s">
        <v>27</v>
      </c>
      <c r="F62" s="4" t="s">
        <v>28</v>
      </c>
      <c r="G62" s="4" t="s">
        <v>13</v>
      </c>
      <c r="H62" s="6">
        <v>8</v>
      </c>
      <c r="I62" s="7">
        <v>21000</v>
      </c>
      <c r="J62" s="7">
        <f t="shared" si="0"/>
        <v>168000</v>
      </c>
      <c r="K62" s="8" t="s">
        <v>12</v>
      </c>
    </row>
    <row r="63" spans="1:11" x14ac:dyDescent="0.25">
      <c r="A63" s="4" t="s">
        <v>100</v>
      </c>
      <c r="B63" s="5" t="s">
        <v>60</v>
      </c>
      <c r="C63" s="4" t="s">
        <v>61</v>
      </c>
      <c r="D63" s="5" t="s">
        <v>101</v>
      </c>
      <c r="E63" s="4" t="s">
        <v>76</v>
      </c>
      <c r="F63" s="4" t="s">
        <v>77</v>
      </c>
      <c r="G63" s="4" t="s">
        <v>13</v>
      </c>
      <c r="H63" s="6">
        <v>3.7</v>
      </c>
      <c r="I63" s="7">
        <v>38000</v>
      </c>
      <c r="J63" s="7">
        <f t="shared" si="0"/>
        <v>140600</v>
      </c>
      <c r="K63" s="8" t="s">
        <v>12</v>
      </c>
    </row>
    <row r="64" spans="1:11" x14ac:dyDescent="0.25">
      <c r="A64" s="4" t="s">
        <v>100</v>
      </c>
      <c r="B64" s="5" t="s">
        <v>60</v>
      </c>
      <c r="C64" s="4" t="s">
        <v>61</v>
      </c>
      <c r="D64" s="5" t="s">
        <v>101</v>
      </c>
      <c r="E64" s="4" t="s">
        <v>14</v>
      </c>
      <c r="F64" s="4" t="s">
        <v>15</v>
      </c>
      <c r="G64" s="4" t="s">
        <v>13</v>
      </c>
      <c r="H64" s="6">
        <v>2</v>
      </c>
      <c r="I64" s="7">
        <v>50000</v>
      </c>
      <c r="J64" s="7">
        <f t="shared" si="0"/>
        <v>100000</v>
      </c>
      <c r="K64" s="8" t="s">
        <v>12</v>
      </c>
    </row>
    <row r="65" spans="1:11" x14ac:dyDescent="0.25">
      <c r="A65" s="4" t="s">
        <v>100</v>
      </c>
      <c r="B65" s="5" t="s">
        <v>60</v>
      </c>
      <c r="C65" s="4" t="s">
        <v>61</v>
      </c>
      <c r="D65" s="5" t="s">
        <v>101</v>
      </c>
      <c r="E65" s="4" t="s">
        <v>48</v>
      </c>
      <c r="F65" s="4" t="s">
        <v>49</v>
      </c>
      <c r="G65" s="4" t="s">
        <v>13</v>
      </c>
      <c r="H65" s="6">
        <v>5.7</v>
      </c>
      <c r="I65" s="7">
        <v>62000</v>
      </c>
      <c r="J65" s="7">
        <f t="shared" si="0"/>
        <v>353400</v>
      </c>
      <c r="K65" s="8" t="s">
        <v>12</v>
      </c>
    </row>
    <row r="66" spans="1:11" x14ac:dyDescent="0.25">
      <c r="A66" s="4" t="s">
        <v>104</v>
      </c>
      <c r="B66" s="5" t="s">
        <v>60</v>
      </c>
      <c r="C66" s="4" t="s">
        <v>61</v>
      </c>
      <c r="D66" s="5" t="s">
        <v>105</v>
      </c>
      <c r="E66" s="4" t="s">
        <v>31</v>
      </c>
      <c r="F66" s="4" t="s">
        <v>32</v>
      </c>
      <c r="G66" s="4" t="s">
        <v>33</v>
      </c>
      <c r="H66" s="6">
        <v>8</v>
      </c>
      <c r="I66" s="7">
        <v>8500</v>
      </c>
      <c r="J66" s="7">
        <f t="shared" si="0"/>
        <v>68000</v>
      </c>
      <c r="K66" s="8" t="s">
        <v>12</v>
      </c>
    </row>
    <row r="67" spans="1:11" x14ac:dyDescent="0.25">
      <c r="A67" s="4" t="s">
        <v>104</v>
      </c>
      <c r="B67" s="5" t="s">
        <v>60</v>
      </c>
      <c r="C67" s="4" t="s">
        <v>61</v>
      </c>
      <c r="D67" s="5" t="s">
        <v>105</v>
      </c>
      <c r="E67" s="4" t="s">
        <v>62</v>
      </c>
      <c r="F67" s="4" t="s">
        <v>63</v>
      </c>
      <c r="G67" s="4" t="s">
        <v>13</v>
      </c>
      <c r="H67" s="6">
        <v>4</v>
      </c>
      <c r="I67" s="7">
        <v>45000</v>
      </c>
      <c r="J67" s="7">
        <f t="shared" si="0"/>
        <v>180000</v>
      </c>
      <c r="K67" s="8" t="s">
        <v>12</v>
      </c>
    </row>
    <row r="68" spans="1:11" x14ac:dyDescent="0.25">
      <c r="A68" s="4" t="s">
        <v>104</v>
      </c>
      <c r="B68" s="5" t="s">
        <v>60</v>
      </c>
      <c r="C68" s="4" t="s">
        <v>61</v>
      </c>
      <c r="D68" s="5" t="s">
        <v>105</v>
      </c>
      <c r="E68" s="4" t="s">
        <v>64</v>
      </c>
      <c r="F68" s="4" t="s">
        <v>65</v>
      </c>
      <c r="G68" s="4" t="s">
        <v>13</v>
      </c>
      <c r="H68" s="6">
        <v>1</v>
      </c>
      <c r="I68" s="7">
        <v>50000</v>
      </c>
      <c r="J68" s="7">
        <f t="shared" si="0"/>
        <v>50000</v>
      </c>
      <c r="K68" s="8" t="s">
        <v>12</v>
      </c>
    </row>
    <row r="69" spans="1:11" x14ac:dyDescent="0.25">
      <c r="A69" s="4" t="s">
        <v>104</v>
      </c>
      <c r="B69" s="5" t="s">
        <v>60</v>
      </c>
      <c r="C69" s="4" t="s">
        <v>61</v>
      </c>
      <c r="D69" s="5" t="s">
        <v>105</v>
      </c>
      <c r="E69" s="4" t="s">
        <v>66</v>
      </c>
      <c r="F69" s="4" t="s">
        <v>67</v>
      </c>
      <c r="G69" s="4" t="s">
        <v>13</v>
      </c>
      <c r="H69" s="6">
        <v>12.5</v>
      </c>
      <c r="I69" s="7">
        <v>18000</v>
      </c>
      <c r="J69" s="7">
        <f t="shared" si="0"/>
        <v>225000</v>
      </c>
      <c r="K69" s="8" t="s">
        <v>12</v>
      </c>
    </row>
    <row r="70" spans="1:11" x14ac:dyDescent="0.25">
      <c r="A70" s="4" t="s">
        <v>104</v>
      </c>
      <c r="B70" s="5" t="s">
        <v>60</v>
      </c>
      <c r="C70" s="4" t="s">
        <v>61</v>
      </c>
      <c r="D70" s="5" t="s">
        <v>105</v>
      </c>
      <c r="E70" s="4" t="s">
        <v>54</v>
      </c>
      <c r="F70" s="4" t="s">
        <v>55</v>
      </c>
      <c r="G70" s="4" t="s">
        <v>13</v>
      </c>
      <c r="H70" s="6">
        <v>0.3</v>
      </c>
      <c r="I70" s="7">
        <v>75000</v>
      </c>
      <c r="J70" s="7">
        <f t="shared" si="0"/>
        <v>22500</v>
      </c>
      <c r="K70" s="8" t="s">
        <v>12</v>
      </c>
    </row>
    <row r="71" spans="1:11" x14ac:dyDescent="0.25">
      <c r="A71" s="4" t="s">
        <v>104</v>
      </c>
      <c r="B71" s="5" t="s">
        <v>60</v>
      </c>
      <c r="C71" s="4" t="s">
        <v>61</v>
      </c>
      <c r="D71" s="5" t="s">
        <v>105</v>
      </c>
      <c r="E71" s="4" t="s">
        <v>56</v>
      </c>
      <c r="F71" s="4" t="s">
        <v>57</v>
      </c>
      <c r="G71" s="4" t="s">
        <v>13</v>
      </c>
      <c r="H71" s="6">
        <v>0.2</v>
      </c>
      <c r="I71" s="7">
        <v>34000</v>
      </c>
      <c r="J71" s="7">
        <f t="shared" si="0"/>
        <v>6800</v>
      </c>
      <c r="K71" s="8" t="s">
        <v>12</v>
      </c>
    </row>
    <row r="72" spans="1:11" x14ac:dyDescent="0.25">
      <c r="A72" s="4" t="s">
        <v>104</v>
      </c>
      <c r="B72" s="5" t="s">
        <v>60</v>
      </c>
      <c r="C72" s="4" t="s">
        <v>61</v>
      </c>
      <c r="D72" s="5" t="s">
        <v>105</v>
      </c>
      <c r="E72" s="4" t="s">
        <v>16</v>
      </c>
      <c r="F72" s="4" t="s">
        <v>17</v>
      </c>
      <c r="G72" s="4" t="s">
        <v>13</v>
      </c>
      <c r="H72" s="6">
        <v>0.5</v>
      </c>
      <c r="I72" s="7">
        <v>47000</v>
      </c>
      <c r="J72" s="7">
        <f t="shared" si="0"/>
        <v>23500</v>
      </c>
      <c r="K72" s="8" t="s">
        <v>12</v>
      </c>
    </row>
    <row r="73" spans="1:11" x14ac:dyDescent="0.25">
      <c r="A73" s="4" t="s">
        <v>104</v>
      </c>
      <c r="B73" s="5" t="s">
        <v>60</v>
      </c>
      <c r="C73" s="4" t="s">
        <v>61</v>
      </c>
      <c r="D73" s="5" t="s">
        <v>105</v>
      </c>
      <c r="E73" s="4" t="s">
        <v>50</v>
      </c>
      <c r="F73" s="4" t="s">
        <v>51</v>
      </c>
      <c r="G73" s="4" t="s">
        <v>13</v>
      </c>
      <c r="H73" s="6">
        <v>25.5</v>
      </c>
      <c r="I73" s="7">
        <v>18000</v>
      </c>
      <c r="J73" s="7">
        <f t="shared" si="0"/>
        <v>459000</v>
      </c>
      <c r="K73" s="8" t="s">
        <v>12</v>
      </c>
    </row>
    <row r="74" spans="1:11" x14ac:dyDescent="0.25">
      <c r="A74" s="4" t="s">
        <v>104</v>
      </c>
      <c r="B74" s="5" t="s">
        <v>60</v>
      </c>
      <c r="C74" s="4" t="s">
        <v>61</v>
      </c>
      <c r="D74" s="5" t="s">
        <v>105</v>
      </c>
      <c r="E74" s="4" t="s">
        <v>18</v>
      </c>
      <c r="F74" s="4" t="s">
        <v>19</v>
      </c>
      <c r="G74" s="4" t="s">
        <v>13</v>
      </c>
      <c r="H74" s="6">
        <v>2</v>
      </c>
      <c r="I74" s="7">
        <v>55000</v>
      </c>
      <c r="J74" s="7">
        <f t="shared" si="0"/>
        <v>110000</v>
      </c>
      <c r="K74" s="8" t="s">
        <v>12</v>
      </c>
    </row>
    <row r="75" spans="1:11" x14ac:dyDescent="0.25">
      <c r="A75" s="4" t="s">
        <v>104</v>
      </c>
      <c r="B75" s="5" t="s">
        <v>60</v>
      </c>
      <c r="C75" s="4" t="s">
        <v>61</v>
      </c>
      <c r="D75" s="5" t="s">
        <v>105</v>
      </c>
      <c r="E75" s="4" t="s">
        <v>80</v>
      </c>
      <c r="F75" s="4" t="s">
        <v>81</v>
      </c>
      <c r="G75" s="4" t="s">
        <v>82</v>
      </c>
      <c r="H75" s="6">
        <v>1</v>
      </c>
      <c r="I75" s="7">
        <v>80000</v>
      </c>
      <c r="J75" s="7">
        <f t="shared" si="0"/>
        <v>80000</v>
      </c>
      <c r="K75" s="8" t="s">
        <v>12</v>
      </c>
    </row>
    <row r="76" spans="1:11" x14ac:dyDescent="0.25">
      <c r="A76" s="4" t="s">
        <v>104</v>
      </c>
      <c r="B76" s="5" t="s">
        <v>60</v>
      </c>
      <c r="C76" s="4" t="s">
        <v>61</v>
      </c>
      <c r="D76" s="5" t="s">
        <v>105</v>
      </c>
      <c r="E76" s="4" t="s">
        <v>52</v>
      </c>
      <c r="F76" s="4" t="s">
        <v>53</v>
      </c>
      <c r="G76" s="4" t="s">
        <v>13</v>
      </c>
      <c r="H76" s="6">
        <v>0.2</v>
      </c>
      <c r="I76" s="7">
        <v>65000</v>
      </c>
      <c r="J76" s="7">
        <f t="shared" si="0"/>
        <v>13000</v>
      </c>
      <c r="K76" s="8" t="s">
        <v>12</v>
      </c>
    </row>
    <row r="77" spans="1:11" x14ac:dyDescent="0.25">
      <c r="A77" s="4" t="s">
        <v>104</v>
      </c>
      <c r="B77" s="5" t="s">
        <v>60</v>
      </c>
      <c r="C77" s="4" t="s">
        <v>61</v>
      </c>
      <c r="D77" s="5" t="s">
        <v>105</v>
      </c>
      <c r="E77" s="4" t="s">
        <v>70</v>
      </c>
      <c r="F77" s="4" t="s">
        <v>71</v>
      </c>
      <c r="G77" s="4" t="s">
        <v>13</v>
      </c>
      <c r="H77" s="6">
        <v>2.2000000000000002</v>
      </c>
      <c r="I77" s="7">
        <v>30000</v>
      </c>
      <c r="J77" s="7">
        <f t="shared" si="0"/>
        <v>66000</v>
      </c>
      <c r="K77" s="8" t="s">
        <v>12</v>
      </c>
    </row>
    <row r="78" spans="1:11" x14ac:dyDescent="0.25">
      <c r="A78" s="4" t="s">
        <v>104</v>
      </c>
      <c r="B78" s="5" t="s">
        <v>60</v>
      </c>
      <c r="C78" s="4" t="s">
        <v>61</v>
      </c>
      <c r="D78" s="5" t="s">
        <v>105</v>
      </c>
      <c r="E78" s="4" t="s">
        <v>72</v>
      </c>
      <c r="F78" s="4" t="s">
        <v>73</v>
      </c>
      <c r="G78" s="4" t="s">
        <v>13</v>
      </c>
      <c r="H78" s="6">
        <v>0.4</v>
      </c>
      <c r="I78" s="7">
        <v>18000</v>
      </c>
      <c r="J78" s="7">
        <f t="shared" si="0"/>
        <v>7200</v>
      </c>
      <c r="K78" s="8" t="s">
        <v>12</v>
      </c>
    </row>
    <row r="79" spans="1:11" x14ac:dyDescent="0.25">
      <c r="A79" s="4" t="s">
        <v>104</v>
      </c>
      <c r="B79" s="5" t="s">
        <v>60</v>
      </c>
      <c r="C79" s="4" t="s">
        <v>61</v>
      </c>
      <c r="D79" s="5" t="s">
        <v>105</v>
      </c>
      <c r="E79" s="4" t="s">
        <v>74</v>
      </c>
      <c r="F79" s="4" t="s">
        <v>75</v>
      </c>
      <c r="G79" s="4" t="s">
        <v>13</v>
      </c>
      <c r="H79" s="6">
        <v>6</v>
      </c>
      <c r="I79" s="7">
        <v>22000</v>
      </c>
      <c r="J79" s="7">
        <f t="shared" si="0"/>
        <v>132000</v>
      </c>
      <c r="K79" s="8" t="s">
        <v>12</v>
      </c>
    </row>
    <row r="80" spans="1:11" x14ac:dyDescent="0.25">
      <c r="A80" s="4" t="s">
        <v>104</v>
      </c>
      <c r="B80" s="5" t="s">
        <v>60</v>
      </c>
      <c r="C80" s="4" t="s">
        <v>61</v>
      </c>
      <c r="D80" s="5" t="s">
        <v>105</v>
      </c>
      <c r="E80" s="4" t="s">
        <v>36</v>
      </c>
      <c r="F80" s="4" t="s">
        <v>37</v>
      </c>
      <c r="G80" s="4" t="s">
        <v>13</v>
      </c>
      <c r="H80" s="6">
        <v>3</v>
      </c>
      <c r="I80" s="7">
        <v>145000</v>
      </c>
      <c r="J80" s="7">
        <f t="shared" ref="J80:J143" si="1">H80*I80</f>
        <v>435000</v>
      </c>
      <c r="K80" s="8" t="s">
        <v>12</v>
      </c>
    </row>
    <row r="81" spans="1:11" x14ac:dyDescent="0.25">
      <c r="A81" s="4" t="s">
        <v>104</v>
      </c>
      <c r="B81" s="5" t="s">
        <v>60</v>
      </c>
      <c r="C81" s="4" t="s">
        <v>61</v>
      </c>
      <c r="D81" s="5" t="s">
        <v>105</v>
      </c>
      <c r="E81" s="4" t="s">
        <v>38</v>
      </c>
      <c r="F81" s="4" t="s">
        <v>39</v>
      </c>
      <c r="G81" s="4" t="s">
        <v>13</v>
      </c>
      <c r="H81" s="6">
        <v>7</v>
      </c>
      <c r="I81" s="7">
        <v>47000</v>
      </c>
      <c r="J81" s="7">
        <f t="shared" si="1"/>
        <v>329000</v>
      </c>
      <c r="K81" s="8" t="s">
        <v>12</v>
      </c>
    </row>
    <row r="82" spans="1:11" x14ac:dyDescent="0.25">
      <c r="A82" s="4" t="s">
        <v>104</v>
      </c>
      <c r="B82" s="5" t="s">
        <v>60</v>
      </c>
      <c r="C82" s="4" t="s">
        <v>61</v>
      </c>
      <c r="D82" s="5" t="s">
        <v>105</v>
      </c>
      <c r="E82" s="4" t="s">
        <v>40</v>
      </c>
      <c r="F82" s="4" t="s">
        <v>41</v>
      </c>
      <c r="G82" s="4" t="s">
        <v>13</v>
      </c>
      <c r="H82" s="6">
        <v>0.5</v>
      </c>
      <c r="I82" s="7">
        <v>80000</v>
      </c>
      <c r="J82" s="7">
        <f t="shared" si="1"/>
        <v>40000</v>
      </c>
      <c r="K82" s="8" t="s">
        <v>12</v>
      </c>
    </row>
    <row r="83" spans="1:11" x14ac:dyDescent="0.25">
      <c r="A83" s="4" t="s">
        <v>104</v>
      </c>
      <c r="B83" s="5" t="s">
        <v>60</v>
      </c>
      <c r="C83" s="4" t="s">
        <v>61</v>
      </c>
      <c r="D83" s="5" t="s">
        <v>105</v>
      </c>
      <c r="E83" s="4" t="s">
        <v>42</v>
      </c>
      <c r="F83" s="4" t="s">
        <v>43</v>
      </c>
      <c r="G83" s="4" t="s">
        <v>13</v>
      </c>
      <c r="H83" s="6">
        <v>7</v>
      </c>
      <c r="I83" s="7">
        <v>45000</v>
      </c>
      <c r="J83" s="7">
        <f t="shared" si="1"/>
        <v>315000</v>
      </c>
      <c r="K83" s="8" t="s">
        <v>12</v>
      </c>
    </row>
    <row r="84" spans="1:11" ht="28.5" x14ac:dyDescent="0.25">
      <c r="A84" s="4" t="s">
        <v>104</v>
      </c>
      <c r="B84" s="5" t="s">
        <v>60</v>
      </c>
      <c r="C84" s="4" t="s">
        <v>61</v>
      </c>
      <c r="D84" s="5" t="s">
        <v>105</v>
      </c>
      <c r="E84" s="4" t="s">
        <v>44</v>
      </c>
      <c r="F84" s="4" t="s">
        <v>45</v>
      </c>
      <c r="G84" s="4" t="s">
        <v>13</v>
      </c>
      <c r="H84" s="6">
        <v>5</v>
      </c>
      <c r="I84" s="7">
        <v>95000</v>
      </c>
      <c r="J84" s="7">
        <f t="shared" si="1"/>
        <v>475000</v>
      </c>
      <c r="K84" s="8" t="s">
        <v>12</v>
      </c>
    </row>
    <row r="85" spans="1:11" x14ac:dyDescent="0.25">
      <c r="A85" s="4" t="s">
        <v>104</v>
      </c>
      <c r="B85" s="5" t="s">
        <v>60</v>
      </c>
      <c r="C85" s="4" t="s">
        <v>61</v>
      </c>
      <c r="D85" s="5" t="s">
        <v>105</v>
      </c>
      <c r="E85" s="4" t="s">
        <v>20</v>
      </c>
      <c r="F85" s="4" t="s">
        <v>21</v>
      </c>
      <c r="G85" s="4" t="s">
        <v>13</v>
      </c>
      <c r="H85" s="6">
        <v>2</v>
      </c>
      <c r="I85" s="7">
        <v>45000</v>
      </c>
      <c r="J85" s="7">
        <f t="shared" si="1"/>
        <v>90000</v>
      </c>
      <c r="K85" s="8" t="s">
        <v>12</v>
      </c>
    </row>
    <row r="86" spans="1:11" x14ac:dyDescent="0.25">
      <c r="A86" s="4" t="s">
        <v>104</v>
      </c>
      <c r="B86" s="5" t="s">
        <v>60</v>
      </c>
      <c r="C86" s="4" t="s">
        <v>61</v>
      </c>
      <c r="D86" s="5" t="s">
        <v>105</v>
      </c>
      <c r="E86" s="4" t="s">
        <v>46</v>
      </c>
      <c r="F86" s="4" t="s">
        <v>47</v>
      </c>
      <c r="G86" s="4" t="s">
        <v>13</v>
      </c>
      <c r="H86" s="6">
        <v>0.3</v>
      </c>
      <c r="I86" s="7">
        <v>70000</v>
      </c>
      <c r="J86" s="7">
        <f t="shared" si="1"/>
        <v>21000</v>
      </c>
      <c r="K86" s="8" t="s">
        <v>12</v>
      </c>
    </row>
    <row r="87" spans="1:11" x14ac:dyDescent="0.25">
      <c r="A87" s="4" t="s">
        <v>104</v>
      </c>
      <c r="B87" s="5" t="s">
        <v>60</v>
      </c>
      <c r="C87" s="4" t="s">
        <v>61</v>
      </c>
      <c r="D87" s="5" t="s">
        <v>105</v>
      </c>
      <c r="E87" s="4" t="s">
        <v>29</v>
      </c>
      <c r="F87" s="4" t="s">
        <v>30</v>
      </c>
      <c r="G87" s="4" t="s">
        <v>13</v>
      </c>
      <c r="H87" s="6">
        <v>1</v>
      </c>
      <c r="I87" s="7">
        <v>145000</v>
      </c>
      <c r="J87" s="7">
        <f t="shared" si="1"/>
        <v>145000</v>
      </c>
      <c r="K87" s="8" t="s">
        <v>12</v>
      </c>
    </row>
    <row r="88" spans="1:11" x14ac:dyDescent="0.25">
      <c r="A88" s="4" t="s">
        <v>104</v>
      </c>
      <c r="B88" s="5" t="s">
        <v>60</v>
      </c>
      <c r="C88" s="4" t="s">
        <v>61</v>
      </c>
      <c r="D88" s="5" t="s">
        <v>105</v>
      </c>
      <c r="E88" s="4" t="s">
        <v>27</v>
      </c>
      <c r="F88" s="4" t="s">
        <v>28</v>
      </c>
      <c r="G88" s="4" t="s">
        <v>13</v>
      </c>
      <c r="H88" s="6">
        <v>8</v>
      </c>
      <c r="I88" s="7">
        <v>21000</v>
      </c>
      <c r="J88" s="7">
        <f t="shared" si="1"/>
        <v>168000</v>
      </c>
      <c r="K88" s="8" t="s">
        <v>12</v>
      </c>
    </row>
    <row r="89" spans="1:11" x14ac:dyDescent="0.25">
      <c r="A89" s="4" t="s">
        <v>104</v>
      </c>
      <c r="B89" s="5" t="s">
        <v>60</v>
      </c>
      <c r="C89" s="4" t="s">
        <v>61</v>
      </c>
      <c r="D89" s="5" t="s">
        <v>105</v>
      </c>
      <c r="E89" s="4" t="s">
        <v>76</v>
      </c>
      <c r="F89" s="4" t="s">
        <v>77</v>
      </c>
      <c r="G89" s="4" t="s">
        <v>13</v>
      </c>
      <c r="H89" s="6">
        <v>7.1</v>
      </c>
      <c r="I89" s="7">
        <v>38000</v>
      </c>
      <c r="J89" s="7">
        <f t="shared" si="1"/>
        <v>269800</v>
      </c>
      <c r="K89" s="8" t="s">
        <v>12</v>
      </c>
    </row>
    <row r="90" spans="1:11" x14ac:dyDescent="0.25">
      <c r="A90" s="4" t="s">
        <v>104</v>
      </c>
      <c r="B90" s="5" t="s">
        <v>60</v>
      </c>
      <c r="C90" s="4" t="s">
        <v>61</v>
      </c>
      <c r="D90" s="5" t="s">
        <v>105</v>
      </c>
      <c r="E90" s="4" t="s">
        <v>14</v>
      </c>
      <c r="F90" s="4" t="s">
        <v>15</v>
      </c>
      <c r="G90" s="4" t="s">
        <v>13</v>
      </c>
      <c r="H90" s="6">
        <v>2</v>
      </c>
      <c r="I90" s="7">
        <v>50000</v>
      </c>
      <c r="J90" s="7">
        <f t="shared" si="1"/>
        <v>100000</v>
      </c>
      <c r="K90" s="8" t="s">
        <v>12</v>
      </c>
    </row>
    <row r="91" spans="1:11" x14ac:dyDescent="0.25">
      <c r="A91" s="4" t="s">
        <v>104</v>
      </c>
      <c r="B91" s="5" t="s">
        <v>60</v>
      </c>
      <c r="C91" s="4" t="s">
        <v>61</v>
      </c>
      <c r="D91" s="5" t="s">
        <v>105</v>
      </c>
      <c r="E91" s="4" t="s">
        <v>48</v>
      </c>
      <c r="F91" s="4" t="s">
        <v>49</v>
      </c>
      <c r="G91" s="4" t="s">
        <v>13</v>
      </c>
      <c r="H91" s="6">
        <v>10</v>
      </c>
      <c r="I91" s="7">
        <v>62000</v>
      </c>
      <c r="J91" s="7">
        <f t="shared" si="1"/>
        <v>620000</v>
      </c>
      <c r="K91" s="8" t="s">
        <v>12</v>
      </c>
    </row>
    <row r="92" spans="1:11" x14ac:dyDescent="0.25">
      <c r="A92" s="4" t="s">
        <v>106</v>
      </c>
      <c r="B92" s="5" t="s">
        <v>60</v>
      </c>
      <c r="C92" s="4" t="s">
        <v>61</v>
      </c>
      <c r="D92" s="5" t="s">
        <v>107</v>
      </c>
      <c r="E92" s="4" t="s">
        <v>31</v>
      </c>
      <c r="F92" s="4" t="s">
        <v>32</v>
      </c>
      <c r="G92" s="4" t="s">
        <v>33</v>
      </c>
      <c r="H92" s="6">
        <v>8</v>
      </c>
      <c r="I92" s="7">
        <v>8500</v>
      </c>
      <c r="J92" s="7">
        <f t="shared" si="1"/>
        <v>68000</v>
      </c>
      <c r="K92" s="8" t="s">
        <v>12</v>
      </c>
    </row>
    <row r="93" spans="1:11" x14ac:dyDescent="0.25">
      <c r="A93" s="4" t="s">
        <v>106</v>
      </c>
      <c r="B93" s="5" t="s">
        <v>60</v>
      </c>
      <c r="C93" s="4" t="s">
        <v>61</v>
      </c>
      <c r="D93" s="5" t="s">
        <v>107</v>
      </c>
      <c r="E93" s="4" t="s">
        <v>62</v>
      </c>
      <c r="F93" s="4" t="s">
        <v>63</v>
      </c>
      <c r="G93" s="4" t="s">
        <v>13</v>
      </c>
      <c r="H93" s="6">
        <v>2.2000000000000002</v>
      </c>
      <c r="I93" s="7">
        <v>45000</v>
      </c>
      <c r="J93" s="7">
        <f t="shared" si="1"/>
        <v>99000.000000000015</v>
      </c>
      <c r="K93" s="8" t="s">
        <v>12</v>
      </c>
    </row>
    <row r="94" spans="1:11" x14ac:dyDescent="0.25">
      <c r="A94" s="4" t="s">
        <v>106</v>
      </c>
      <c r="B94" s="5" t="s">
        <v>60</v>
      </c>
      <c r="C94" s="4" t="s">
        <v>61</v>
      </c>
      <c r="D94" s="5" t="s">
        <v>107</v>
      </c>
      <c r="E94" s="4" t="s">
        <v>64</v>
      </c>
      <c r="F94" s="4" t="s">
        <v>65</v>
      </c>
      <c r="G94" s="4" t="s">
        <v>13</v>
      </c>
      <c r="H94" s="6">
        <v>0.5</v>
      </c>
      <c r="I94" s="7">
        <v>50000</v>
      </c>
      <c r="J94" s="7">
        <f t="shared" si="1"/>
        <v>25000</v>
      </c>
      <c r="K94" s="8" t="s">
        <v>12</v>
      </c>
    </row>
    <row r="95" spans="1:11" x14ac:dyDescent="0.25">
      <c r="A95" s="4" t="s">
        <v>106</v>
      </c>
      <c r="B95" s="5" t="s">
        <v>60</v>
      </c>
      <c r="C95" s="4" t="s">
        <v>61</v>
      </c>
      <c r="D95" s="5" t="s">
        <v>107</v>
      </c>
      <c r="E95" s="4" t="s">
        <v>66</v>
      </c>
      <c r="F95" s="4" t="s">
        <v>67</v>
      </c>
      <c r="G95" s="4" t="s">
        <v>13</v>
      </c>
      <c r="H95" s="6">
        <v>10.9</v>
      </c>
      <c r="I95" s="7">
        <v>18000</v>
      </c>
      <c r="J95" s="7">
        <f t="shared" si="1"/>
        <v>196200</v>
      </c>
      <c r="K95" s="8" t="s">
        <v>12</v>
      </c>
    </row>
    <row r="96" spans="1:11" x14ac:dyDescent="0.25">
      <c r="A96" s="4" t="s">
        <v>106</v>
      </c>
      <c r="B96" s="5" t="s">
        <v>60</v>
      </c>
      <c r="C96" s="4" t="s">
        <v>61</v>
      </c>
      <c r="D96" s="5" t="s">
        <v>107</v>
      </c>
      <c r="E96" s="4" t="s">
        <v>54</v>
      </c>
      <c r="F96" s="4" t="s">
        <v>55</v>
      </c>
      <c r="G96" s="4" t="s">
        <v>13</v>
      </c>
      <c r="H96" s="6">
        <v>0.3</v>
      </c>
      <c r="I96" s="7">
        <v>75000</v>
      </c>
      <c r="J96" s="7">
        <f t="shared" si="1"/>
        <v>22500</v>
      </c>
      <c r="K96" s="8" t="s">
        <v>12</v>
      </c>
    </row>
    <row r="97" spans="1:11" x14ac:dyDescent="0.25">
      <c r="A97" s="4" t="s">
        <v>106</v>
      </c>
      <c r="B97" s="5" t="s">
        <v>60</v>
      </c>
      <c r="C97" s="4" t="s">
        <v>61</v>
      </c>
      <c r="D97" s="5" t="s">
        <v>107</v>
      </c>
      <c r="E97" s="4" t="s">
        <v>68</v>
      </c>
      <c r="F97" s="4" t="s">
        <v>69</v>
      </c>
      <c r="G97" s="4" t="s">
        <v>13</v>
      </c>
      <c r="H97" s="6">
        <v>1.8</v>
      </c>
      <c r="I97" s="7">
        <v>13000</v>
      </c>
      <c r="J97" s="7">
        <f t="shared" si="1"/>
        <v>23400</v>
      </c>
      <c r="K97" s="8" t="s">
        <v>12</v>
      </c>
    </row>
    <row r="98" spans="1:11" x14ac:dyDescent="0.25">
      <c r="A98" s="4" t="s">
        <v>106</v>
      </c>
      <c r="B98" s="5" t="s">
        <v>60</v>
      </c>
      <c r="C98" s="4" t="s">
        <v>61</v>
      </c>
      <c r="D98" s="5" t="s">
        <v>107</v>
      </c>
      <c r="E98" s="4" t="s">
        <v>16</v>
      </c>
      <c r="F98" s="4" t="s">
        <v>17</v>
      </c>
      <c r="G98" s="4" t="s">
        <v>13</v>
      </c>
      <c r="H98" s="6">
        <v>1</v>
      </c>
      <c r="I98" s="7">
        <v>47000</v>
      </c>
      <c r="J98" s="7">
        <f t="shared" si="1"/>
        <v>47000</v>
      </c>
      <c r="K98" s="8" t="s">
        <v>12</v>
      </c>
    </row>
    <row r="99" spans="1:11" x14ac:dyDescent="0.25">
      <c r="A99" s="4" t="s">
        <v>106</v>
      </c>
      <c r="B99" s="5" t="s">
        <v>60</v>
      </c>
      <c r="C99" s="4" t="s">
        <v>61</v>
      </c>
      <c r="D99" s="5" t="s">
        <v>107</v>
      </c>
      <c r="E99" s="4" t="s">
        <v>50</v>
      </c>
      <c r="F99" s="4" t="s">
        <v>51</v>
      </c>
      <c r="G99" s="4" t="s">
        <v>13</v>
      </c>
      <c r="H99" s="6">
        <v>34</v>
      </c>
      <c r="I99" s="7">
        <v>18000</v>
      </c>
      <c r="J99" s="7">
        <f t="shared" si="1"/>
        <v>612000</v>
      </c>
      <c r="K99" s="8" t="s">
        <v>12</v>
      </c>
    </row>
    <row r="100" spans="1:11" x14ac:dyDescent="0.25">
      <c r="A100" s="4" t="s">
        <v>106</v>
      </c>
      <c r="B100" s="5" t="s">
        <v>60</v>
      </c>
      <c r="C100" s="4" t="s">
        <v>61</v>
      </c>
      <c r="D100" s="5" t="s">
        <v>107</v>
      </c>
      <c r="E100" s="4" t="s">
        <v>78</v>
      </c>
      <c r="F100" s="4" t="s">
        <v>79</v>
      </c>
      <c r="G100" s="4" t="s">
        <v>13</v>
      </c>
      <c r="H100" s="6">
        <v>0.2</v>
      </c>
      <c r="I100" s="7">
        <v>30000</v>
      </c>
      <c r="J100" s="7">
        <f t="shared" si="1"/>
        <v>6000</v>
      </c>
      <c r="K100" s="8" t="s">
        <v>12</v>
      </c>
    </row>
    <row r="101" spans="1:11" x14ac:dyDescent="0.25">
      <c r="A101" s="4" t="s">
        <v>106</v>
      </c>
      <c r="B101" s="5" t="s">
        <v>60</v>
      </c>
      <c r="C101" s="4" t="s">
        <v>61</v>
      </c>
      <c r="D101" s="5" t="s">
        <v>107</v>
      </c>
      <c r="E101" s="4" t="s">
        <v>18</v>
      </c>
      <c r="F101" s="4" t="s">
        <v>19</v>
      </c>
      <c r="G101" s="4" t="s">
        <v>13</v>
      </c>
      <c r="H101" s="6">
        <v>2</v>
      </c>
      <c r="I101" s="7">
        <v>55000</v>
      </c>
      <c r="J101" s="7">
        <f t="shared" si="1"/>
        <v>110000</v>
      </c>
      <c r="K101" s="8" t="s">
        <v>12</v>
      </c>
    </row>
    <row r="102" spans="1:11" x14ac:dyDescent="0.25">
      <c r="A102" s="4" t="s">
        <v>106</v>
      </c>
      <c r="B102" s="5" t="s">
        <v>60</v>
      </c>
      <c r="C102" s="4" t="s">
        <v>61</v>
      </c>
      <c r="D102" s="5" t="s">
        <v>107</v>
      </c>
      <c r="E102" s="4" t="s">
        <v>80</v>
      </c>
      <c r="F102" s="4" t="s">
        <v>81</v>
      </c>
      <c r="G102" s="4" t="s">
        <v>82</v>
      </c>
      <c r="H102" s="6">
        <v>1</v>
      </c>
      <c r="I102" s="7">
        <v>80000</v>
      </c>
      <c r="J102" s="7">
        <f t="shared" si="1"/>
        <v>80000</v>
      </c>
      <c r="K102" s="8" t="s">
        <v>12</v>
      </c>
    </row>
    <row r="103" spans="1:11" x14ac:dyDescent="0.25">
      <c r="A103" s="4" t="s">
        <v>106</v>
      </c>
      <c r="B103" s="5" t="s">
        <v>60</v>
      </c>
      <c r="C103" s="4" t="s">
        <v>61</v>
      </c>
      <c r="D103" s="5" t="s">
        <v>107</v>
      </c>
      <c r="E103" s="4" t="s">
        <v>52</v>
      </c>
      <c r="F103" s="4" t="s">
        <v>53</v>
      </c>
      <c r="G103" s="4" t="s">
        <v>13</v>
      </c>
      <c r="H103" s="6">
        <v>0.2</v>
      </c>
      <c r="I103" s="7">
        <v>65000</v>
      </c>
      <c r="J103" s="7">
        <f t="shared" si="1"/>
        <v>13000</v>
      </c>
      <c r="K103" s="8" t="s">
        <v>12</v>
      </c>
    </row>
    <row r="104" spans="1:11" x14ac:dyDescent="0.25">
      <c r="A104" s="4" t="s">
        <v>106</v>
      </c>
      <c r="B104" s="5" t="s">
        <v>60</v>
      </c>
      <c r="C104" s="4" t="s">
        <v>61</v>
      </c>
      <c r="D104" s="5" t="s">
        <v>107</v>
      </c>
      <c r="E104" s="4" t="s">
        <v>70</v>
      </c>
      <c r="F104" s="4" t="s">
        <v>71</v>
      </c>
      <c r="G104" s="4" t="s">
        <v>13</v>
      </c>
      <c r="H104" s="6">
        <v>2.6</v>
      </c>
      <c r="I104" s="7">
        <v>30000</v>
      </c>
      <c r="J104" s="7">
        <f t="shared" si="1"/>
        <v>78000</v>
      </c>
      <c r="K104" s="8" t="s">
        <v>12</v>
      </c>
    </row>
    <row r="105" spans="1:11" x14ac:dyDescent="0.25">
      <c r="A105" s="4" t="s">
        <v>106</v>
      </c>
      <c r="B105" s="5" t="s">
        <v>60</v>
      </c>
      <c r="C105" s="4" t="s">
        <v>61</v>
      </c>
      <c r="D105" s="5" t="s">
        <v>107</v>
      </c>
      <c r="E105" s="4" t="s">
        <v>72</v>
      </c>
      <c r="F105" s="4" t="s">
        <v>73</v>
      </c>
      <c r="G105" s="4" t="s">
        <v>13</v>
      </c>
      <c r="H105" s="6">
        <v>0.8</v>
      </c>
      <c r="I105" s="7">
        <v>18000</v>
      </c>
      <c r="J105" s="7">
        <f t="shared" si="1"/>
        <v>14400</v>
      </c>
      <c r="K105" s="8" t="s">
        <v>12</v>
      </c>
    </row>
    <row r="106" spans="1:11" x14ac:dyDescent="0.25">
      <c r="A106" s="4" t="s">
        <v>106</v>
      </c>
      <c r="B106" s="5" t="s">
        <v>60</v>
      </c>
      <c r="C106" s="4" t="s">
        <v>61</v>
      </c>
      <c r="D106" s="5" t="s">
        <v>107</v>
      </c>
      <c r="E106" s="4" t="s">
        <v>74</v>
      </c>
      <c r="F106" s="4" t="s">
        <v>75</v>
      </c>
      <c r="G106" s="4" t="s">
        <v>13</v>
      </c>
      <c r="H106" s="6">
        <v>5.2</v>
      </c>
      <c r="I106" s="7">
        <v>22000</v>
      </c>
      <c r="J106" s="7">
        <f t="shared" si="1"/>
        <v>114400</v>
      </c>
      <c r="K106" s="8" t="s">
        <v>12</v>
      </c>
    </row>
    <row r="107" spans="1:11" x14ac:dyDescent="0.25">
      <c r="A107" s="4" t="s">
        <v>106</v>
      </c>
      <c r="B107" s="5" t="s">
        <v>60</v>
      </c>
      <c r="C107" s="4" t="s">
        <v>61</v>
      </c>
      <c r="D107" s="5" t="s">
        <v>107</v>
      </c>
      <c r="E107" s="4" t="s">
        <v>36</v>
      </c>
      <c r="F107" s="4" t="s">
        <v>37</v>
      </c>
      <c r="G107" s="4" t="s">
        <v>13</v>
      </c>
      <c r="H107" s="6">
        <v>3</v>
      </c>
      <c r="I107" s="7">
        <v>145000</v>
      </c>
      <c r="J107" s="7">
        <f t="shared" si="1"/>
        <v>435000</v>
      </c>
      <c r="K107" s="8" t="s">
        <v>12</v>
      </c>
    </row>
    <row r="108" spans="1:11" x14ac:dyDescent="0.25">
      <c r="A108" s="4" t="s">
        <v>106</v>
      </c>
      <c r="B108" s="5" t="s">
        <v>60</v>
      </c>
      <c r="C108" s="4" t="s">
        <v>61</v>
      </c>
      <c r="D108" s="5" t="s">
        <v>107</v>
      </c>
      <c r="E108" s="4" t="s">
        <v>38</v>
      </c>
      <c r="F108" s="4" t="s">
        <v>39</v>
      </c>
      <c r="G108" s="4" t="s">
        <v>13</v>
      </c>
      <c r="H108" s="6">
        <v>6</v>
      </c>
      <c r="I108" s="7">
        <v>47000</v>
      </c>
      <c r="J108" s="7">
        <f t="shared" si="1"/>
        <v>282000</v>
      </c>
      <c r="K108" s="8" t="s">
        <v>12</v>
      </c>
    </row>
    <row r="109" spans="1:11" x14ac:dyDescent="0.25">
      <c r="A109" s="4" t="s">
        <v>106</v>
      </c>
      <c r="B109" s="5" t="s">
        <v>60</v>
      </c>
      <c r="C109" s="4" t="s">
        <v>61</v>
      </c>
      <c r="D109" s="5" t="s">
        <v>107</v>
      </c>
      <c r="E109" s="4" t="s">
        <v>42</v>
      </c>
      <c r="F109" s="4" t="s">
        <v>43</v>
      </c>
      <c r="G109" s="4" t="s">
        <v>13</v>
      </c>
      <c r="H109" s="6">
        <v>6</v>
      </c>
      <c r="I109" s="7">
        <v>45000</v>
      </c>
      <c r="J109" s="7">
        <f t="shared" si="1"/>
        <v>270000</v>
      </c>
      <c r="K109" s="8" t="s">
        <v>12</v>
      </c>
    </row>
    <row r="110" spans="1:11" ht="28.5" x14ac:dyDescent="0.25">
      <c r="A110" s="4" t="s">
        <v>106</v>
      </c>
      <c r="B110" s="5" t="s">
        <v>60</v>
      </c>
      <c r="C110" s="4" t="s">
        <v>61</v>
      </c>
      <c r="D110" s="5" t="s">
        <v>107</v>
      </c>
      <c r="E110" s="4" t="s">
        <v>44</v>
      </c>
      <c r="F110" s="4" t="s">
        <v>45</v>
      </c>
      <c r="G110" s="4" t="s">
        <v>13</v>
      </c>
      <c r="H110" s="6">
        <v>5</v>
      </c>
      <c r="I110" s="7">
        <v>95000</v>
      </c>
      <c r="J110" s="7">
        <f t="shared" si="1"/>
        <v>475000</v>
      </c>
      <c r="K110" s="8" t="s">
        <v>12</v>
      </c>
    </row>
    <row r="111" spans="1:11" x14ac:dyDescent="0.25">
      <c r="A111" s="4" t="s">
        <v>106</v>
      </c>
      <c r="B111" s="5" t="s">
        <v>60</v>
      </c>
      <c r="C111" s="4" t="s">
        <v>61</v>
      </c>
      <c r="D111" s="5" t="s">
        <v>107</v>
      </c>
      <c r="E111" s="4" t="s">
        <v>20</v>
      </c>
      <c r="F111" s="4" t="s">
        <v>21</v>
      </c>
      <c r="G111" s="4" t="s">
        <v>13</v>
      </c>
      <c r="H111" s="6">
        <v>1.5</v>
      </c>
      <c r="I111" s="7">
        <v>45000</v>
      </c>
      <c r="J111" s="7">
        <f t="shared" si="1"/>
        <v>67500</v>
      </c>
      <c r="K111" s="8" t="s">
        <v>12</v>
      </c>
    </row>
    <row r="112" spans="1:11" x14ac:dyDescent="0.25">
      <c r="A112" s="4" t="s">
        <v>106</v>
      </c>
      <c r="B112" s="5" t="s">
        <v>60</v>
      </c>
      <c r="C112" s="4" t="s">
        <v>61</v>
      </c>
      <c r="D112" s="5" t="s">
        <v>107</v>
      </c>
      <c r="E112" s="4" t="s">
        <v>29</v>
      </c>
      <c r="F112" s="4" t="s">
        <v>30</v>
      </c>
      <c r="G112" s="4" t="s">
        <v>13</v>
      </c>
      <c r="H112" s="6">
        <v>2</v>
      </c>
      <c r="I112" s="7">
        <v>145000</v>
      </c>
      <c r="J112" s="7">
        <f t="shared" si="1"/>
        <v>290000</v>
      </c>
      <c r="K112" s="8" t="s">
        <v>12</v>
      </c>
    </row>
    <row r="113" spans="1:11" x14ac:dyDescent="0.25">
      <c r="A113" s="4" t="s">
        <v>106</v>
      </c>
      <c r="B113" s="5" t="s">
        <v>60</v>
      </c>
      <c r="C113" s="4" t="s">
        <v>61</v>
      </c>
      <c r="D113" s="5" t="s">
        <v>107</v>
      </c>
      <c r="E113" s="4" t="s">
        <v>27</v>
      </c>
      <c r="F113" s="4" t="s">
        <v>28</v>
      </c>
      <c r="G113" s="4" t="s">
        <v>13</v>
      </c>
      <c r="H113" s="6">
        <v>5.2</v>
      </c>
      <c r="I113" s="7">
        <v>21000</v>
      </c>
      <c r="J113" s="7">
        <f t="shared" si="1"/>
        <v>109200</v>
      </c>
      <c r="K113" s="8" t="s">
        <v>12</v>
      </c>
    </row>
    <row r="114" spans="1:11" x14ac:dyDescent="0.25">
      <c r="A114" s="4" t="s">
        <v>106</v>
      </c>
      <c r="B114" s="5" t="s">
        <v>60</v>
      </c>
      <c r="C114" s="4" t="s">
        <v>61</v>
      </c>
      <c r="D114" s="5" t="s">
        <v>107</v>
      </c>
      <c r="E114" s="4" t="s">
        <v>76</v>
      </c>
      <c r="F114" s="4" t="s">
        <v>77</v>
      </c>
      <c r="G114" s="4" t="s">
        <v>13</v>
      </c>
      <c r="H114" s="6">
        <v>4.9000000000000004</v>
      </c>
      <c r="I114" s="7">
        <v>38000</v>
      </c>
      <c r="J114" s="7">
        <f t="shared" si="1"/>
        <v>186200</v>
      </c>
      <c r="K114" s="8" t="s">
        <v>12</v>
      </c>
    </row>
    <row r="115" spans="1:11" x14ac:dyDescent="0.25">
      <c r="A115" s="4" t="s">
        <v>106</v>
      </c>
      <c r="B115" s="5" t="s">
        <v>60</v>
      </c>
      <c r="C115" s="4" t="s">
        <v>61</v>
      </c>
      <c r="D115" s="5" t="s">
        <v>107</v>
      </c>
      <c r="E115" s="4" t="s">
        <v>14</v>
      </c>
      <c r="F115" s="4" t="s">
        <v>15</v>
      </c>
      <c r="G115" s="4" t="s">
        <v>13</v>
      </c>
      <c r="H115" s="6">
        <v>2</v>
      </c>
      <c r="I115" s="7">
        <v>50000</v>
      </c>
      <c r="J115" s="7">
        <f t="shared" si="1"/>
        <v>100000</v>
      </c>
      <c r="K115" s="8" t="s">
        <v>12</v>
      </c>
    </row>
    <row r="116" spans="1:11" x14ac:dyDescent="0.25">
      <c r="A116" s="4" t="s">
        <v>106</v>
      </c>
      <c r="B116" s="5" t="s">
        <v>60</v>
      </c>
      <c r="C116" s="4" t="s">
        <v>61</v>
      </c>
      <c r="D116" s="5" t="s">
        <v>107</v>
      </c>
      <c r="E116" s="4" t="s">
        <v>48</v>
      </c>
      <c r="F116" s="4" t="s">
        <v>49</v>
      </c>
      <c r="G116" s="4" t="s">
        <v>13</v>
      </c>
      <c r="H116" s="6">
        <v>11.8</v>
      </c>
      <c r="I116" s="7">
        <v>62000</v>
      </c>
      <c r="J116" s="7">
        <f t="shared" si="1"/>
        <v>731600</v>
      </c>
      <c r="K116" s="8" t="s">
        <v>12</v>
      </c>
    </row>
    <row r="117" spans="1:11" x14ac:dyDescent="0.25">
      <c r="A117" s="4" t="s">
        <v>108</v>
      </c>
      <c r="B117" s="5" t="s">
        <v>60</v>
      </c>
      <c r="C117" s="4" t="s">
        <v>61</v>
      </c>
      <c r="D117" s="5" t="s">
        <v>109</v>
      </c>
      <c r="E117" s="4" t="s">
        <v>31</v>
      </c>
      <c r="F117" s="4" t="s">
        <v>32</v>
      </c>
      <c r="G117" s="4" t="s">
        <v>33</v>
      </c>
      <c r="H117" s="6">
        <v>4</v>
      </c>
      <c r="I117" s="7">
        <v>8500</v>
      </c>
      <c r="J117" s="7">
        <f t="shared" si="1"/>
        <v>34000</v>
      </c>
      <c r="K117" s="8" t="s">
        <v>12</v>
      </c>
    </row>
    <row r="118" spans="1:11" x14ac:dyDescent="0.25">
      <c r="A118" s="4" t="s">
        <v>108</v>
      </c>
      <c r="B118" s="5" t="s">
        <v>60</v>
      </c>
      <c r="C118" s="4" t="s">
        <v>61</v>
      </c>
      <c r="D118" s="5" t="s">
        <v>109</v>
      </c>
      <c r="E118" s="4" t="s">
        <v>66</v>
      </c>
      <c r="F118" s="4" t="s">
        <v>67</v>
      </c>
      <c r="G118" s="4" t="s">
        <v>13</v>
      </c>
      <c r="H118" s="6">
        <v>6</v>
      </c>
      <c r="I118" s="7">
        <v>18000</v>
      </c>
      <c r="J118" s="7">
        <f t="shared" si="1"/>
        <v>108000</v>
      </c>
      <c r="K118" s="8" t="s">
        <v>12</v>
      </c>
    </row>
    <row r="119" spans="1:11" x14ac:dyDescent="0.25">
      <c r="A119" s="4" t="s">
        <v>108</v>
      </c>
      <c r="B119" s="5" t="s">
        <v>60</v>
      </c>
      <c r="C119" s="4" t="s">
        <v>61</v>
      </c>
      <c r="D119" s="5" t="s">
        <v>109</v>
      </c>
      <c r="E119" s="4" t="s">
        <v>68</v>
      </c>
      <c r="F119" s="4" t="s">
        <v>69</v>
      </c>
      <c r="G119" s="4" t="s">
        <v>13</v>
      </c>
      <c r="H119" s="6">
        <v>0.8</v>
      </c>
      <c r="I119" s="7">
        <v>13000</v>
      </c>
      <c r="J119" s="7">
        <f t="shared" si="1"/>
        <v>10400</v>
      </c>
      <c r="K119" s="8" t="s">
        <v>12</v>
      </c>
    </row>
    <row r="120" spans="1:11" x14ac:dyDescent="0.25">
      <c r="A120" s="4" t="s">
        <v>108</v>
      </c>
      <c r="B120" s="5" t="s">
        <v>60</v>
      </c>
      <c r="C120" s="4" t="s">
        <v>61</v>
      </c>
      <c r="D120" s="5" t="s">
        <v>109</v>
      </c>
      <c r="E120" s="4" t="s">
        <v>16</v>
      </c>
      <c r="F120" s="4" t="s">
        <v>17</v>
      </c>
      <c r="G120" s="4" t="s">
        <v>13</v>
      </c>
      <c r="H120" s="6">
        <v>0.95</v>
      </c>
      <c r="I120" s="7">
        <v>47000</v>
      </c>
      <c r="J120" s="7">
        <f t="shared" si="1"/>
        <v>44650</v>
      </c>
      <c r="K120" s="8" t="s">
        <v>12</v>
      </c>
    </row>
    <row r="121" spans="1:11" x14ac:dyDescent="0.25">
      <c r="A121" s="4" t="s">
        <v>108</v>
      </c>
      <c r="B121" s="5" t="s">
        <v>60</v>
      </c>
      <c r="C121" s="4" t="s">
        <v>61</v>
      </c>
      <c r="D121" s="5" t="s">
        <v>109</v>
      </c>
      <c r="E121" s="4" t="s">
        <v>18</v>
      </c>
      <c r="F121" s="4" t="s">
        <v>19</v>
      </c>
      <c r="G121" s="4" t="s">
        <v>13</v>
      </c>
      <c r="H121" s="6">
        <v>0.5</v>
      </c>
      <c r="I121" s="7">
        <v>55000</v>
      </c>
      <c r="J121" s="7">
        <f t="shared" si="1"/>
        <v>27500</v>
      </c>
      <c r="K121" s="8" t="s">
        <v>12</v>
      </c>
    </row>
    <row r="122" spans="1:11" x14ac:dyDescent="0.25">
      <c r="A122" s="4" t="s">
        <v>108</v>
      </c>
      <c r="B122" s="5" t="s">
        <v>60</v>
      </c>
      <c r="C122" s="4" t="s">
        <v>61</v>
      </c>
      <c r="D122" s="5" t="s">
        <v>109</v>
      </c>
      <c r="E122" s="4" t="s">
        <v>80</v>
      </c>
      <c r="F122" s="4" t="s">
        <v>81</v>
      </c>
      <c r="G122" s="4" t="s">
        <v>82</v>
      </c>
      <c r="H122" s="6">
        <v>1</v>
      </c>
      <c r="I122" s="7">
        <v>80000</v>
      </c>
      <c r="J122" s="7">
        <f t="shared" si="1"/>
        <v>80000</v>
      </c>
      <c r="K122" s="8" t="s">
        <v>12</v>
      </c>
    </row>
    <row r="123" spans="1:11" x14ac:dyDescent="0.25">
      <c r="A123" s="4" t="s">
        <v>108</v>
      </c>
      <c r="B123" s="5" t="s">
        <v>60</v>
      </c>
      <c r="C123" s="4" t="s">
        <v>61</v>
      </c>
      <c r="D123" s="5" t="s">
        <v>109</v>
      </c>
      <c r="E123" s="4" t="s">
        <v>52</v>
      </c>
      <c r="F123" s="4" t="s">
        <v>53</v>
      </c>
      <c r="G123" s="4" t="s">
        <v>13</v>
      </c>
      <c r="H123" s="6">
        <v>0.2</v>
      </c>
      <c r="I123" s="7">
        <v>65000</v>
      </c>
      <c r="J123" s="7">
        <f t="shared" si="1"/>
        <v>13000</v>
      </c>
      <c r="K123" s="8" t="s">
        <v>12</v>
      </c>
    </row>
    <row r="124" spans="1:11" x14ac:dyDescent="0.25">
      <c r="A124" s="4" t="s">
        <v>108</v>
      </c>
      <c r="B124" s="5" t="s">
        <v>60</v>
      </c>
      <c r="C124" s="4" t="s">
        <v>61</v>
      </c>
      <c r="D124" s="5" t="s">
        <v>109</v>
      </c>
      <c r="E124" s="4" t="s">
        <v>70</v>
      </c>
      <c r="F124" s="4" t="s">
        <v>71</v>
      </c>
      <c r="G124" s="4" t="s">
        <v>13</v>
      </c>
      <c r="H124" s="6">
        <v>1.3</v>
      </c>
      <c r="I124" s="7">
        <v>30000</v>
      </c>
      <c r="J124" s="7">
        <f t="shared" si="1"/>
        <v>39000</v>
      </c>
      <c r="K124" s="8" t="s">
        <v>12</v>
      </c>
    </row>
    <row r="125" spans="1:11" x14ac:dyDescent="0.25">
      <c r="A125" s="4" t="s">
        <v>108</v>
      </c>
      <c r="B125" s="5" t="s">
        <v>60</v>
      </c>
      <c r="C125" s="4" t="s">
        <v>61</v>
      </c>
      <c r="D125" s="5" t="s">
        <v>109</v>
      </c>
      <c r="E125" s="4" t="s">
        <v>74</v>
      </c>
      <c r="F125" s="4" t="s">
        <v>75</v>
      </c>
      <c r="G125" s="4" t="s">
        <v>13</v>
      </c>
      <c r="H125" s="6">
        <v>3.2</v>
      </c>
      <c r="I125" s="7">
        <v>22000</v>
      </c>
      <c r="J125" s="7">
        <f t="shared" si="1"/>
        <v>70400</v>
      </c>
      <c r="K125" s="8" t="s">
        <v>12</v>
      </c>
    </row>
    <row r="126" spans="1:11" x14ac:dyDescent="0.25">
      <c r="A126" s="4" t="s">
        <v>108</v>
      </c>
      <c r="B126" s="5" t="s">
        <v>60</v>
      </c>
      <c r="C126" s="4" t="s">
        <v>61</v>
      </c>
      <c r="D126" s="5" t="s">
        <v>109</v>
      </c>
      <c r="E126" s="4" t="s">
        <v>36</v>
      </c>
      <c r="F126" s="4" t="s">
        <v>37</v>
      </c>
      <c r="G126" s="4" t="s">
        <v>13</v>
      </c>
      <c r="H126" s="6">
        <v>1</v>
      </c>
      <c r="I126" s="7">
        <v>145000</v>
      </c>
      <c r="J126" s="7">
        <f t="shared" si="1"/>
        <v>145000</v>
      </c>
      <c r="K126" s="8" t="s">
        <v>12</v>
      </c>
    </row>
    <row r="127" spans="1:11" x14ac:dyDescent="0.25">
      <c r="A127" s="4" t="s">
        <v>108</v>
      </c>
      <c r="B127" s="5" t="s">
        <v>60</v>
      </c>
      <c r="C127" s="4" t="s">
        <v>61</v>
      </c>
      <c r="D127" s="5" t="s">
        <v>109</v>
      </c>
      <c r="E127" s="4" t="s">
        <v>38</v>
      </c>
      <c r="F127" s="4" t="s">
        <v>39</v>
      </c>
      <c r="G127" s="4" t="s">
        <v>13</v>
      </c>
      <c r="H127" s="6">
        <v>4</v>
      </c>
      <c r="I127" s="7">
        <v>47000</v>
      </c>
      <c r="J127" s="7">
        <f t="shared" si="1"/>
        <v>188000</v>
      </c>
      <c r="K127" s="8" t="s">
        <v>12</v>
      </c>
    </row>
    <row r="128" spans="1:11" x14ac:dyDescent="0.25">
      <c r="A128" s="4" t="s">
        <v>108</v>
      </c>
      <c r="B128" s="5" t="s">
        <v>60</v>
      </c>
      <c r="C128" s="4" t="s">
        <v>61</v>
      </c>
      <c r="D128" s="5" t="s">
        <v>109</v>
      </c>
      <c r="E128" s="4" t="s">
        <v>42</v>
      </c>
      <c r="F128" s="4" t="s">
        <v>43</v>
      </c>
      <c r="G128" s="4" t="s">
        <v>13</v>
      </c>
      <c r="H128" s="6">
        <v>4</v>
      </c>
      <c r="I128" s="7">
        <v>45000</v>
      </c>
      <c r="J128" s="7">
        <f t="shared" si="1"/>
        <v>180000</v>
      </c>
      <c r="K128" s="8" t="s">
        <v>12</v>
      </c>
    </row>
    <row r="129" spans="1:11" ht="28.5" x14ac:dyDescent="0.25">
      <c r="A129" s="4" t="s">
        <v>108</v>
      </c>
      <c r="B129" s="5" t="s">
        <v>60</v>
      </c>
      <c r="C129" s="4" t="s">
        <v>61</v>
      </c>
      <c r="D129" s="5" t="s">
        <v>109</v>
      </c>
      <c r="E129" s="4" t="s">
        <v>44</v>
      </c>
      <c r="F129" s="4" t="s">
        <v>45</v>
      </c>
      <c r="G129" s="4" t="s">
        <v>13</v>
      </c>
      <c r="H129" s="6">
        <v>4</v>
      </c>
      <c r="I129" s="7">
        <v>95000</v>
      </c>
      <c r="J129" s="7">
        <f t="shared" si="1"/>
        <v>380000</v>
      </c>
      <c r="K129" s="8" t="s">
        <v>12</v>
      </c>
    </row>
    <row r="130" spans="1:11" x14ac:dyDescent="0.25">
      <c r="A130" s="4" t="s">
        <v>108</v>
      </c>
      <c r="B130" s="5" t="s">
        <v>60</v>
      </c>
      <c r="C130" s="4" t="s">
        <v>61</v>
      </c>
      <c r="D130" s="5" t="s">
        <v>109</v>
      </c>
      <c r="E130" s="4" t="s">
        <v>46</v>
      </c>
      <c r="F130" s="4" t="s">
        <v>47</v>
      </c>
      <c r="G130" s="4" t="s">
        <v>13</v>
      </c>
      <c r="H130" s="6">
        <v>0.2</v>
      </c>
      <c r="I130" s="7">
        <v>70000</v>
      </c>
      <c r="J130" s="7">
        <f t="shared" si="1"/>
        <v>14000</v>
      </c>
      <c r="K130" s="8" t="s">
        <v>12</v>
      </c>
    </row>
    <row r="131" spans="1:11" x14ac:dyDescent="0.25">
      <c r="A131" s="4" t="s">
        <v>108</v>
      </c>
      <c r="B131" s="5" t="s">
        <v>60</v>
      </c>
      <c r="C131" s="4" t="s">
        <v>61</v>
      </c>
      <c r="D131" s="5" t="s">
        <v>109</v>
      </c>
      <c r="E131" s="4" t="s">
        <v>27</v>
      </c>
      <c r="F131" s="4" t="s">
        <v>28</v>
      </c>
      <c r="G131" s="4" t="s">
        <v>13</v>
      </c>
      <c r="H131" s="6">
        <v>4.8</v>
      </c>
      <c r="I131" s="7">
        <v>21000</v>
      </c>
      <c r="J131" s="7">
        <f t="shared" si="1"/>
        <v>100800</v>
      </c>
      <c r="K131" s="8" t="s">
        <v>12</v>
      </c>
    </row>
    <row r="132" spans="1:11" x14ac:dyDescent="0.25">
      <c r="A132" s="4" t="s">
        <v>108</v>
      </c>
      <c r="B132" s="5" t="s">
        <v>60</v>
      </c>
      <c r="C132" s="4" t="s">
        <v>61</v>
      </c>
      <c r="D132" s="5" t="s">
        <v>109</v>
      </c>
      <c r="E132" s="4" t="s">
        <v>76</v>
      </c>
      <c r="F132" s="4" t="s">
        <v>77</v>
      </c>
      <c r="G132" s="4" t="s">
        <v>13</v>
      </c>
      <c r="H132" s="6">
        <v>3.5</v>
      </c>
      <c r="I132" s="7">
        <v>38000</v>
      </c>
      <c r="J132" s="7">
        <f t="shared" si="1"/>
        <v>133000</v>
      </c>
      <c r="K132" s="8" t="s">
        <v>12</v>
      </c>
    </row>
    <row r="133" spans="1:11" x14ac:dyDescent="0.25">
      <c r="A133" s="4" t="s">
        <v>108</v>
      </c>
      <c r="B133" s="5" t="s">
        <v>60</v>
      </c>
      <c r="C133" s="4" t="s">
        <v>61</v>
      </c>
      <c r="D133" s="5" t="s">
        <v>109</v>
      </c>
      <c r="E133" s="4" t="s">
        <v>14</v>
      </c>
      <c r="F133" s="4" t="s">
        <v>15</v>
      </c>
      <c r="G133" s="4" t="s">
        <v>13</v>
      </c>
      <c r="H133" s="6">
        <v>0.7</v>
      </c>
      <c r="I133" s="7">
        <v>50000</v>
      </c>
      <c r="J133" s="7">
        <f t="shared" si="1"/>
        <v>35000</v>
      </c>
      <c r="K133" s="8" t="s">
        <v>12</v>
      </c>
    </row>
    <row r="134" spans="1:11" x14ac:dyDescent="0.25">
      <c r="A134" s="4" t="s">
        <v>110</v>
      </c>
      <c r="B134" s="5" t="s">
        <v>60</v>
      </c>
      <c r="C134" s="4" t="s">
        <v>61</v>
      </c>
      <c r="D134" s="5" t="s">
        <v>111</v>
      </c>
      <c r="E134" s="4" t="s">
        <v>34</v>
      </c>
      <c r="F134" s="4" t="s">
        <v>35</v>
      </c>
      <c r="G134" s="4" t="s">
        <v>13</v>
      </c>
      <c r="H134" s="6">
        <v>0.9</v>
      </c>
      <c r="I134" s="7">
        <v>30000</v>
      </c>
      <c r="J134" s="7">
        <f t="shared" si="1"/>
        <v>27000</v>
      </c>
      <c r="K134" s="8" t="s">
        <v>12</v>
      </c>
    </row>
    <row r="135" spans="1:11" x14ac:dyDescent="0.25">
      <c r="A135" s="4" t="s">
        <v>110</v>
      </c>
      <c r="B135" s="5" t="s">
        <v>60</v>
      </c>
      <c r="C135" s="4" t="s">
        <v>61</v>
      </c>
      <c r="D135" s="5" t="s">
        <v>111</v>
      </c>
      <c r="E135" s="4" t="s">
        <v>64</v>
      </c>
      <c r="F135" s="4" t="s">
        <v>65</v>
      </c>
      <c r="G135" s="4" t="s">
        <v>13</v>
      </c>
      <c r="H135" s="6">
        <v>0.5</v>
      </c>
      <c r="I135" s="7">
        <v>50000</v>
      </c>
      <c r="J135" s="7">
        <f t="shared" si="1"/>
        <v>25000</v>
      </c>
      <c r="K135" s="8" t="s">
        <v>12</v>
      </c>
    </row>
    <row r="136" spans="1:11" x14ac:dyDescent="0.25">
      <c r="A136" s="4" t="s">
        <v>110</v>
      </c>
      <c r="B136" s="5" t="s">
        <v>60</v>
      </c>
      <c r="C136" s="4" t="s">
        <v>61</v>
      </c>
      <c r="D136" s="5" t="s">
        <v>111</v>
      </c>
      <c r="E136" s="4" t="s">
        <v>66</v>
      </c>
      <c r="F136" s="4" t="s">
        <v>67</v>
      </c>
      <c r="G136" s="4" t="s">
        <v>13</v>
      </c>
      <c r="H136" s="6">
        <v>6.5</v>
      </c>
      <c r="I136" s="7">
        <v>18000</v>
      </c>
      <c r="J136" s="7">
        <f t="shared" si="1"/>
        <v>117000</v>
      </c>
      <c r="K136" s="8" t="s">
        <v>12</v>
      </c>
    </row>
    <row r="137" spans="1:11" x14ac:dyDescent="0.25">
      <c r="A137" s="4" t="s">
        <v>110</v>
      </c>
      <c r="B137" s="5" t="s">
        <v>60</v>
      </c>
      <c r="C137" s="4" t="s">
        <v>61</v>
      </c>
      <c r="D137" s="5" t="s">
        <v>111</v>
      </c>
      <c r="E137" s="4" t="s">
        <v>54</v>
      </c>
      <c r="F137" s="4" t="s">
        <v>55</v>
      </c>
      <c r="G137" s="4" t="s">
        <v>13</v>
      </c>
      <c r="H137" s="6">
        <v>0.3</v>
      </c>
      <c r="I137" s="7">
        <v>75000</v>
      </c>
      <c r="J137" s="7">
        <f t="shared" si="1"/>
        <v>22500</v>
      </c>
      <c r="K137" s="8" t="s">
        <v>12</v>
      </c>
    </row>
    <row r="138" spans="1:11" x14ac:dyDescent="0.25">
      <c r="A138" s="4" t="s">
        <v>110</v>
      </c>
      <c r="B138" s="5" t="s">
        <v>60</v>
      </c>
      <c r="C138" s="4" t="s">
        <v>61</v>
      </c>
      <c r="D138" s="5" t="s">
        <v>111</v>
      </c>
      <c r="E138" s="4" t="s">
        <v>25</v>
      </c>
      <c r="F138" s="4" t="s">
        <v>26</v>
      </c>
      <c r="G138" s="4" t="s">
        <v>13</v>
      </c>
      <c r="H138" s="6">
        <v>0.6</v>
      </c>
      <c r="I138" s="7">
        <v>22000</v>
      </c>
      <c r="J138" s="7">
        <f t="shared" si="1"/>
        <v>13200</v>
      </c>
      <c r="K138" s="8" t="s">
        <v>12</v>
      </c>
    </row>
    <row r="139" spans="1:11" x14ac:dyDescent="0.25">
      <c r="A139" s="4" t="s">
        <v>110</v>
      </c>
      <c r="B139" s="5" t="s">
        <v>60</v>
      </c>
      <c r="C139" s="4" t="s">
        <v>61</v>
      </c>
      <c r="D139" s="5" t="s">
        <v>111</v>
      </c>
      <c r="E139" s="4" t="s">
        <v>18</v>
      </c>
      <c r="F139" s="4" t="s">
        <v>19</v>
      </c>
      <c r="G139" s="4" t="s">
        <v>13</v>
      </c>
      <c r="H139" s="6">
        <v>0.6</v>
      </c>
      <c r="I139" s="7">
        <v>55000</v>
      </c>
      <c r="J139" s="7">
        <f t="shared" si="1"/>
        <v>33000</v>
      </c>
      <c r="K139" s="8" t="s">
        <v>12</v>
      </c>
    </row>
    <row r="140" spans="1:11" x14ac:dyDescent="0.25">
      <c r="A140" s="4" t="s">
        <v>110</v>
      </c>
      <c r="B140" s="5" t="s">
        <v>60</v>
      </c>
      <c r="C140" s="4" t="s">
        <v>61</v>
      </c>
      <c r="D140" s="5" t="s">
        <v>111</v>
      </c>
      <c r="E140" s="4" t="s">
        <v>80</v>
      </c>
      <c r="F140" s="4" t="s">
        <v>81</v>
      </c>
      <c r="G140" s="4" t="s">
        <v>82</v>
      </c>
      <c r="H140" s="6">
        <v>1</v>
      </c>
      <c r="I140" s="7">
        <v>80000</v>
      </c>
      <c r="J140" s="7">
        <f t="shared" si="1"/>
        <v>80000</v>
      </c>
      <c r="K140" s="8" t="s">
        <v>12</v>
      </c>
    </row>
    <row r="141" spans="1:11" x14ac:dyDescent="0.25">
      <c r="A141" s="4" t="s">
        <v>110</v>
      </c>
      <c r="B141" s="5" t="s">
        <v>60</v>
      </c>
      <c r="C141" s="4" t="s">
        <v>61</v>
      </c>
      <c r="D141" s="5" t="s">
        <v>111</v>
      </c>
      <c r="E141" s="4" t="s">
        <v>70</v>
      </c>
      <c r="F141" s="4" t="s">
        <v>71</v>
      </c>
      <c r="G141" s="4" t="s">
        <v>13</v>
      </c>
      <c r="H141" s="6">
        <v>1.3</v>
      </c>
      <c r="I141" s="7">
        <v>30000</v>
      </c>
      <c r="J141" s="7">
        <f t="shared" si="1"/>
        <v>39000</v>
      </c>
      <c r="K141" s="8" t="s">
        <v>12</v>
      </c>
    </row>
    <row r="142" spans="1:11" x14ac:dyDescent="0.25">
      <c r="A142" s="4" t="s">
        <v>110</v>
      </c>
      <c r="B142" s="5" t="s">
        <v>60</v>
      </c>
      <c r="C142" s="4" t="s">
        <v>61</v>
      </c>
      <c r="D142" s="5" t="s">
        <v>111</v>
      </c>
      <c r="E142" s="4" t="s">
        <v>74</v>
      </c>
      <c r="F142" s="4" t="s">
        <v>75</v>
      </c>
      <c r="G142" s="4" t="s">
        <v>13</v>
      </c>
      <c r="H142" s="6">
        <v>1</v>
      </c>
      <c r="I142" s="7">
        <v>22000</v>
      </c>
      <c r="J142" s="7">
        <f t="shared" si="1"/>
        <v>22000</v>
      </c>
      <c r="K142" s="8" t="s">
        <v>12</v>
      </c>
    </row>
    <row r="143" spans="1:11" x14ac:dyDescent="0.25">
      <c r="A143" s="4" t="s">
        <v>110</v>
      </c>
      <c r="B143" s="5" t="s">
        <v>60</v>
      </c>
      <c r="C143" s="4" t="s">
        <v>61</v>
      </c>
      <c r="D143" s="5" t="s">
        <v>111</v>
      </c>
      <c r="E143" s="4" t="s">
        <v>38</v>
      </c>
      <c r="F143" s="4" t="s">
        <v>39</v>
      </c>
      <c r="G143" s="4" t="s">
        <v>13</v>
      </c>
      <c r="H143" s="6">
        <v>3</v>
      </c>
      <c r="I143" s="7">
        <v>47000</v>
      </c>
      <c r="J143" s="7">
        <f t="shared" si="1"/>
        <v>141000</v>
      </c>
      <c r="K143" s="8" t="s">
        <v>12</v>
      </c>
    </row>
    <row r="144" spans="1:11" x14ac:dyDescent="0.25">
      <c r="A144" s="4" t="s">
        <v>110</v>
      </c>
      <c r="B144" s="5" t="s">
        <v>60</v>
      </c>
      <c r="C144" s="4" t="s">
        <v>61</v>
      </c>
      <c r="D144" s="5" t="s">
        <v>111</v>
      </c>
      <c r="E144" s="4" t="s">
        <v>42</v>
      </c>
      <c r="F144" s="4" t="s">
        <v>43</v>
      </c>
      <c r="G144" s="4" t="s">
        <v>13</v>
      </c>
      <c r="H144" s="6">
        <v>4</v>
      </c>
      <c r="I144" s="7">
        <v>45000</v>
      </c>
      <c r="J144" s="7">
        <f t="shared" ref="J144:J207" si="2">H144*I144</f>
        <v>180000</v>
      </c>
      <c r="K144" s="8" t="s">
        <v>12</v>
      </c>
    </row>
    <row r="145" spans="1:11" ht="28.5" x14ac:dyDescent="0.25">
      <c r="A145" s="4" t="s">
        <v>110</v>
      </c>
      <c r="B145" s="5" t="s">
        <v>60</v>
      </c>
      <c r="C145" s="4" t="s">
        <v>61</v>
      </c>
      <c r="D145" s="5" t="s">
        <v>111</v>
      </c>
      <c r="E145" s="4" t="s">
        <v>44</v>
      </c>
      <c r="F145" s="4" t="s">
        <v>45</v>
      </c>
      <c r="G145" s="4" t="s">
        <v>13</v>
      </c>
      <c r="H145" s="6">
        <v>4</v>
      </c>
      <c r="I145" s="7">
        <v>95000</v>
      </c>
      <c r="J145" s="7">
        <f t="shared" si="2"/>
        <v>380000</v>
      </c>
      <c r="K145" s="8" t="s">
        <v>12</v>
      </c>
    </row>
    <row r="146" spans="1:11" x14ac:dyDescent="0.25">
      <c r="A146" s="4" t="s">
        <v>110</v>
      </c>
      <c r="B146" s="5" t="s">
        <v>60</v>
      </c>
      <c r="C146" s="4" t="s">
        <v>61</v>
      </c>
      <c r="D146" s="5" t="s">
        <v>111</v>
      </c>
      <c r="E146" s="4" t="s">
        <v>29</v>
      </c>
      <c r="F146" s="4" t="s">
        <v>30</v>
      </c>
      <c r="G146" s="4" t="s">
        <v>13</v>
      </c>
      <c r="H146" s="6">
        <v>0.5</v>
      </c>
      <c r="I146" s="7">
        <v>145000</v>
      </c>
      <c r="J146" s="7">
        <f t="shared" si="2"/>
        <v>72500</v>
      </c>
      <c r="K146" s="8" t="s">
        <v>12</v>
      </c>
    </row>
    <row r="147" spans="1:11" x14ac:dyDescent="0.25">
      <c r="A147" s="4" t="s">
        <v>110</v>
      </c>
      <c r="B147" s="5" t="s">
        <v>60</v>
      </c>
      <c r="C147" s="4" t="s">
        <v>61</v>
      </c>
      <c r="D147" s="5" t="s">
        <v>111</v>
      </c>
      <c r="E147" s="4" t="s">
        <v>27</v>
      </c>
      <c r="F147" s="4" t="s">
        <v>28</v>
      </c>
      <c r="G147" s="4" t="s">
        <v>13</v>
      </c>
      <c r="H147" s="6">
        <v>4.9000000000000004</v>
      </c>
      <c r="I147" s="7">
        <v>21000</v>
      </c>
      <c r="J147" s="7">
        <f t="shared" si="2"/>
        <v>102900.00000000001</v>
      </c>
      <c r="K147" s="8" t="s">
        <v>12</v>
      </c>
    </row>
    <row r="148" spans="1:11" x14ac:dyDescent="0.25">
      <c r="A148" s="4" t="s">
        <v>110</v>
      </c>
      <c r="B148" s="5" t="s">
        <v>60</v>
      </c>
      <c r="C148" s="4" t="s">
        <v>61</v>
      </c>
      <c r="D148" s="5" t="s">
        <v>111</v>
      </c>
      <c r="E148" s="4" t="s">
        <v>76</v>
      </c>
      <c r="F148" s="4" t="s">
        <v>77</v>
      </c>
      <c r="G148" s="4" t="s">
        <v>13</v>
      </c>
      <c r="H148" s="6">
        <v>2</v>
      </c>
      <c r="I148" s="7">
        <v>38000</v>
      </c>
      <c r="J148" s="7">
        <f t="shared" si="2"/>
        <v>76000</v>
      </c>
      <c r="K148" s="8" t="s">
        <v>12</v>
      </c>
    </row>
    <row r="149" spans="1:11" x14ac:dyDescent="0.25">
      <c r="A149" s="4" t="s">
        <v>110</v>
      </c>
      <c r="B149" s="5" t="s">
        <v>60</v>
      </c>
      <c r="C149" s="4" t="s">
        <v>61</v>
      </c>
      <c r="D149" s="5" t="s">
        <v>111</v>
      </c>
      <c r="E149" s="4" t="s">
        <v>48</v>
      </c>
      <c r="F149" s="4" t="s">
        <v>49</v>
      </c>
      <c r="G149" s="4" t="s">
        <v>13</v>
      </c>
      <c r="H149" s="6">
        <v>5</v>
      </c>
      <c r="I149" s="7">
        <v>62000</v>
      </c>
      <c r="J149" s="7">
        <f t="shared" si="2"/>
        <v>310000</v>
      </c>
      <c r="K149" s="8" t="s">
        <v>12</v>
      </c>
    </row>
    <row r="150" spans="1:11" x14ac:dyDescent="0.25">
      <c r="A150" s="4" t="s">
        <v>112</v>
      </c>
      <c r="B150" s="5" t="s">
        <v>60</v>
      </c>
      <c r="C150" s="4" t="s">
        <v>61</v>
      </c>
      <c r="D150" s="5" t="s">
        <v>113</v>
      </c>
      <c r="E150" s="4" t="s">
        <v>62</v>
      </c>
      <c r="F150" s="4" t="s">
        <v>63</v>
      </c>
      <c r="G150" s="4" t="s">
        <v>13</v>
      </c>
      <c r="H150" s="6">
        <v>2.1</v>
      </c>
      <c r="I150" s="7">
        <v>45000</v>
      </c>
      <c r="J150" s="7">
        <f t="shared" si="2"/>
        <v>94500</v>
      </c>
      <c r="K150" s="8" t="s">
        <v>12</v>
      </c>
    </row>
    <row r="151" spans="1:11" x14ac:dyDescent="0.25">
      <c r="A151" s="4" t="s">
        <v>112</v>
      </c>
      <c r="B151" s="5" t="s">
        <v>60</v>
      </c>
      <c r="C151" s="4" t="s">
        <v>61</v>
      </c>
      <c r="D151" s="5" t="s">
        <v>113</v>
      </c>
      <c r="E151" s="4" t="s">
        <v>66</v>
      </c>
      <c r="F151" s="4" t="s">
        <v>67</v>
      </c>
      <c r="G151" s="4" t="s">
        <v>13</v>
      </c>
      <c r="H151" s="6">
        <v>4.7</v>
      </c>
      <c r="I151" s="7">
        <v>18000</v>
      </c>
      <c r="J151" s="7">
        <f t="shared" si="2"/>
        <v>84600</v>
      </c>
      <c r="K151" s="8" t="s">
        <v>12</v>
      </c>
    </row>
    <row r="152" spans="1:11" x14ac:dyDescent="0.25">
      <c r="A152" s="4" t="s">
        <v>112</v>
      </c>
      <c r="B152" s="5" t="s">
        <v>60</v>
      </c>
      <c r="C152" s="4" t="s">
        <v>61</v>
      </c>
      <c r="D152" s="5" t="s">
        <v>113</v>
      </c>
      <c r="E152" s="4" t="s">
        <v>54</v>
      </c>
      <c r="F152" s="4" t="s">
        <v>55</v>
      </c>
      <c r="G152" s="4" t="s">
        <v>13</v>
      </c>
      <c r="H152" s="6">
        <v>0.23</v>
      </c>
      <c r="I152" s="7">
        <v>75000</v>
      </c>
      <c r="J152" s="7">
        <f t="shared" si="2"/>
        <v>17250</v>
      </c>
      <c r="K152" s="8" t="s">
        <v>12</v>
      </c>
    </row>
    <row r="153" spans="1:11" x14ac:dyDescent="0.25">
      <c r="A153" s="4" t="s">
        <v>112</v>
      </c>
      <c r="B153" s="5" t="s">
        <v>60</v>
      </c>
      <c r="C153" s="4" t="s">
        <v>61</v>
      </c>
      <c r="D153" s="5" t="s">
        <v>113</v>
      </c>
      <c r="E153" s="4" t="s">
        <v>18</v>
      </c>
      <c r="F153" s="4" t="s">
        <v>19</v>
      </c>
      <c r="G153" s="4" t="s">
        <v>13</v>
      </c>
      <c r="H153" s="6">
        <v>1</v>
      </c>
      <c r="I153" s="7">
        <v>55000</v>
      </c>
      <c r="J153" s="7">
        <f t="shared" si="2"/>
        <v>55000</v>
      </c>
      <c r="K153" s="8" t="s">
        <v>12</v>
      </c>
    </row>
    <row r="154" spans="1:11" x14ac:dyDescent="0.25">
      <c r="A154" s="4" t="s">
        <v>112</v>
      </c>
      <c r="B154" s="5" t="s">
        <v>60</v>
      </c>
      <c r="C154" s="4" t="s">
        <v>61</v>
      </c>
      <c r="D154" s="5" t="s">
        <v>113</v>
      </c>
      <c r="E154" s="4" t="s">
        <v>80</v>
      </c>
      <c r="F154" s="4" t="s">
        <v>81</v>
      </c>
      <c r="G154" s="4" t="s">
        <v>82</v>
      </c>
      <c r="H154" s="6">
        <v>1</v>
      </c>
      <c r="I154" s="7">
        <v>80000</v>
      </c>
      <c r="J154" s="7">
        <f t="shared" si="2"/>
        <v>80000</v>
      </c>
      <c r="K154" s="8" t="s">
        <v>12</v>
      </c>
    </row>
    <row r="155" spans="1:11" x14ac:dyDescent="0.25">
      <c r="A155" s="4" t="s">
        <v>112</v>
      </c>
      <c r="B155" s="5" t="s">
        <v>60</v>
      </c>
      <c r="C155" s="4" t="s">
        <v>61</v>
      </c>
      <c r="D155" s="5" t="s">
        <v>113</v>
      </c>
      <c r="E155" s="4" t="s">
        <v>52</v>
      </c>
      <c r="F155" s="4" t="s">
        <v>53</v>
      </c>
      <c r="G155" s="4" t="s">
        <v>13</v>
      </c>
      <c r="H155" s="6">
        <v>0.1</v>
      </c>
      <c r="I155" s="7">
        <v>65000</v>
      </c>
      <c r="J155" s="7">
        <f t="shared" si="2"/>
        <v>6500</v>
      </c>
      <c r="K155" s="8" t="s">
        <v>12</v>
      </c>
    </row>
    <row r="156" spans="1:11" x14ac:dyDescent="0.25">
      <c r="A156" s="4" t="s">
        <v>112</v>
      </c>
      <c r="B156" s="5" t="s">
        <v>60</v>
      </c>
      <c r="C156" s="4" t="s">
        <v>61</v>
      </c>
      <c r="D156" s="5" t="s">
        <v>113</v>
      </c>
      <c r="E156" s="4" t="s">
        <v>72</v>
      </c>
      <c r="F156" s="4" t="s">
        <v>73</v>
      </c>
      <c r="G156" s="4" t="s">
        <v>13</v>
      </c>
      <c r="H156" s="6">
        <v>0.9</v>
      </c>
      <c r="I156" s="7">
        <v>18000</v>
      </c>
      <c r="J156" s="7">
        <f t="shared" si="2"/>
        <v>16200</v>
      </c>
      <c r="K156" s="8" t="s">
        <v>12</v>
      </c>
    </row>
    <row r="157" spans="1:11" x14ac:dyDescent="0.25">
      <c r="A157" s="4" t="s">
        <v>112</v>
      </c>
      <c r="B157" s="5" t="s">
        <v>60</v>
      </c>
      <c r="C157" s="4" t="s">
        <v>61</v>
      </c>
      <c r="D157" s="5" t="s">
        <v>113</v>
      </c>
      <c r="E157" s="4" t="s">
        <v>74</v>
      </c>
      <c r="F157" s="4" t="s">
        <v>75</v>
      </c>
      <c r="G157" s="4" t="s">
        <v>13</v>
      </c>
      <c r="H157" s="6">
        <v>3.5</v>
      </c>
      <c r="I157" s="7">
        <v>22000</v>
      </c>
      <c r="J157" s="7">
        <f t="shared" si="2"/>
        <v>77000</v>
      </c>
      <c r="K157" s="8" t="s">
        <v>12</v>
      </c>
    </row>
    <row r="158" spans="1:11" x14ac:dyDescent="0.25">
      <c r="A158" s="4" t="s">
        <v>112</v>
      </c>
      <c r="B158" s="5" t="s">
        <v>60</v>
      </c>
      <c r="C158" s="4" t="s">
        <v>61</v>
      </c>
      <c r="D158" s="5" t="s">
        <v>113</v>
      </c>
      <c r="E158" s="4" t="s">
        <v>38</v>
      </c>
      <c r="F158" s="4" t="s">
        <v>39</v>
      </c>
      <c r="G158" s="4" t="s">
        <v>13</v>
      </c>
      <c r="H158" s="6">
        <v>2</v>
      </c>
      <c r="I158" s="7">
        <v>47000</v>
      </c>
      <c r="J158" s="7">
        <f t="shared" si="2"/>
        <v>94000</v>
      </c>
      <c r="K158" s="8" t="s">
        <v>12</v>
      </c>
    </row>
    <row r="159" spans="1:11" x14ac:dyDescent="0.25">
      <c r="A159" s="4" t="s">
        <v>112</v>
      </c>
      <c r="B159" s="5" t="s">
        <v>60</v>
      </c>
      <c r="C159" s="4" t="s">
        <v>61</v>
      </c>
      <c r="D159" s="5" t="s">
        <v>113</v>
      </c>
      <c r="E159" s="4" t="s">
        <v>42</v>
      </c>
      <c r="F159" s="4" t="s">
        <v>43</v>
      </c>
      <c r="G159" s="4" t="s">
        <v>13</v>
      </c>
      <c r="H159" s="6">
        <v>2</v>
      </c>
      <c r="I159" s="7">
        <v>45000</v>
      </c>
      <c r="J159" s="7">
        <f t="shared" si="2"/>
        <v>90000</v>
      </c>
      <c r="K159" s="8" t="s">
        <v>12</v>
      </c>
    </row>
    <row r="160" spans="1:11" ht="28.5" x14ac:dyDescent="0.25">
      <c r="A160" s="4" t="s">
        <v>112</v>
      </c>
      <c r="B160" s="5" t="s">
        <v>60</v>
      </c>
      <c r="C160" s="4" t="s">
        <v>61</v>
      </c>
      <c r="D160" s="5" t="s">
        <v>113</v>
      </c>
      <c r="E160" s="4" t="s">
        <v>44</v>
      </c>
      <c r="F160" s="4" t="s">
        <v>45</v>
      </c>
      <c r="G160" s="4" t="s">
        <v>13</v>
      </c>
      <c r="H160" s="6">
        <v>1</v>
      </c>
      <c r="I160" s="7">
        <v>95000</v>
      </c>
      <c r="J160" s="7">
        <f t="shared" si="2"/>
        <v>95000</v>
      </c>
      <c r="K160" s="8" t="s">
        <v>12</v>
      </c>
    </row>
    <row r="161" spans="1:11" x14ac:dyDescent="0.25">
      <c r="A161" s="4" t="s">
        <v>112</v>
      </c>
      <c r="B161" s="5" t="s">
        <v>60</v>
      </c>
      <c r="C161" s="4" t="s">
        <v>61</v>
      </c>
      <c r="D161" s="5" t="s">
        <v>113</v>
      </c>
      <c r="E161" s="4" t="s">
        <v>20</v>
      </c>
      <c r="F161" s="4" t="s">
        <v>21</v>
      </c>
      <c r="G161" s="4" t="s">
        <v>13</v>
      </c>
      <c r="H161" s="6">
        <v>1</v>
      </c>
      <c r="I161" s="7">
        <v>45000</v>
      </c>
      <c r="J161" s="7">
        <f t="shared" si="2"/>
        <v>45000</v>
      </c>
      <c r="K161" s="8" t="s">
        <v>12</v>
      </c>
    </row>
    <row r="162" spans="1:11" x14ac:dyDescent="0.25">
      <c r="A162" s="4" t="s">
        <v>112</v>
      </c>
      <c r="B162" s="5" t="s">
        <v>60</v>
      </c>
      <c r="C162" s="4" t="s">
        <v>61</v>
      </c>
      <c r="D162" s="5" t="s">
        <v>113</v>
      </c>
      <c r="E162" s="4" t="s">
        <v>29</v>
      </c>
      <c r="F162" s="4" t="s">
        <v>30</v>
      </c>
      <c r="G162" s="4" t="s">
        <v>13</v>
      </c>
      <c r="H162" s="6">
        <v>0.5</v>
      </c>
      <c r="I162" s="7">
        <v>145000</v>
      </c>
      <c r="J162" s="7">
        <f t="shared" si="2"/>
        <v>72500</v>
      </c>
      <c r="K162" s="8" t="s">
        <v>12</v>
      </c>
    </row>
    <row r="163" spans="1:11" x14ac:dyDescent="0.25">
      <c r="A163" s="4" t="s">
        <v>112</v>
      </c>
      <c r="B163" s="5" t="s">
        <v>60</v>
      </c>
      <c r="C163" s="4" t="s">
        <v>61</v>
      </c>
      <c r="D163" s="5" t="s">
        <v>113</v>
      </c>
      <c r="E163" s="4" t="s">
        <v>27</v>
      </c>
      <c r="F163" s="4" t="s">
        <v>28</v>
      </c>
      <c r="G163" s="4" t="s">
        <v>13</v>
      </c>
      <c r="H163" s="6">
        <v>5</v>
      </c>
      <c r="I163" s="7">
        <v>21000</v>
      </c>
      <c r="J163" s="7">
        <f t="shared" si="2"/>
        <v>105000</v>
      </c>
      <c r="K163" s="8" t="s">
        <v>12</v>
      </c>
    </row>
    <row r="164" spans="1:11" x14ac:dyDescent="0.25">
      <c r="A164" s="4" t="s">
        <v>112</v>
      </c>
      <c r="B164" s="5" t="s">
        <v>60</v>
      </c>
      <c r="C164" s="4" t="s">
        <v>61</v>
      </c>
      <c r="D164" s="5" t="s">
        <v>113</v>
      </c>
      <c r="E164" s="4" t="s">
        <v>76</v>
      </c>
      <c r="F164" s="4" t="s">
        <v>77</v>
      </c>
      <c r="G164" s="4" t="s">
        <v>13</v>
      </c>
      <c r="H164" s="6">
        <v>3</v>
      </c>
      <c r="I164" s="7">
        <v>38000</v>
      </c>
      <c r="J164" s="7">
        <f t="shared" si="2"/>
        <v>114000</v>
      </c>
      <c r="K164" s="8" t="s">
        <v>12</v>
      </c>
    </row>
    <row r="165" spans="1:11" x14ac:dyDescent="0.25">
      <c r="A165" s="4" t="s">
        <v>112</v>
      </c>
      <c r="B165" s="5" t="s">
        <v>60</v>
      </c>
      <c r="C165" s="4" t="s">
        <v>61</v>
      </c>
      <c r="D165" s="5" t="s">
        <v>113</v>
      </c>
      <c r="E165" s="4" t="s">
        <v>48</v>
      </c>
      <c r="F165" s="4" t="s">
        <v>49</v>
      </c>
      <c r="G165" s="4" t="s">
        <v>13</v>
      </c>
      <c r="H165" s="6">
        <v>5</v>
      </c>
      <c r="I165" s="7">
        <v>62000</v>
      </c>
      <c r="J165" s="7">
        <f t="shared" si="2"/>
        <v>310000</v>
      </c>
      <c r="K165" s="8" t="s">
        <v>12</v>
      </c>
    </row>
    <row r="166" spans="1:11" x14ac:dyDescent="0.25">
      <c r="A166" s="4" t="s">
        <v>114</v>
      </c>
      <c r="B166" s="5" t="s">
        <v>60</v>
      </c>
      <c r="C166" s="4" t="s">
        <v>61</v>
      </c>
      <c r="D166" s="5" t="s">
        <v>115</v>
      </c>
      <c r="E166" s="4" t="s">
        <v>31</v>
      </c>
      <c r="F166" s="4" t="s">
        <v>32</v>
      </c>
      <c r="G166" s="4" t="s">
        <v>33</v>
      </c>
      <c r="H166" s="6">
        <v>4</v>
      </c>
      <c r="I166" s="7">
        <v>8500</v>
      </c>
      <c r="J166" s="7">
        <f t="shared" si="2"/>
        <v>34000</v>
      </c>
      <c r="K166" s="8" t="s">
        <v>12</v>
      </c>
    </row>
    <row r="167" spans="1:11" x14ac:dyDescent="0.25">
      <c r="A167" s="4" t="s">
        <v>114</v>
      </c>
      <c r="B167" s="5" t="s">
        <v>60</v>
      </c>
      <c r="C167" s="4" t="s">
        <v>61</v>
      </c>
      <c r="D167" s="5" t="s">
        <v>115</v>
      </c>
      <c r="E167" s="4" t="s">
        <v>62</v>
      </c>
      <c r="F167" s="4" t="s">
        <v>63</v>
      </c>
      <c r="G167" s="4" t="s">
        <v>13</v>
      </c>
      <c r="H167" s="6">
        <v>2</v>
      </c>
      <c r="I167" s="7">
        <v>45000</v>
      </c>
      <c r="J167" s="7">
        <f t="shared" si="2"/>
        <v>90000</v>
      </c>
      <c r="K167" s="8" t="s">
        <v>12</v>
      </c>
    </row>
    <row r="168" spans="1:11" x14ac:dyDescent="0.25">
      <c r="A168" s="4" t="s">
        <v>114</v>
      </c>
      <c r="B168" s="5" t="s">
        <v>60</v>
      </c>
      <c r="C168" s="4" t="s">
        <v>61</v>
      </c>
      <c r="D168" s="5" t="s">
        <v>115</v>
      </c>
      <c r="E168" s="4" t="s">
        <v>66</v>
      </c>
      <c r="F168" s="4" t="s">
        <v>67</v>
      </c>
      <c r="G168" s="4" t="s">
        <v>13</v>
      </c>
      <c r="H168" s="6">
        <v>5</v>
      </c>
      <c r="I168" s="7">
        <v>18000</v>
      </c>
      <c r="J168" s="7">
        <f t="shared" si="2"/>
        <v>90000</v>
      </c>
      <c r="K168" s="8" t="s">
        <v>12</v>
      </c>
    </row>
    <row r="169" spans="1:11" x14ac:dyDescent="0.25">
      <c r="A169" s="4" t="s">
        <v>114</v>
      </c>
      <c r="B169" s="5" t="s">
        <v>60</v>
      </c>
      <c r="C169" s="4" t="s">
        <v>61</v>
      </c>
      <c r="D169" s="5" t="s">
        <v>115</v>
      </c>
      <c r="E169" s="4" t="s">
        <v>54</v>
      </c>
      <c r="F169" s="4" t="s">
        <v>55</v>
      </c>
      <c r="G169" s="4" t="s">
        <v>13</v>
      </c>
      <c r="H169" s="6">
        <v>0.5</v>
      </c>
      <c r="I169" s="7">
        <v>75000</v>
      </c>
      <c r="J169" s="7">
        <f t="shared" si="2"/>
        <v>37500</v>
      </c>
      <c r="K169" s="8" t="s">
        <v>12</v>
      </c>
    </row>
    <row r="170" spans="1:11" x14ac:dyDescent="0.25">
      <c r="A170" s="4" t="s">
        <v>114</v>
      </c>
      <c r="B170" s="5" t="s">
        <v>60</v>
      </c>
      <c r="C170" s="4" t="s">
        <v>61</v>
      </c>
      <c r="D170" s="5" t="s">
        <v>115</v>
      </c>
      <c r="E170" s="4" t="s">
        <v>56</v>
      </c>
      <c r="F170" s="4" t="s">
        <v>57</v>
      </c>
      <c r="G170" s="4" t="s">
        <v>13</v>
      </c>
      <c r="H170" s="6">
        <v>0.5</v>
      </c>
      <c r="I170" s="7">
        <v>34000</v>
      </c>
      <c r="J170" s="7">
        <f t="shared" si="2"/>
        <v>17000</v>
      </c>
      <c r="K170" s="8" t="s">
        <v>12</v>
      </c>
    </row>
    <row r="171" spans="1:11" x14ac:dyDescent="0.25">
      <c r="A171" s="4" t="s">
        <v>114</v>
      </c>
      <c r="B171" s="5" t="s">
        <v>60</v>
      </c>
      <c r="C171" s="4" t="s">
        <v>61</v>
      </c>
      <c r="D171" s="5" t="s">
        <v>115</v>
      </c>
      <c r="E171" s="4" t="s">
        <v>68</v>
      </c>
      <c r="F171" s="4" t="s">
        <v>69</v>
      </c>
      <c r="G171" s="4" t="s">
        <v>13</v>
      </c>
      <c r="H171" s="6">
        <v>1</v>
      </c>
      <c r="I171" s="7">
        <v>13000</v>
      </c>
      <c r="J171" s="7">
        <f t="shared" si="2"/>
        <v>13000</v>
      </c>
      <c r="K171" s="8" t="s">
        <v>12</v>
      </c>
    </row>
    <row r="172" spans="1:11" x14ac:dyDescent="0.25">
      <c r="A172" s="4" t="s">
        <v>114</v>
      </c>
      <c r="B172" s="5" t="s">
        <v>60</v>
      </c>
      <c r="C172" s="4" t="s">
        <v>61</v>
      </c>
      <c r="D172" s="5" t="s">
        <v>115</v>
      </c>
      <c r="E172" s="4" t="s">
        <v>16</v>
      </c>
      <c r="F172" s="4" t="s">
        <v>17</v>
      </c>
      <c r="G172" s="4" t="s">
        <v>13</v>
      </c>
      <c r="H172" s="6">
        <v>1</v>
      </c>
      <c r="I172" s="7">
        <v>47000</v>
      </c>
      <c r="J172" s="7">
        <f t="shared" si="2"/>
        <v>47000</v>
      </c>
      <c r="K172" s="8" t="s">
        <v>12</v>
      </c>
    </row>
    <row r="173" spans="1:11" x14ac:dyDescent="0.25">
      <c r="A173" s="4" t="s">
        <v>114</v>
      </c>
      <c r="B173" s="5" t="s">
        <v>60</v>
      </c>
      <c r="C173" s="4" t="s">
        <v>61</v>
      </c>
      <c r="D173" s="5" t="s">
        <v>115</v>
      </c>
      <c r="E173" s="4" t="s">
        <v>18</v>
      </c>
      <c r="F173" s="4" t="s">
        <v>19</v>
      </c>
      <c r="G173" s="4" t="s">
        <v>13</v>
      </c>
      <c r="H173" s="6">
        <v>1.5</v>
      </c>
      <c r="I173" s="7">
        <v>55000</v>
      </c>
      <c r="J173" s="7">
        <f t="shared" si="2"/>
        <v>82500</v>
      </c>
      <c r="K173" s="8" t="s">
        <v>12</v>
      </c>
    </row>
    <row r="174" spans="1:11" x14ac:dyDescent="0.25">
      <c r="A174" s="4" t="s">
        <v>114</v>
      </c>
      <c r="B174" s="5" t="s">
        <v>60</v>
      </c>
      <c r="C174" s="4" t="s">
        <v>61</v>
      </c>
      <c r="D174" s="5" t="s">
        <v>115</v>
      </c>
      <c r="E174" s="4" t="s">
        <v>80</v>
      </c>
      <c r="F174" s="4" t="s">
        <v>81</v>
      </c>
      <c r="G174" s="4" t="s">
        <v>82</v>
      </c>
      <c r="H174" s="6">
        <v>1</v>
      </c>
      <c r="I174" s="7">
        <v>80000</v>
      </c>
      <c r="J174" s="7">
        <f t="shared" si="2"/>
        <v>80000</v>
      </c>
      <c r="K174" s="8" t="s">
        <v>12</v>
      </c>
    </row>
    <row r="175" spans="1:11" x14ac:dyDescent="0.25">
      <c r="A175" s="4" t="s">
        <v>114</v>
      </c>
      <c r="B175" s="5" t="s">
        <v>60</v>
      </c>
      <c r="C175" s="4" t="s">
        <v>61</v>
      </c>
      <c r="D175" s="5" t="s">
        <v>115</v>
      </c>
      <c r="E175" s="4" t="s">
        <v>52</v>
      </c>
      <c r="F175" s="4" t="s">
        <v>53</v>
      </c>
      <c r="G175" s="4" t="s">
        <v>13</v>
      </c>
      <c r="H175" s="6">
        <v>0.2</v>
      </c>
      <c r="I175" s="7">
        <v>65000</v>
      </c>
      <c r="J175" s="7">
        <f t="shared" si="2"/>
        <v>13000</v>
      </c>
      <c r="K175" s="8" t="s">
        <v>12</v>
      </c>
    </row>
    <row r="176" spans="1:11" x14ac:dyDescent="0.25">
      <c r="A176" s="4" t="s">
        <v>114</v>
      </c>
      <c r="B176" s="5" t="s">
        <v>60</v>
      </c>
      <c r="C176" s="4" t="s">
        <v>61</v>
      </c>
      <c r="D176" s="5" t="s">
        <v>115</v>
      </c>
      <c r="E176" s="4" t="s">
        <v>70</v>
      </c>
      <c r="F176" s="4" t="s">
        <v>71</v>
      </c>
      <c r="G176" s="4" t="s">
        <v>13</v>
      </c>
      <c r="H176" s="6">
        <v>1.9</v>
      </c>
      <c r="I176" s="7">
        <v>30000</v>
      </c>
      <c r="J176" s="7">
        <f t="shared" si="2"/>
        <v>57000</v>
      </c>
      <c r="K176" s="8" t="s">
        <v>12</v>
      </c>
    </row>
    <row r="177" spans="1:11" x14ac:dyDescent="0.25">
      <c r="A177" s="4" t="s">
        <v>114</v>
      </c>
      <c r="B177" s="5" t="s">
        <v>60</v>
      </c>
      <c r="C177" s="4" t="s">
        <v>61</v>
      </c>
      <c r="D177" s="5" t="s">
        <v>115</v>
      </c>
      <c r="E177" s="4" t="s">
        <v>72</v>
      </c>
      <c r="F177" s="4" t="s">
        <v>73</v>
      </c>
      <c r="G177" s="4" t="s">
        <v>13</v>
      </c>
      <c r="H177" s="6">
        <v>0.3</v>
      </c>
      <c r="I177" s="7">
        <v>18000</v>
      </c>
      <c r="J177" s="7">
        <f t="shared" si="2"/>
        <v>5400</v>
      </c>
      <c r="K177" s="8" t="s">
        <v>12</v>
      </c>
    </row>
    <row r="178" spans="1:11" x14ac:dyDescent="0.25">
      <c r="A178" s="4" t="s">
        <v>114</v>
      </c>
      <c r="B178" s="5" t="s">
        <v>60</v>
      </c>
      <c r="C178" s="4" t="s">
        <v>61</v>
      </c>
      <c r="D178" s="5" t="s">
        <v>115</v>
      </c>
      <c r="E178" s="4" t="s">
        <v>74</v>
      </c>
      <c r="F178" s="4" t="s">
        <v>75</v>
      </c>
      <c r="G178" s="4" t="s">
        <v>13</v>
      </c>
      <c r="H178" s="6">
        <v>4</v>
      </c>
      <c r="I178" s="7">
        <v>22000</v>
      </c>
      <c r="J178" s="7">
        <f t="shared" si="2"/>
        <v>88000</v>
      </c>
      <c r="K178" s="8" t="s">
        <v>12</v>
      </c>
    </row>
    <row r="179" spans="1:11" x14ac:dyDescent="0.25">
      <c r="A179" s="4" t="s">
        <v>114</v>
      </c>
      <c r="B179" s="5" t="s">
        <v>60</v>
      </c>
      <c r="C179" s="4" t="s">
        <v>61</v>
      </c>
      <c r="D179" s="5" t="s">
        <v>115</v>
      </c>
      <c r="E179" s="4" t="s">
        <v>36</v>
      </c>
      <c r="F179" s="4" t="s">
        <v>37</v>
      </c>
      <c r="G179" s="4" t="s">
        <v>13</v>
      </c>
      <c r="H179" s="6">
        <v>2</v>
      </c>
      <c r="I179" s="7">
        <v>145000</v>
      </c>
      <c r="J179" s="7">
        <f t="shared" si="2"/>
        <v>290000</v>
      </c>
      <c r="K179" s="8" t="s">
        <v>12</v>
      </c>
    </row>
    <row r="180" spans="1:11" x14ac:dyDescent="0.25">
      <c r="A180" s="4" t="s">
        <v>114</v>
      </c>
      <c r="B180" s="5" t="s">
        <v>60</v>
      </c>
      <c r="C180" s="4" t="s">
        <v>61</v>
      </c>
      <c r="D180" s="5" t="s">
        <v>115</v>
      </c>
      <c r="E180" s="4" t="s">
        <v>38</v>
      </c>
      <c r="F180" s="4" t="s">
        <v>39</v>
      </c>
      <c r="G180" s="4" t="s">
        <v>13</v>
      </c>
      <c r="H180" s="6">
        <v>3</v>
      </c>
      <c r="I180" s="7">
        <v>47000</v>
      </c>
      <c r="J180" s="7">
        <f t="shared" si="2"/>
        <v>141000</v>
      </c>
      <c r="K180" s="8" t="s">
        <v>12</v>
      </c>
    </row>
    <row r="181" spans="1:11" x14ac:dyDescent="0.25">
      <c r="A181" s="4" t="s">
        <v>114</v>
      </c>
      <c r="B181" s="5" t="s">
        <v>60</v>
      </c>
      <c r="C181" s="4" t="s">
        <v>61</v>
      </c>
      <c r="D181" s="5" t="s">
        <v>115</v>
      </c>
      <c r="E181" s="4" t="s">
        <v>42</v>
      </c>
      <c r="F181" s="4" t="s">
        <v>43</v>
      </c>
      <c r="G181" s="4" t="s">
        <v>13</v>
      </c>
      <c r="H181" s="6">
        <v>3.1</v>
      </c>
      <c r="I181" s="7">
        <v>45000</v>
      </c>
      <c r="J181" s="7">
        <f t="shared" si="2"/>
        <v>139500</v>
      </c>
      <c r="K181" s="8" t="s">
        <v>12</v>
      </c>
    </row>
    <row r="182" spans="1:11" ht="28.5" x14ac:dyDescent="0.25">
      <c r="A182" s="4" t="s">
        <v>114</v>
      </c>
      <c r="B182" s="5" t="s">
        <v>60</v>
      </c>
      <c r="C182" s="4" t="s">
        <v>61</v>
      </c>
      <c r="D182" s="5" t="s">
        <v>115</v>
      </c>
      <c r="E182" s="4" t="s">
        <v>44</v>
      </c>
      <c r="F182" s="4" t="s">
        <v>45</v>
      </c>
      <c r="G182" s="4" t="s">
        <v>13</v>
      </c>
      <c r="H182" s="6">
        <v>3</v>
      </c>
      <c r="I182" s="7">
        <v>95000</v>
      </c>
      <c r="J182" s="7">
        <f t="shared" si="2"/>
        <v>285000</v>
      </c>
      <c r="K182" s="8" t="s">
        <v>12</v>
      </c>
    </row>
    <row r="183" spans="1:11" x14ac:dyDescent="0.25">
      <c r="A183" s="4" t="s">
        <v>114</v>
      </c>
      <c r="B183" s="5" t="s">
        <v>60</v>
      </c>
      <c r="C183" s="4" t="s">
        <v>61</v>
      </c>
      <c r="D183" s="5" t="s">
        <v>115</v>
      </c>
      <c r="E183" s="4" t="s">
        <v>20</v>
      </c>
      <c r="F183" s="4" t="s">
        <v>21</v>
      </c>
      <c r="G183" s="4" t="s">
        <v>13</v>
      </c>
      <c r="H183" s="6">
        <v>1.5</v>
      </c>
      <c r="I183" s="7">
        <v>45000</v>
      </c>
      <c r="J183" s="7">
        <f t="shared" si="2"/>
        <v>67500</v>
      </c>
      <c r="K183" s="8" t="s">
        <v>12</v>
      </c>
    </row>
    <row r="184" spans="1:11" x14ac:dyDescent="0.25">
      <c r="A184" s="4" t="s">
        <v>114</v>
      </c>
      <c r="B184" s="5" t="s">
        <v>60</v>
      </c>
      <c r="C184" s="4" t="s">
        <v>61</v>
      </c>
      <c r="D184" s="5" t="s">
        <v>115</v>
      </c>
      <c r="E184" s="4" t="s">
        <v>29</v>
      </c>
      <c r="F184" s="4" t="s">
        <v>30</v>
      </c>
      <c r="G184" s="4" t="s">
        <v>13</v>
      </c>
      <c r="H184" s="6">
        <v>1.5</v>
      </c>
      <c r="I184" s="7">
        <v>145000</v>
      </c>
      <c r="J184" s="7">
        <f t="shared" si="2"/>
        <v>217500</v>
      </c>
      <c r="K184" s="8" t="s">
        <v>12</v>
      </c>
    </row>
    <row r="185" spans="1:11" x14ac:dyDescent="0.25">
      <c r="A185" s="4" t="s">
        <v>114</v>
      </c>
      <c r="B185" s="5" t="s">
        <v>60</v>
      </c>
      <c r="C185" s="4" t="s">
        <v>61</v>
      </c>
      <c r="D185" s="5" t="s">
        <v>115</v>
      </c>
      <c r="E185" s="4" t="s">
        <v>27</v>
      </c>
      <c r="F185" s="4" t="s">
        <v>28</v>
      </c>
      <c r="G185" s="4" t="s">
        <v>13</v>
      </c>
      <c r="H185" s="6">
        <v>7</v>
      </c>
      <c r="I185" s="7">
        <v>21000</v>
      </c>
      <c r="J185" s="7">
        <f t="shared" si="2"/>
        <v>147000</v>
      </c>
      <c r="K185" s="8" t="s">
        <v>12</v>
      </c>
    </row>
    <row r="186" spans="1:11" x14ac:dyDescent="0.25">
      <c r="A186" s="4" t="s">
        <v>114</v>
      </c>
      <c r="B186" s="5" t="s">
        <v>60</v>
      </c>
      <c r="C186" s="4" t="s">
        <v>61</v>
      </c>
      <c r="D186" s="5" t="s">
        <v>115</v>
      </c>
      <c r="E186" s="4" t="s">
        <v>76</v>
      </c>
      <c r="F186" s="4" t="s">
        <v>77</v>
      </c>
      <c r="G186" s="4" t="s">
        <v>13</v>
      </c>
      <c r="H186" s="6">
        <v>4</v>
      </c>
      <c r="I186" s="7">
        <v>38000</v>
      </c>
      <c r="J186" s="7">
        <f t="shared" si="2"/>
        <v>152000</v>
      </c>
      <c r="K186" s="8" t="s">
        <v>12</v>
      </c>
    </row>
    <row r="187" spans="1:11" x14ac:dyDescent="0.25">
      <c r="A187" s="4" t="s">
        <v>114</v>
      </c>
      <c r="B187" s="5" t="s">
        <v>60</v>
      </c>
      <c r="C187" s="4" t="s">
        <v>61</v>
      </c>
      <c r="D187" s="5" t="s">
        <v>115</v>
      </c>
      <c r="E187" s="4" t="s">
        <v>14</v>
      </c>
      <c r="F187" s="4" t="s">
        <v>15</v>
      </c>
      <c r="G187" s="4" t="s">
        <v>13</v>
      </c>
      <c r="H187" s="6">
        <v>2</v>
      </c>
      <c r="I187" s="7">
        <v>50000</v>
      </c>
      <c r="J187" s="7">
        <f t="shared" si="2"/>
        <v>100000</v>
      </c>
      <c r="K187" s="8" t="s">
        <v>12</v>
      </c>
    </row>
    <row r="188" spans="1:11" x14ac:dyDescent="0.25">
      <c r="A188" s="4" t="s">
        <v>114</v>
      </c>
      <c r="B188" s="5" t="s">
        <v>60</v>
      </c>
      <c r="C188" s="4" t="s">
        <v>61</v>
      </c>
      <c r="D188" s="5" t="s">
        <v>115</v>
      </c>
      <c r="E188" s="4" t="s">
        <v>48</v>
      </c>
      <c r="F188" s="4" t="s">
        <v>49</v>
      </c>
      <c r="G188" s="4" t="s">
        <v>13</v>
      </c>
      <c r="H188" s="6">
        <v>4.5</v>
      </c>
      <c r="I188" s="7">
        <v>62000</v>
      </c>
      <c r="J188" s="7">
        <f t="shared" si="2"/>
        <v>279000</v>
      </c>
      <c r="K188" s="8" t="s">
        <v>12</v>
      </c>
    </row>
    <row r="189" spans="1:11" x14ac:dyDescent="0.25">
      <c r="A189" s="4" t="s">
        <v>116</v>
      </c>
      <c r="B189" s="5" t="s">
        <v>60</v>
      </c>
      <c r="C189" s="4" t="s">
        <v>61</v>
      </c>
      <c r="D189" s="5" t="s">
        <v>117</v>
      </c>
      <c r="E189" s="4" t="s">
        <v>62</v>
      </c>
      <c r="F189" s="4" t="s">
        <v>63</v>
      </c>
      <c r="G189" s="4" t="s">
        <v>13</v>
      </c>
      <c r="H189" s="6">
        <v>2.2000000000000002</v>
      </c>
      <c r="I189" s="7">
        <v>45000</v>
      </c>
      <c r="J189" s="7">
        <f t="shared" si="2"/>
        <v>99000.000000000015</v>
      </c>
      <c r="K189" s="8" t="s">
        <v>12</v>
      </c>
    </row>
    <row r="190" spans="1:11" x14ac:dyDescent="0.25">
      <c r="A190" s="4" t="s">
        <v>116</v>
      </c>
      <c r="B190" s="5" t="s">
        <v>60</v>
      </c>
      <c r="C190" s="4" t="s">
        <v>61</v>
      </c>
      <c r="D190" s="5" t="s">
        <v>117</v>
      </c>
      <c r="E190" s="4" t="s">
        <v>66</v>
      </c>
      <c r="F190" s="4" t="s">
        <v>67</v>
      </c>
      <c r="G190" s="4" t="s">
        <v>13</v>
      </c>
      <c r="H190" s="6">
        <v>4.5</v>
      </c>
      <c r="I190" s="7">
        <v>18000</v>
      </c>
      <c r="J190" s="7">
        <f t="shared" si="2"/>
        <v>81000</v>
      </c>
      <c r="K190" s="8" t="s">
        <v>12</v>
      </c>
    </row>
    <row r="191" spans="1:11" x14ac:dyDescent="0.25">
      <c r="A191" s="4" t="s">
        <v>116</v>
      </c>
      <c r="B191" s="5" t="s">
        <v>60</v>
      </c>
      <c r="C191" s="4" t="s">
        <v>61</v>
      </c>
      <c r="D191" s="5" t="s">
        <v>117</v>
      </c>
      <c r="E191" s="4" t="s">
        <v>16</v>
      </c>
      <c r="F191" s="4" t="s">
        <v>17</v>
      </c>
      <c r="G191" s="4" t="s">
        <v>13</v>
      </c>
      <c r="H191" s="6">
        <v>1</v>
      </c>
      <c r="I191" s="7">
        <v>47000</v>
      </c>
      <c r="J191" s="7">
        <f t="shared" si="2"/>
        <v>47000</v>
      </c>
      <c r="K191" s="8" t="s">
        <v>12</v>
      </c>
    </row>
    <row r="192" spans="1:11" x14ac:dyDescent="0.25">
      <c r="A192" s="4" t="s">
        <v>116</v>
      </c>
      <c r="B192" s="5" t="s">
        <v>60</v>
      </c>
      <c r="C192" s="4" t="s">
        <v>61</v>
      </c>
      <c r="D192" s="5" t="s">
        <v>117</v>
      </c>
      <c r="E192" s="4" t="s">
        <v>50</v>
      </c>
      <c r="F192" s="4" t="s">
        <v>51</v>
      </c>
      <c r="G192" s="4" t="s">
        <v>13</v>
      </c>
      <c r="H192" s="6">
        <v>15</v>
      </c>
      <c r="I192" s="7">
        <v>18000</v>
      </c>
      <c r="J192" s="7">
        <f t="shared" si="2"/>
        <v>270000</v>
      </c>
      <c r="K192" s="8" t="s">
        <v>12</v>
      </c>
    </row>
    <row r="193" spans="1:11" x14ac:dyDescent="0.25">
      <c r="A193" s="4" t="s">
        <v>116</v>
      </c>
      <c r="B193" s="5" t="s">
        <v>60</v>
      </c>
      <c r="C193" s="4" t="s">
        <v>61</v>
      </c>
      <c r="D193" s="5" t="s">
        <v>117</v>
      </c>
      <c r="E193" s="4" t="s">
        <v>18</v>
      </c>
      <c r="F193" s="4" t="s">
        <v>19</v>
      </c>
      <c r="G193" s="4" t="s">
        <v>13</v>
      </c>
      <c r="H193" s="6">
        <v>1</v>
      </c>
      <c r="I193" s="7">
        <v>55000</v>
      </c>
      <c r="J193" s="7">
        <f t="shared" si="2"/>
        <v>55000</v>
      </c>
      <c r="K193" s="8" t="s">
        <v>12</v>
      </c>
    </row>
    <row r="194" spans="1:11" x14ac:dyDescent="0.25">
      <c r="A194" s="4" t="s">
        <v>116</v>
      </c>
      <c r="B194" s="5" t="s">
        <v>60</v>
      </c>
      <c r="C194" s="4" t="s">
        <v>61</v>
      </c>
      <c r="D194" s="5" t="s">
        <v>117</v>
      </c>
      <c r="E194" s="4" t="s">
        <v>74</v>
      </c>
      <c r="F194" s="4" t="s">
        <v>75</v>
      </c>
      <c r="G194" s="4" t="s">
        <v>13</v>
      </c>
      <c r="H194" s="6">
        <v>4</v>
      </c>
      <c r="I194" s="7">
        <v>22000</v>
      </c>
      <c r="J194" s="7">
        <f t="shared" si="2"/>
        <v>88000</v>
      </c>
      <c r="K194" s="8" t="s">
        <v>12</v>
      </c>
    </row>
    <row r="195" spans="1:11" x14ac:dyDescent="0.25">
      <c r="A195" s="4" t="s">
        <v>116</v>
      </c>
      <c r="B195" s="5" t="s">
        <v>60</v>
      </c>
      <c r="C195" s="4" t="s">
        <v>61</v>
      </c>
      <c r="D195" s="5" t="s">
        <v>117</v>
      </c>
      <c r="E195" s="4" t="s">
        <v>42</v>
      </c>
      <c r="F195" s="4" t="s">
        <v>43</v>
      </c>
      <c r="G195" s="4" t="s">
        <v>13</v>
      </c>
      <c r="H195" s="6">
        <v>2</v>
      </c>
      <c r="I195" s="7">
        <v>45000</v>
      </c>
      <c r="J195" s="7">
        <f t="shared" si="2"/>
        <v>90000</v>
      </c>
      <c r="K195" s="8" t="s">
        <v>12</v>
      </c>
    </row>
    <row r="196" spans="1:11" ht="28.5" x14ac:dyDescent="0.25">
      <c r="A196" s="4" t="s">
        <v>116</v>
      </c>
      <c r="B196" s="5" t="s">
        <v>60</v>
      </c>
      <c r="C196" s="4" t="s">
        <v>61</v>
      </c>
      <c r="D196" s="5" t="s">
        <v>117</v>
      </c>
      <c r="E196" s="4" t="s">
        <v>44</v>
      </c>
      <c r="F196" s="4" t="s">
        <v>45</v>
      </c>
      <c r="G196" s="4" t="s">
        <v>13</v>
      </c>
      <c r="H196" s="6">
        <v>4</v>
      </c>
      <c r="I196" s="7">
        <v>95000</v>
      </c>
      <c r="J196" s="7">
        <f t="shared" si="2"/>
        <v>380000</v>
      </c>
      <c r="K196" s="8" t="s">
        <v>12</v>
      </c>
    </row>
    <row r="197" spans="1:11" x14ac:dyDescent="0.25">
      <c r="A197" s="4" t="s">
        <v>116</v>
      </c>
      <c r="B197" s="5" t="s">
        <v>60</v>
      </c>
      <c r="C197" s="4" t="s">
        <v>61</v>
      </c>
      <c r="D197" s="5" t="s">
        <v>117</v>
      </c>
      <c r="E197" s="4" t="s">
        <v>20</v>
      </c>
      <c r="F197" s="4" t="s">
        <v>21</v>
      </c>
      <c r="G197" s="4" t="s">
        <v>13</v>
      </c>
      <c r="H197" s="6">
        <v>1</v>
      </c>
      <c r="I197" s="7">
        <v>45000</v>
      </c>
      <c r="J197" s="7">
        <f t="shared" si="2"/>
        <v>45000</v>
      </c>
      <c r="K197" s="8" t="s">
        <v>12</v>
      </c>
    </row>
    <row r="198" spans="1:11" x14ac:dyDescent="0.25">
      <c r="A198" s="4" t="s">
        <v>116</v>
      </c>
      <c r="B198" s="5" t="s">
        <v>60</v>
      </c>
      <c r="C198" s="4" t="s">
        <v>61</v>
      </c>
      <c r="D198" s="5" t="s">
        <v>117</v>
      </c>
      <c r="E198" s="4" t="s">
        <v>27</v>
      </c>
      <c r="F198" s="4" t="s">
        <v>28</v>
      </c>
      <c r="G198" s="4" t="s">
        <v>13</v>
      </c>
      <c r="H198" s="6">
        <v>2</v>
      </c>
      <c r="I198" s="7">
        <v>21000</v>
      </c>
      <c r="J198" s="7">
        <f t="shared" si="2"/>
        <v>42000</v>
      </c>
      <c r="K198" s="8" t="s">
        <v>12</v>
      </c>
    </row>
    <row r="199" spans="1:11" x14ac:dyDescent="0.25">
      <c r="A199" s="4" t="s">
        <v>116</v>
      </c>
      <c r="B199" s="5" t="s">
        <v>60</v>
      </c>
      <c r="C199" s="4" t="s">
        <v>61</v>
      </c>
      <c r="D199" s="5" t="s">
        <v>117</v>
      </c>
      <c r="E199" s="4" t="s">
        <v>76</v>
      </c>
      <c r="F199" s="4" t="s">
        <v>77</v>
      </c>
      <c r="G199" s="4" t="s">
        <v>13</v>
      </c>
      <c r="H199" s="6">
        <v>3</v>
      </c>
      <c r="I199" s="7">
        <v>38000</v>
      </c>
      <c r="J199" s="7">
        <f t="shared" si="2"/>
        <v>114000</v>
      </c>
      <c r="K199" s="8" t="s">
        <v>12</v>
      </c>
    </row>
    <row r="200" spans="1:11" x14ac:dyDescent="0.25">
      <c r="A200" s="4" t="s">
        <v>116</v>
      </c>
      <c r="B200" s="5" t="s">
        <v>60</v>
      </c>
      <c r="C200" s="4" t="s">
        <v>61</v>
      </c>
      <c r="D200" s="5" t="s">
        <v>117</v>
      </c>
      <c r="E200" s="4" t="s">
        <v>14</v>
      </c>
      <c r="F200" s="4" t="s">
        <v>15</v>
      </c>
      <c r="G200" s="4" t="s">
        <v>13</v>
      </c>
      <c r="H200" s="6">
        <v>1</v>
      </c>
      <c r="I200" s="7">
        <v>50000</v>
      </c>
      <c r="J200" s="7">
        <f t="shared" si="2"/>
        <v>50000</v>
      </c>
      <c r="K200" s="8" t="s">
        <v>12</v>
      </c>
    </row>
    <row r="201" spans="1:11" x14ac:dyDescent="0.25">
      <c r="A201" s="4" t="s">
        <v>116</v>
      </c>
      <c r="B201" s="5" t="s">
        <v>60</v>
      </c>
      <c r="C201" s="4" t="s">
        <v>61</v>
      </c>
      <c r="D201" s="5" t="s">
        <v>117</v>
      </c>
      <c r="E201" s="4" t="s">
        <v>48</v>
      </c>
      <c r="F201" s="4" t="s">
        <v>49</v>
      </c>
      <c r="G201" s="4" t="s">
        <v>13</v>
      </c>
      <c r="H201" s="6">
        <v>4</v>
      </c>
      <c r="I201" s="7">
        <v>62000</v>
      </c>
      <c r="J201" s="7">
        <f t="shared" si="2"/>
        <v>248000</v>
      </c>
      <c r="K201" s="8" t="s">
        <v>12</v>
      </c>
    </row>
    <row r="202" spans="1:11" x14ac:dyDescent="0.25">
      <c r="A202" s="4" t="s">
        <v>118</v>
      </c>
      <c r="B202" s="5" t="s">
        <v>60</v>
      </c>
      <c r="C202" s="4" t="s">
        <v>61</v>
      </c>
      <c r="D202" s="5" t="s">
        <v>119</v>
      </c>
      <c r="E202" s="4" t="s">
        <v>31</v>
      </c>
      <c r="F202" s="4" t="s">
        <v>32</v>
      </c>
      <c r="G202" s="4" t="s">
        <v>33</v>
      </c>
      <c r="H202" s="6">
        <v>8</v>
      </c>
      <c r="I202" s="7">
        <v>8500</v>
      </c>
      <c r="J202" s="7">
        <f t="shared" si="2"/>
        <v>68000</v>
      </c>
      <c r="K202" s="8" t="s">
        <v>12</v>
      </c>
    </row>
    <row r="203" spans="1:11" x14ac:dyDescent="0.25">
      <c r="A203" s="4" t="s">
        <v>118</v>
      </c>
      <c r="B203" s="5" t="s">
        <v>60</v>
      </c>
      <c r="C203" s="4" t="s">
        <v>61</v>
      </c>
      <c r="D203" s="5" t="s">
        <v>119</v>
      </c>
      <c r="E203" s="4" t="s">
        <v>34</v>
      </c>
      <c r="F203" s="4" t="s">
        <v>35</v>
      </c>
      <c r="G203" s="4" t="s">
        <v>13</v>
      </c>
      <c r="H203" s="6">
        <v>1</v>
      </c>
      <c r="I203" s="7">
        <v>30000</v>
      </c>
      <c r="J203" s="7">
        <f t="shared" si="2"/>
        <v>30000</v>
      </c>
      <c r="K203" s="8" t="s">
        <v>12</v>
      </c>
    </row>
    <row r="204" spans="1:11" x14ac:dyDescent="0.25">
      <c r="A204" s="4" t="s">
        <v>118</v>
      </c>
      <c r="B204" s="5" t="s">
        <v>60</v>
      </c>
      <c r="C204" s="4" t="s">
        <v>61</v>
      </c>
      <c r="D204" s="5" t="s">
        <v>119</v>
      </c>
      <c r="E204" s="4" t="s">
        <v>62</v>
      </c>
      <c r="F204" s="4" t="s">
        <v>63</v>
      </c>
      <c r="G204" s="4" t="s">
        <v>13</v>
      </c>
      <c r="H204" s="6">
        <v>3</v>
      </c>
      <c r="I204" s="7">
        <v>45000</v>
      </c>
      <c r="J204" s="7">
        <f t="shared" si="2"/>
        <v>135000</v>
      </c>
      <c r="K204" s="8" t="s">
        <v>12</v>
      </c>
    </row>
    <row r="205" spans="1:11" x14ac:dyDescent="0.25">
      <c r="A205" s="4" t="s">
        <v>118</v>
      </c>
      <c r="B205" s="5" t="s">
        <v>60</v>
      </c>
      <c r="C205" s="4" t="s">
        <v>61</v>
      </c>
      <c r="D205" s="5" t="s">
        <v>119</v>
      </c>
      <c r="E205" s="4" t="s">
        <v>64</v>
      </c>
      <c r="F205" s="4" t="s">
        <v>65</v>
      </c>
      <c r="G205" s="4" t="s">
        <v>13</v>
      </c>
      <c r="H205" s="6">
        <v>0.5</v>
      </c>
      <c r="I205" s="7">
        <v>50000</v>
      </c>
      <c r="J205" s="7">
        <f t="shared" si="2"/>
        <v>25000</v>
      </c>
      <c r="K205" s="8" t="s">
        <v>12</v>
      </c>
    </row>
    <row r="206" spans="1:11" x14ac:dyDescent="0.25">
      <c r="A206" s="4" t="s">
        <v>118</v>
      </c>
      <c r="B206" s="5" t="s">
        <v>60</v>
      </c>
      <c r="C206" s="4" t="s">
        <v>61</v>
      </c>
      <c r="D206" s="5" t="s">
        <v>119</v>
      </c>
      <c r="E206" s="4" t="s">
        <v>66</v>
      </c>
      <c r="F206" s="4" t="s">
        <v>67</v>
      </c>
      <c r="G206" s="4" t="s">
        <v>13</v>
      </c>
      <c r="H206" s="6">
        <v>12.3</v>
      </c>
      <c r="I206" s="7">
        <v>18000</v>
      </c>
      <c r="J206" s="7">
        <f t="shared" si="2"/>
        <v>221400</v>
      </c>
      <c r="K206" s="8" t="s">
        <v>12</v>
      </c>
    </row>
    <row r="207" spans="1:11" x14ac:dyDescent="0.25">
      <c r="A207" s="4" t="s">
        <v>118</v>
      </c>
      <c r="B207" s="5" t="s">
        <v>60</v>
      </c>
      <c r="C207" s="4" t="s">
        <v>61</v>
      </c>
      <c r="D207" s="5" t="s">
        <v>119</v>
      </c>
      <c r="E207" s="4" t="s">
        <v>68</v>
      </c>
      <c r="F207" s="4" t="s">
        <v>69</v>
      </c>
      <c r="G207" s="4" t="s">
        <v>13</v>
      </c>
      <c r="H207" s="6">
        <v>2</v>
      </c>
      <c r="I207" s="7">
        <v>13000</v>
      </c>
      <c r="J207" s="7">
        <f t="shared" si="2"/>
        <v>26000</v>
      </c>
      <c r="K207" s="8" t="s">
        <v>12</v>
      </c>
    </row>
    <row r="208" spans="1:11" x14ac:dyDescent="0.25">
      <c r="A208" s="4" t="s">
        <v>118</v>
      </c>
      <c r="B208" s="5" t="s">
        <v>60</v>
      </c>
      <c r="C208" s="4" t="s">
        <v>61</v>
      </c>
      <c r="D208" s="5" t="s">
        <v>119</v>
      </c>
      <c r="E208" s="4" t="s">
        <v>16</v>
      </c>
      <c r="F208" s="4" t="s">
        <v>17</v>
      </c>
      <c r="G208" s="4" t="s">
        <v>13</v>
      </c>
      <c r="H208" s="6">
        <v>2</v>
      </c>
      <c r="I208" s="7">
        <v>47000</v>
      </c>
      <c r="J208" s="7">
        <f t="shared" ref="J208:J271" si="3">H208*I208</f>
        <v>94000</v>
      </c>
      <c r="K208" s="8" t="s">
        <v>12</v>
      </c>
    </row>
    <row r="209" spans="1:11" x14ac:dyDescent="0.25">
      <c r="A209" s="4" t="s">
        <v>118</v>
      </c>
      <c r="B209" s="5" t="s">
        <v>60</v>
      </c>
      <c r="C209" s="4" t="s">
        <v>61</v>
      </c>
      <c r="D209" s="5" t="s">
        <v>119</v>
      </c>
      <c r="E209" s="4" t="s">
        <v>50</v>
      </c>
      <c r="F209" s="4" t="s">
        <v>51</v>
      </c>
      <c r="G209" s="4" t="s">
        <v>13</v>
      </c>
      <c r="H209" s="6">
        <v>24.7</v>
      </c>
      <c r="I209" s="7">
        <v>18000</v>
      </c>
      <c r="J209" s="7">
        <f t="shared" si="3"/>
        <v>444600</v>
      </c>
      <c r="K209" s="8" t="s">
        <v>12</v>
      </c>
    </row>
    <row r="210" spans="1:11" x14ac:dyDescent="0.25">
      <c r="A210" s="4" t="s">
        <v>118</v>
      </c>
      <c r="B210" s="5" t="s">
        <v>60</v>
      </c>
      <c r="C210" s="4" t="s">
        <v>61</v>
      </c>
      <c r="D210" s="5" t="s">
        <v>119</v>
      </c>
      <c r="E210" s="4" t="s">
        <v>18</v>
      </c>
      <c r="F210" s="4" t="s">
        <v>19</v>
      </c>
      <c r="G210" s="4" t="s">
        <v>13</v>
      </c>
      <c r="H210" s="6">
        <v>2</v>
      </c>
      <c r="I210" s="7">
        <v>55000</v>
      </c>
      <c r="J210" s="7">
        <f t="shared" si="3"/>
        <v>110000</v>
      </c>
      <c r="K210" s="8" t="s">
        <v>12</v>
      </c>
    </row>
    <row r="211" spans="1:11" x14ac:dyDescent="0.25">
      <c r="A211" s="4" t="s">
        <v>118</v>
      </c>
      <c r="B211" s="5" t="s">
        <v>60</v>
      </c>
      <c r="C211" s="4" t="s">
        <v>61</v>
      </c>
      <c r="D211" s="5" t="s">
        <v>119</v>
      </c>
      <c r="E211" s="4" t="s">
        <v>80</v>
      </c>
      <c r="F211" s="4" t="s">
        <v>81</v>
      </c>
      <c r="G211" s="4" t="s">
        <v>82</v>
      </c>
      <c r="H211" s="6">
        <v>1</v>
      </c>
      <c r="I211" s="7">
        <v>80000</v>
      </c>
      <c r="J211" s="7">
        <f t="shared" si="3"/>
        <v>80000</v>
      </c>
      <c r="K211" s="8" t="s">
        <v>12</v>
      </c>
    </row>
    <row r="212" spans="1:11" x14ac:dyDescent="0.25">
      <c r="A212" s="4" t="s">
        <v>118</v>
      </c>
      <c r="B212" s="5" t="s">
        <v>60</v>
      </c>
      <c r="C212" s="4" t="s">
        <v>61</v>
      </c>
      <c r="D212" s="5" t="s">
        <v>119</v>
      </c>
      <c r="E212" s="4" t="s">
        <v>70</v>
      </c>
      <c r="F212" s="4" t="s">
        <v>71</v>
      </c>
      <c r="G212" s="4" t="s">
        <v>13</v>
      </c>
      <c r="H212" s="6">
        <v>1</v>
      </c>
      <c r="I212" s="7">
        <v>30000</v>
      </c>
      <c r="J212" s="7">
        <f t="shared" si="3"/>
        <v>30000</v>
      </c>
      <c r="K212" s="8" t="s">
        <v>12</v>
      </c>
    </row>
    <row r="213" spans="1:11" x14ac:dyDescent="0.25">
      <c r="A213" s="4" t="s">
        <v>118</v>
      </c>
      <c r="B213" s="5" t="s">
        <v>60</v>
      </c>
      <c r="C213" s="4" t="s">
        <v>61</v>
      </c>
      <c r="D213" s="5" t="s">
        <v>119</v>
      </c>
      <c r="E213" s="4" t="s">
        <v>74</v>
      </c>
      <c r="F213" s="4" t="s">
        <v>75</v>
      </c>
      <c r="G213" s="4" t="s">
        <v>13</v>
      </c>
      <c r="H213" s="6">
        <v>4</v>
      </c>
      <c r="I213" s="7">
        <v>22000</v>
      </c>
      <c r="J213" s="7">
        <f t="shared" si="3"/>
        <v>88000</v>
      </c>
      <c r="K213" s="8" t="s">
        <v>12</v>
      </c>
    </row>
    <row r="214" spans="1:11" x14ac:dyDescent="0.25">
      <c r="A214" s="4" t="s">
        <v>118</v>
      </c>
      <c r="B214" s="5" t="s">
        <v>60</v>
      </c>
      <c r="C214" s="4" t="s">
        <v>61</v>
      </c>
      <c r="D214" s="5" t="s">
        <v>119</v>
      </c>
      <c r="E214" s="4" t="s">
        <v>36</v>
      </c>
      <c r="F214" s="4" t="s">
        <v>37</v>
      </c>
      <c r="G214" s="4" t="s">
        <v>13</v>
      </c>
      <c r="H214" s="6">
        <v>1</v>
      </c>
      <c r="I214" s="7">
        <v>145000</v>
      </c>
      <c r="J214" s="7">
        <f t="shared" si="3"/>
        <v>145000</v>
      </c>
      <c r="K214" s="8" t="s">
        <v>12</v>
      </c>
    </row>
    <row r="215" spans="1:11" x14ac:dyDescent="0.25">
      <c r="A215" s="4" t="s">
        <v>118</v>
      </c>
      <c r="B215" s="5" t="s">
        <v>60</v>
      </c>
      <c r="C215" s="4" t="s">
        <v>61</v>
      </c>
      <c r="D215" s="5" t="s">
        <v>119</v>
      </c>
      <c r="E215" s="4" t="s">
        <v>38</v>
      </c>
      <c r="F215" s="4" t="s">
        <v>39</v>
      </c>
      <c r="G215" s="4" t="s">
        <v>13</v>
      </c>
      <c r="H215" s="6">
        <v>6</v>
      </c>
      <c r="I215" s="7">
        <v>47000</v>
      </c>
      <c r="J215" s="7">
        <f t="shared" si="3"/>
        <v>282000</v>
      </c>
      <c r="K215" s="8" t="s">
        <v>12</v>
      </c>
    </row>
    <row r="216" spans="1:11" x14ac:dyDescent="0.25">
      <c r="A216" s="4" t="s">
        <v>118</v>
      </c>
      <c r="B216" s="5" t="s">
        <v>60</v>
      </c>
      <c r="C216" s="4" t="s">
        <v>61</v>
      </c>
      <c r="D216" s="5" t="s">
        <v>119</v>
      </c>
      <c r="E216" s="4" t="s">
        <v>42</v>
      </c>
      <c r="F216" s="4" t="s">
        <v>43</v>
      </c>
      <c r="G216" s="4" t="s">
        <v>13</v>
      </c>
      <c r="H216" s="6">
        <v>6</v>
      </c>
      <c r="I216" s="7">
        <v>45000</v>
      </c>
      <c r="J216" s="7">
        <f t="shared" si="3"/>
        <v>270000</v>
      </c>
      <c r="K216" s="8" t="s">
        <v>12</v>
      </c>
    </row>
    <row r="217" spans="1:11" ht="28.5" x14ac:dyDescent="0.25">
      <c r="A217" s="4" t="s">
        <v>118</v>
      </c>
      <c r="B217" s="5" t="s">
        <v>60</v>
      </c>
      <c r="C217" s="4" t="s">
        <v>61</v>
      </c>
      <c r="D217" s="5" t="s">
        <v>119</v>
      </c>
      <c r="E217" s="4" t="s">
        <v>44</v>
      </c>
      <c r="F217" s="4" t="s">
        <v>45</v>
      </c>
      <c r="G217" s="4" t="s">
        <v>13</v>
      </c>
      <c r="H217" s="6">
        <v>5</v>
      </c>
      <c r="I217" s="7">
        <v>95000</v>
      </c>
      <c r="J217" s="7">
        <f t="shared" si="3"/>
        <v>475000</v>
      </c>
      <c r="K217" s="8" t="s">
        <v>12</v>
      </c>
    </row>
    <row r="218" spans="1:11" x14ac:dyDescent="0.25">
      <c r="A218" s="4" t="s">
        <v>118</v>
      </c>
      <c r="B218" s="5" t="s">
        <v>60</v>
      </c>
      <c r="C218" s="4" t="s">
        <v>61</v>
      </c>
      <c r="D218" s="5" t="s">
        <v>119</v>
      </c>
      <c r="E218" s="4" t="s">
        <v>20</v>
      </c>
      <c r="F218" s="4" t="s">
        <v>21</v>
      </c>
      <c r="G218" s="4" t="s">
        <v>13</v>
      </c>
      <c r="H218" s="6">
        <v>1.5</v>
      </c>
      <c r="I218" s="7">
        <v>45000</v>
      </c>
      <c r="J218" s="7">
        <f t="shared" si="3"/>
        <v>67500</v>
      </c>
      <c r="K218" s="8" t="s">
        <v>12</v>
      </c>
    </row>
    <row r="219" spans="1:11" x14ac:dyDescent="0.25">
      <c r="A219" s="4" t="s">
        <v>118</v>
      </c>
      <c r="B219" s="5" t="s">
        <v>60</v>
      </c>
      <c r="C219" s="4" t="s">
        <v>61</v>
      </c>
      <c r="D219" s="5" t="s">
        <v>119</v>
      </c>
      <c r="E219" s="4" t="s">
        <v>46</v>
      </c>
      <c r="F219" s="4" t="s">
        <v>47</v>
      </c>
      <c r="G219" s="4" t="s">
        <v>13</v>
      </c>
      <c r="H219" s="6">
        <v>0.5</v>
      </c>
      <c r="I219" s="7">
        <v>70000</v>
      </c>
      <c r="J219" s="7">
        <f t="shared" si="3"/>
        <v>35000</v>
      </c>
      <c r="K219" s="8" t="s">
        <v>12</v>
      </c>
    </row>
    <row r="220" spans="1:11" x14ac:dyDescent="0.25">
      <c r="A220" s="4" t="s">
        <v>118</v>
      </c>
      <c r="B220" s="5" t="s">
        <v>60</v>
      </c>
      <c r="C220" s="4" t="s">
        <v>61</v>
      </c>
      <c r="D220" s="5" t="s">
        <v>119</v>
      </c>
      <c r="E220" s="4" t="s">
        <v>29</v>
      </c>
      <c r="F220" s="4" t="s">
        <v>30</v>
      </c>
      <c r="G220" s="4" t="s">
        <v>13</v>
      </c>
      <c r="H220" s="6">
        <v>1.5</v>
      </c>
      <c r="I220" s="7">
        <v>145000</v>
      </c>
      <c r="J220" s="7">
        <f t="shared" si="3"/>
        <v>217500</v>
      </c>
      <c r="K220" s="8" t="s">
        <v>12</v>
      </c>
    </row>
    <row r="221" spans="1:11" x14ac:dyDescent="0.25">
      <c r="A221" s="4" t="s">
        <v>118</v>
      </c>
      <c r="B221" s="5" t="s">
        <v>60</v>
      </c>
      <c r="C221" s="4" t="s">
        <v>61</v>
      </c>
      <c r="D221" s="5" t="s">
        <v>119</v>
      </c>
      <c r="E221" s="4" t="s">
        <v>27</v>
      </c>
      <c r="F221" s="4" t="s">
        <v>28</v>
      </c>
      <c r="G221" s="4" t="s">
        <v>13</v>
      </c>
      <c r="H221" s="6">
        <v>8</v>
      </c>
      <c r="I221" s="7">
        <v>21000</v>
      </c>
      <c r="J221" s="7">
        <f t="shared" si="3"/>
        <v>168000</v>
      </c>
      <c r="K221" s="8" t="s">
        <v>12</v>
      </c>
    </row>
    <row r="222" spans="1:11" x14ac:dyDescent="0.25">
      <c r="A222" s="4" t="s">
        <v>118</v>
      </c>
      <c r="B222" s="5" t="s">
        <v>60</v>
      </c>
      <c r="C222" s="4" t="s">
        <v>61</v>
      </c>
      <c r="D222" s="5" t="s">
        <v>119</v>
      </c>
      <c r="E222" s="4" t="s">
        <v>76</v>
      </c>
      <c r="F222" s="4" t="s">
        <v>77</v>
      </c>
      <c r="G222" s="4" t="s">
        <v>13</v>
      </c>
      <c r="H222" s="6">
        <v>6</v>
      </c>
      <c r="I222" s="7">
        <v>38000</v>
      </c>
      <c r="J222" s="7">
        <f t="shared" si="3"/>
        <v>228000</v>
      </c>
      <c r="K222" s="8" t="s">
        <v>12</v>
      </c>
    </row>
    <row r="223" spans="1:11" x14ac:dyDescent="0.25">
      <c r="A223" s="4" t="s">
        <v>118</v>
      </c>
      <c r="B223" s="5" t="s">
        <v>60</v>
      </c>
      <c r="C223" s="4" t="s">
        <v>61</v>
      </c>
      <c r="D223" s="5" t="s">
        <v>119</v>
      </c>
      <c r="E223" s="4" t="s">
        <v>14</v>
      </c>
      <c r="F223" s="4" t="s">
        <v>15</v>
      </c>
      <c r="G223" s="4" t="s">
        <v>13</v>
      </c>
      <c r="H223" s="6">
        <v>2</v>
      </c>
      <c r="I223" s="7">
        <v>50000</v>
      </c>
      <c r="J223" s="7">
        <f t="shared" si="3"/>
        <v>100000</v>
      </c>
      <c r="K223" s="8" t="s">
        <v>12</v>
      </c>
    </row>
    <row r="224" spans="1:11" x14ac:dyDescent="0.25">
      <c r="A224" s="4" t="s">
        <v>118</v>
      </c>
      <c r="B224" s="5" t="s">
        <v>60</v>
      </c>
      <c r="C224" s="4" t="s">
        <v>61</v>
      </c>
      <c r="D224" s="5" t="s">
        <v>119</v>
      </c>
      <c r="E224" s="4" t="s">
        <v>48</v>
      </c>
      <c r="F224" s="4" t="s">
        <v>49</v>
      </c>
      <c r="G224" s="4" t="s">
        <v>13</v>
      </c>
      <c r="H224" s="6">
        <v>10.3</v>
      </c>
      <c r="I224" s="7">
        <v>62000</v>
      </c>
      <c r="J224" s="7">
        <f t="shared" si="3"/>
        <v>638600</v>
      </c>
      <c r="K224" s="8" t="s">
        <v>12</v>
      </c>
    </row>
    <row r="225" spans="1:11" x14ac:dyDescent="0.25">
      <c r="A225" s="4" t="s">
        <v>120</v>
      </c>
      <c r="B225" s="5" t="s">
        <v>60</v>
      </c>
      <c r="C225" s="4" t="s">
        <v>61</v>
      </c>
      <c r="D225" s="5" t="s">
        <v>121</v>
      </c>
      <c r="E225" s="4" t="s">
        <v>31</v>
      </c>
      <c r="F225" s="4" t="s">
        <v>32</v>
      </c>
      <c r="G225" s="4" t="s">
        <v>33</v>
      </c>
      <c r="H225" s="6">
        <v>10</v>
      </c>
      <c r="I225" s="7">
        <v>8500</v>
      </c>
      <c r="J225" s="7">
        <f t="shared" si="3"/>
        <v>85000</v>
      </c>
      <c r="K225" s="8" t="s">
        <v>12</v>
      </c>
    </row>
    <row r="226" spans="1:11" x14ac:dyDescent="0.25">
      <c r="A226" s="4" t="s">
        <v>120</v>
      </c>
      <c r="B226" s="5" t="s">
        <v>60</v>
      </c>
      <c r="C226" s="4" t="s">
        <v>61</v>
      </c>
      <c r="D226" s="5" t="s">
        <v>121</v>
      </c>
      <c r="E226" s="4" t="s">
        <v>34</v>
      </c>
      <c r="F226" s="4" t="s">
        <v>35</v>
      </c>
      <c r="G226" s="4" t="s">
        <v>13</v>
      </c>
      <c r="H226" s="6">
        <v>1.8</v>
      </c>
      <c r="I226" s="7">
        <v>30000</v>
      </c>
      <c r="J226" s="7">
        <f t="shared" si="3"/>
        <v>54000</v>
      </c>
      <c r="K226" s="8" t="s">
        <v>12</v>
      </c>
    </row>
    <row r="227" spans="1:11" x14ac:dyDescent="0.25">
      <c r="A227" s="4" t="s">
        <v>120</v>
      </c>
      <c r="B227" s="5" t="s">
        <v>60</v>
      </c>
      <c r="C227" s="4" t="s">
        <v>61</v>
      </c>
      <c r="D227" s="5" t="s">
        <v>121</v>
      </c>
      <c r="E227" s="4" t="s">
        <v>62</v>
      </c>
      <c r="F227" s="4" t="s">
        <v>63</v>
      </c>
      <c r="G227" s="4" t="s">
        <v>13</v>
      </c>
      <c r="H227" s="6">
        <v>3</v>
      </c>
      <c r="I227" s="7">
        <v>45000</v>
      </c>
      <c r="J227" s="7">
        <f t="shared" si="3"/>
        <v>135000</v>
      </c>
      <c r="K227" s="8" t="s">
        <v>12</v>
      </c>
    </row>
    <row r="228" spans="1:11" x14ac:dyDescent="0.25">
      <c r="A228" s="4" t="s">
        <v>120</v>
      </c>
      <c r="B228" s="5" t="s">
        <v>60</v>
      </c>
      <c r="C228" s="4" t="s">
        <v>61</v>
      </c>
      <c r="D228" s="5" t="s">
        <v>121</v>
      </c>
      <c r="E228" s="4" t="s">
        <v>64</v>
      </c>
      <c r="F228" s="4" t="s">
        <v>65</v>
      </c>
      <c r="G228" s="4" t="s">
        <v>13</v>
      </c>
      <c r="H228" s="6">
        <v>0.5</v>
      </c>
      <c r="I228" s="7">
        <v>50000</v>
      </c>
      <c r="J228" s="7">
        <f t="shared" si="3"/>
        <v>25000</v>
      </c>
      <c r="K228" s="8" t="s">
        <v>12</v>
      </c>
    </row>
    <row r="229" spans="1:11" x14ac:dyDescent="0.25">
      <c r="A229" s="4" t="s">
        <v>120</v>
      </c>
      <c r="B229" s="5" t="s">
        <v>60</v>
      </c>
      <c r="C229" s="4" t="s">
        <v>61</v>
      </c>
      <c r="D229" s="5" t="s">
        <v>121</v>
      </c>
      <c r="E229" s="4" t="s">
        <v>66</v>
      </c>
      <c r="F229" s="4" t="s">
        <v>67</v>
      </c>
      <c r="G229" s="4" t="s">
        <v>13</v>
      </c>
      <c r="H229" s="6">
        <v>14.1</v>
      </c>
      <c r="I229" s="7">
        <v>18000</v>
      </c>
      <c r="J229" s="7">
        <f t="shared" si="3"/>
        <v>253800</v>
      </c>
      <c r="K229" s="8" t="s">
        <v>12</v>
      </c>
    </row>
    <row r="230" spans="1:11" x14ac:dyDescent="0.25">
      <c r="A230" s="4" t="s">
        <v>120</v>
      </c>
      <c r="B230" s="5" t="s">
        <v>60</v>
      </c>
      <c r="C230" s="4" t="s">
        <v>61</v>
      </c>
      <c r="D230" s="5" t="s">
        <v>121</v>
      </c>
      <c r="E230" s="4" t="s">
        <v>68</v>
      </c>
      <c r="F230" s="4" t="s">
        <v>69</v>
      </c>
      <c r="G230" s="4" t="s">
        <v>13</v>
      </c>
      <c r="H230" s="6">
        <v>0.9</v>
      </c>
      <c r="I230" s="7">
        <v>13000</v>
      </c>
      <c r="J230" s="7">
        <f t="shared" si="3"/>
        <v>11700</v>
      </c>
      <c r="K230" s="8" t="s">
        <v>12</v>
      </c>
    </row>
    <row r="231" spans="1:11" x14ac:dyDescent="0.25">
      <c r="A231" s="4" t="s">
        <v>120</v>
      </c>
      <c r="B231" s="5" t="s">
        <v>60</v>
      </c>
      <c r="C231" s="4" t="s">
        <v>61</v>
      </c>
      <c r="D231" s="5" t="s">
        <v>121</v>
      </c>
      <c r="E231" s="4" t="s">
        <v>16</v>
      </c>
      <c r="F231" s="4" t="s">
        <v>17</v>
      </c>
      <c r="G231" s="4" t="s">
        <v>13</v>
      </c>
      <c r="H231" s="6">
        <v>1</v>
      </c>
      <c r="I231" s="7">
        <v>47000</v>
      </c>
      <c r="J231" s="7">
        <f t="shared" si="3"/>
        <v>47000</v>
      </c>
      <c r="K231" s="8" t="s">
        <v>12</v>
      </c>
    </row>
    <row r="232" spans="1:11" x14ac:dyDescent="0.25">
      <c r="A232" s="4" t="s">
        <v>120</v>
      </c>
      <c r="B232" s="5" t="s">
        <v>60</v>
      </c>
      <c r="C232" s="4" t="s">
        <v>61</v>
      </c>
      <c r="D232" s="5" t="s">
        <v>121</v>
      </c>
      <c r="E232" s="4" t="s">
        <v>78</v>
      </c>
      <c r="F232" s="4" t="s">
        <v>79</v>
      </c>
      <c r="G232" s="4" t="s">
        <v>13</v>
      </c>
      <c r="H232" s="6">
        <v>0.1</v>
      </c>
      <c r="I232" s="7">
        <v>30000</v>
      </c>
      <c r="J232" s="7">
        <f t="shared" si="3"/>
        <v>3000</v>
      </c>
      <c r="K232" s="8" t="s">
        <v>12</v>
      </c>
    </row>
    <row r="233" spans="1:11" x14ac:dyDescent="0.25">
      <c r="A233" s="4" t="s">
        <v>120</v>
      </c>
      <c r="B233" s="5" t="s">
        <v>60</v>
      </c>
      <c r="C233" s="4" t="s">
        <v>61</v>
      </c>
      <c r="D233" s="5" t="s">
        <v>121</v>
      </c>
      <c r="E233" s="4" t="s">
        <v>18</v>
      </c>
      <c r="F233" s="4" t="s">
        <v>19</v>
      </c>
      <c r="G233" s="4" t="s">
        <v>13</v>
      </c>
      <c r="H233" s="6">
        <v>1.5</v>
      </c>
      <c r="I233" s="7">
        <v>55000</v>
      </c>
      <c r="J233" s="7">
        <f t="shared" si="3"/>
        <v>82500</v>
      </c>
      <c r="K233" s="8" t="s">
        <v>12</v>
      </c>
    </row>
    <row r="234" spans="1:11" x14ac:dyDescent="0.25">
      <c r="A234" s="4" t="s">
        <v>120</v>
      </c>
      <c r="B234" s="5" t="s">
        <v>60</v>
      </c>
      <c r="C234" s="4" t="s">
        <v>61</v>
      </c>
      <c r="D234" s="5" t="s">
        <v>121</v>
      </c>
      <c r="E234" s="4" t="s">
        <v>80</v>
      </c>
      <c r="F234" s="4" t="s">
        <v>81</v>
      </c>
      <c r="G234" s="4" t="s">
        <v>82</v>
      </c>
      <c r="H234" s="6">
        <v>1</v>
      </c>
      <c r="I234" s="7">
        <v>80000</v>
      </c>
      <c r="J234" s="7">
        <f t="shared" si="3"/>
        <v>80000</v>
      </c>
      <c r="K234" s="8" t="s">
        <v>12</v>
      </c>
    </row>
    <row r="235" spans="1:11" x14ac:dyDescent="0.25">
      <c r="A235" s="4" t="s">
        <v>120</v>
      </c>
      <c r="B235" s="5" t="s">
        <v>60</v>
      </c>
      <c r="C235" s="4" t="s">
        <v>61</v>
      </c>
      <c r="D235" s="5" t="s">
        <v>121</v>
      </c>
      <c r="E235" s="4" t="s">
        <v>70</v>
      </c>
      <c r="F235" s="4" t="s">
        <v>71</v>
      </c>
      <c r="G235" s="4" t="s">
        <v>13</v>
      </c>
      <c r="H235" s="6">
        <v>1.6</v>
      </c>
      <c r="I235" s="7">
        <v>30000</v>
      </c>
      <c r="J235" s="7">
        <f t="shared" si="3"/>
        <v>48000</v>
      </c>
      <c r="K235" s="8" t="s">
        <v>12</v>
      </c>
    </row>
    <row r="236" spans="1:11" x14ac:dyDescent="0.25">
      <c r="A236" s="4" t="s">
        <v>120</v>
      </c>
      <c r="B236" s="5" t="s">
        <v>60</v>
      </c>
      <c r="C236" s="4" t="s">
        <v>61</v>
      </c>
      <c r="D236" s="5" t="s">
        <v>121</v>
      </c>
      <c r="E236" s="4" t="s">
        <v>72</v>
      </c>
      <c r="F236" s="4" t="s">
        <v>73</v>
      </c>
      <c r="G236" s="4" t="s">
        <v>13</v>
      </c>
      <c r="H236" s="6">
        <v>2.4</v>
      </c>
      <c r="I236" s="7">
        <v>18000</v>
      </c>
      <c r="J236" s="7">
        <f t="shared" si="3"/>
        <v>43200</v>
      </c>
      <c r="K236" s="8" t="s">
        <v>12</v>
      </c>
    </row>
    <row r="237" spans="1:11" x14ac:dyDescent="0.25">
      <c r="A237" s="4" t="s">
        <v>120</v>
      </c>
      <c r="B237" s="5" t="s">
        <v>60</v>
      </c>
      <c r="C237" s="4" t="s">
        <v>61</v>
      </c>
      <c r="D237" s="5" t="s">
        <v>121</v>
      </c>
      <c r="E237" s="4" t="s">
        <v>74</v>
      </c>
      <c r="F237" s="4" t="s">
        <v>75</v>
      </c>
      <c r="G237" s="4" t="s">
        <v>13</v>
      </c>
      <c r="H237" s="6">
        <v>6</v>
      </c>
      <c r="I237" s="7">
        <v>22000</v>
      </c>
      <c r="J237" s="7">
        <f t="shared" si="3"/>
        <v>132000</v>
      </c>
      <c r="K237" s="8" t="s">
        <v>12</v>
      </c>
    </row>
    <row r="238" spans="1:11" x14ac:dyDescent="0.25">
      <c r="A238" s="4" t="s">
        <v>120</v>
      </c>
      <c r="B238" s="5" t="s">
        <v>60</v>
      </c>
      <c r="C238" s="4" t="s">
        <v>61</v>
      </c>
      <c r="D238" s="5" t="s">
        <v>121</v>
      </c>
      <c r="E238" s="4" t="s">
        <v>36</v>
      </c>
      <c r="F238" s="4" t="s">
        <v>37</v>
      </c>
      <c r="G238" s="4" t="s">
        <v>13</v>
      </c>
      <c r="H238" s="6">
        <v>3</v>
      </c>
      <c r="I238" s="7">
        <v>145000</v>
      </c>
      <c r="J238" s="7">
        <f t="shared" si="3"/>
        <v>435000</v>
      </c>
      <c r="K238" s="8" t="s">
        <v>12</v>
      </c>
    </row>
    <row r="239" spans="1:11" x14ac:dyDescent="0.25">
      <c r="A239" s="4" t="s">
        <v>120</v>
      </c>
      <c r="B239" s="5" t="s">
        <v>60</v>
      </c>
      <c r="C239" s="4" t="s">
        <v>61</v>
      </c>
      <c r="D239" s="5" t="s">
        <v>121</v>
      </c>
      <c r="E239" s="4" t="s">
        <v>38</v>
      </c>
      <c r="F239" s="4" t="s">
        <v>39</v>
      </c>
      <c r="G239" s="4" t="s">
        <v>13</v>
      </c>
      <c r="H239" s="6">
        <v>8</v>
      </c>
      <c r="I239" s="7">
        <v>47000</v>
      </c>
      <c r="J239" s="7">
        <f t="shared" si="3"/>
        <v>376000</v>
      </c>
      <c r="K239" s="8" t="s">
        <v>12</v>
      </c>
    </row>
    <row r="240" spans="1:11" x14ac:dyDescent="0.25">
      <c r="A240" s="4" t="s">
        <v>120</v>
      </c>
      <c r="B240" s="5" t="s">
        <v>60</v>
      </c>
      <c r="C240" s="4" t="s">
        <v>61</v>
      </c>
      <c r="D240" s="5" t="s">
        <v>121</v>
      </c>
      <c r="E240" s="4" t="s">
        <v>40</v>
      </c>
      <c r="F240" s="4" t="s">
        <v>41</v>
      </c>
      <c r="G240" s="4" t="s">
        <v>13</v>
      </c>
      <c r="H240" s="6">
        <v>0.5</v>
      </c>
      <c r="I240" s="7">
        <v>80000</v>
      </c>
      <c r="J240" s="7">
        <f t="shared" si="3"/>
        <v>40000</v>
      </c>
      <c r="K240" s="8" t="s">
        <v>12</v>
      </c>
    </row>
    <row r="241" spans="1:11" x14ac:dyDescent="0.25">
      <c r="A241" s="4" t="s">
        <v>120</v>
      </c>
      <c r="B241" s="5" t="s">
        <v>60</v>
      </c>
      <c r="C241" s="4" t="s">
        <v>61</v>
      </c>
      <c r="D241" s="5" t="s">
        <v>121</v>
      </c>
      <c r="E241" s="4" t="s">
        <v>42</v>
      </c>
      <c r="F241" s="4" t="s">
        <v>43</v>
      </c>
      <c r="G241" s="4" t="s">
        <v>13</v>
      </c>
      <c r="H241" s="6">
        <v>8</v>
      </c>
      <c r="I241" s="7">
        <v>45000</v>
      </c>
      <c r="J241" s="7">
        <f t="shared" si="3"/>
        <v>360000</v>
      </c>
      <c r="K241" s="8" t="s">
        <v>12</v>
      </c>
    </row>
    <row r="242" spans="1:11" ht="28.5" x14ac:dyDescent="0.25">
      <c r="A242" s="4" t="s">
        <v>120</v>
      </c>
      <c r="B242" s="5" t="s">
        <v>60</v>
      </c>
      <c r="C242" s="4" t="s">
        <v>61</v>
      </c>
      <c r="D242" s="5" t="s">
        <v>121</v>
      </c>
      <c r="E242" s="4" t="s">
        <v>44</v>
      </c>
      <c r="F242" s="4" t="s">
        <v>45</v>
      </c>
      <c r="G242" s="4" t="s">
        <v>13</v>
      </c>
      <c r="H242" s="6">
        <v>7.1</v>
      </c>
      <c r="I242" s="7">
        <v>95000</v>
      </c>
      <c r="J242" s="7">
        <f t="shared" si="3"/>
        <v>674500</v>
      </c>
      <c r="K242" s="8" t="s">
        <v>12</v>
      </c>
    </row>
    <row r="243" spans="1:11" x14ac:dyDescent="0.25">
      <c r="A243" s="4" t="s">
        <v>120</v>
      </c>
      <c r="B243" s="5" t="s">
        <v>60</v>
      </c>
      <c r="C243" s="4" t="s">
        <v>61</v>
      </c>
      <c r="D243" s="5" t="s">
        <v>121</v>
      </c>
      <c r="E243" s="4" t="s">
        <v>20</v>
      </c>
      <c r="F243" s="4" t="s">
        <v>21</v>
      </c>
      <c r="G243" s="4" t="s">
        <v>13</v>
      </c>
      <c r="H243" s="6">
        <v>2</v>
      </c>
      <c r="I243" s="7">
        <v>45000</v>
      </c>
      <c r="J243" s="7">
        <f t="shared" si="3"/>
        <v>90000</v>
      </c>
      <c r="K243" s="8" t="s">
        <v>12</v>
      </c>
    </row>
    <row r="244" spans="1:11" x14ac:dyDescent="0.25">
      <c r="A244" s="4" t="s">
        <v>120</v>
      </c>
      <c r="B244" s="5" t="s">
        <v>60</v>
      </c>
      <c r="C244" s="4" t="s">
        <v>61</v>
      </c>
      <c r="D244" s="5" t="s">
        <v>121</v>
      </c>
      <c r="E244" s="4" t="s">
        <v>29</v>
      </c>
      <c r="F244" s="4" t="s">
        <v>30</v>
      </c>
      <c r="G244" s="4" t="s">
        <v>13</v>
      </c>
      <c r="H244" s="6">
        <v>1.5</v>
      </c>
      <c r="I244" s="7">
        <v>145000</v>
      </c>
      <c r="J244" s="7">
        <f t="shared" si="3"/>
        <v>217500</v>
      </c>
      <c r="K244" s="8" t="s">
        <v>12</v>
      </c>
    </row>
    <row r="245" spans="1:11" x14ac:dyDescent="0.25">
      <c r="A245" s="4" t="s">
        <v>120</v>
      </c>
      <c r="B245" s="5" t="s">
        <v>60</v>
      </c>
      <c r="C245" s="4" t="s">
        <v>61</v>
      </c>
      <c r="D245" s="5" t="s">
        <v>121</v>
      </c>
      <c r="E245" s="4" t="s">
        <v>76</v>
      </c>
      <c r="F245" s="4" t="s">
        <v>77</v>
      </c>
      <c r="G245" s="4" t="s">
        <v>13</v>
      </c>
      <c r="H245" s="6">
        <v>6</v>
      </c>
      <c r="I245" s="7">
        <v>38000</v>
      </c>
      <c r="J245" s="7">
        <f t="shared" si="3"/>
        <v>228000</v>
      </c>
      <c r="K245" s="8" t="s">
        <v>12</v>
      </c>
    </row>
    <row r="246" spans="1:11" x14ac:dyDescent="0.25">
      <c r="A246" s="4" t="s">
        <v>120</v>
      </c>
      <c r="B246" s="5" t="s">
        <v>60</v>
      </c>
      <c r="C246" s="4" t="s">
        <v>61</v>
      </c>
      <c r="D246" s="5" t="s">
        <v>121</v>
      </c>
      <c r="E246" s="4" t="s">
        <v>14</v>
      </c>
      <c r="F246" s="4" t="s">
        <v>15</v>
      </c>
      <c r="G246" s="4" t="s">
        <v>13</v>
      </c>
      <c r="H246" s="6">
        <v>2</v>
      </c>
      <c r="I246" s="7">
        <v>50000</v>
      </c>
      <c r="J246" s="7">
        <f t="shared" si="3"/>
        <v>100000</v>
      </c>
      <c r="K246" s="8" t="s">
        <v>12</v>
      </c>
    </row>
    <row r="247" spans="1:11" x14ac:dyDescent="0.25">
      <c r="A247" s="4" t="s">
        <v>120</v>
      </c>
      <c r="B247" s="5" t="s">
        <v>60</v>
      </c>
      <c r="C247" s="4" t="s">
        <v>61</v>
      </c>
      <c r="D247" s="5" t="s">
        <v>121</v>
      </c>
      <c r="E247" s="4" t="s">
        <v>48</v>
      </c>
      <c r="F247" s="4" t="s">
        <v>49</v>
      </c>
      <c r="G247" s="4" t="s">
        <v>13</v>
      </c>
      <c r="H247" s="6">
        <v>10.4</v>
      </c>
      <c r="I247" s="7">
        <v>62000</v>
      </c>
      <c r="J247" s="7">
        <f t="shared" si="3"/>
        <v>644800</v>
      </c>
      <c r="K247" s="8" t="s">
        <v>12</v>
      </c>
    </row>
    <row r="248" spans="1:11" x14ac:dyDescent="0.25">
      <c r="A248" s="4" t="s">
        <v>120</v>
      </c>
      <c r="B248" s="5" t="s">
        <v>60</v>
      </c>
      <c r="C248" s="4" t="s">
        <v>61</v>
      </c>
      <c r="D248" s="5" t="s">
        <v>122</v>
      </c>
      <c r="E248" s="4" t="s">
        <v>50</v>
      </c>
      <c r="F248" s="4" t="s">
        <v>51</v>
      </c>
      <c r="G248" s="4" t="s">
        <v>13</v>
      </c>
      <c r="H248" s="6">
        <v>20</v>
      </c>
      <c r="I248" s="7">
        <v>18000</v>
      </c>
      <c r="J248" s="7">
        <f t="shared" si="3"/>
        <v>360000</v>
      </c>
      <c r="K248" s="8" t="s">
        <v>12</v>
      </c>
    </row>
    <row r="249" spans="1:11" x14ac:dyDescent="0.25">
      <c r="A249" s="4" t="s">
        <v>120</v>
      </c>
      <c r="B249" s="5" t="s">
        <v>60</v>
      </c>
      <c r="C249" s="4" t="s">
        <v>61</v>
      </c>
      <c r="D249" s="5" t="s">
        <v>122</v>
      </c>
      <c r="E249" s="4" t="s">
        <v>27</v>
      </c>
      <c r="F249" s="4" t="s">
        <v>28</v>
      </c>
      <c r="G249" s="4" t="s">
        <v>13</v>
      </c>
      <c r="H249" s="6">
        <v>9</v>
      </c>
      <c r="I249" s="7">
        <v>21000</v>
      </c>
      <c r="J249" s="7">
        <f t="shared" si="3"/>
        <v>189000</v>
      </c>
      <c r="K249" s="8" t="s">
        <v>12</v>
      </c>
    </row>
    <row r="250" spans="1:11" x14ac:dyDescent="0.25">
      <c r="A250" s="4" t="s">
        <v>123</v>
      </c>
      <c r="B250" s="5" t="s">
        <v>60</v>
      </c>
      <c r="C250" s="4" t="s">
        <v>61</v>
      </c>
      <c r="D250" s="5" t="s">
        <v>124</v>
      </c>
      <c r="E250" s="4" t="s">
        <v>66</v>
      </c>
      <c r="F250" s="4" t="s">
        <v>67</v>
      </c>
      <c r="G250" s="4" t="s">
        <v>13</v>
      </c>
      <c r="H250" s="6">
        <v>8</v>
      </c>
      <c r="I250" s="7">
        <v>18000</v>
      </c>
      <c r="J250" s="7">
        <f t="shared" si="3"/>
        <v>144000</v>
      </c>
      <c r="K250" s="8" t="s">
        <v>12</v>
      </c>
    </row>
    <row r="251" spans="1:11" x14ac:dyDescent="0.25">
      <c r="A251" s="4" t="s">
        <v>123</v>
      </c>
      <c r="B251" s="5" t="s">
        <v>60</v>
      </c>
      <c r="C251" s="4" t="s">
        <v>61</v>
      </c>
      <c r="D251" s="5" t="s">
        <v>124</v>
      </c>
      <c r="E251" s="4" t="s">
        <v>54</v>
      </c>
      <c r="F251" s="4" t="s">
        <v>55</v>
      </c>
      <c r="G251" s="4" t="s">
        <v>13</v>
      </c>
      <c r="H251" s="6">
        <v>0.48</v>
      </c>
      <c r="I251" s="7">
        <v>75000</v>
      </c>
      <c r="J251" s="7">
        <f t="shared" si="3"/>
        <v>36000</v>
      </c>
      <c r="K251" s="8" t="s">
        <v>12</v>
      </c>
    </row>
    <row r="252" spans="1:11" x14ac:dyDescent="0.25">
      <c r="A252" s="4" t="s">
        <v>123</v>
      </c>
      <c r="B252" s="5" t="s">
        <v>60</v>
      </c>
      <c r="C252" s="4" t="s">
        <v>61</v>
      </c>
      <c r="D252" s="5" t="s">
        <v>124</v>
      </c>
      <c r="E252" s="4" t="s">
        <v>58</v>
      </c>
      <c r="F252" s="4" t="s">
        <v>59</v>
      </c>
      <c r="G252" s="4" t="s">
        <v>13</v>
      </c>
      <c r="H252" s="6">
        <v>0.16</v>
      </c>
      <c r="I252" s="7">
        <v>95000</v>
      </c>
      <c r="J252" s="7">
        <f t="shared" si="3"/>
        <v>15200</v>
      </c>
      <c r="K252" s="8" t="s">
        <v>12</v>
      </c>
    </row>
    <row r="253" spans="1:11" x14ac:dyDescent="0.25">
      <c r="A253" s="4" t="s">
        <v>123</v>
      </c>
      <c r="B253" s="5" t="s">
        <v>60</v>
      </c>
      <c r="C253" s="4" t="s">
        <v>61</v>
      </c>
      <c r="D253" s="5" t="s">
        <v>124</v>
      </c>
      <c r="E253" s="4" t="s">
        <v>50</v>
      </c>
      <c r="F253" s="4" t="s">
        <v>51</v>
      </c>
      <c r="G253" s="4" t="s">
        <v>13</v>
      </c>
      <c r="H253" s="6">
        <v>19.5</v>
      </c>
      <c r="I253" s="7">
        <v>18000</v>
      </c>
      <c r="J253" s="7">
        <f t="shared" si="3"/>
        <v>351000</v>
      </c>
      <c r="K253" s="8" t="s">
        <v>12</v>
      </c>
    </row>
    <row r="254" spans="1:11" x14ac:dyDescent="0.25">
      <c r="A254" s="4" t="s">
        <v>123</v>
      </c>
      <c r="B254" s="5" t="s">
        <v>60</v>
      </c>
      <c r="C254" s="4" t="s">
        <v>61</v>
      </c>
      <c r="D254" s="5" t="s">
        <v>124</v>
      </c>
      <c r="E254" s="4" t="s">
        <v>80</v>
      </c>
      <c r="F254" s="4" t="s">
        <v>81</v>
      </c>
      <c r="G254" s="4" t="s">
        <v>82</v>
      </c>
      <c r="H254" s="6">
        <v>1</v>
      </c>
      <c r="I254" s="7">
        <v>80000</v>
      </c>
      <c r="J254" s="7">
        <f t="shared" si="3"/>
        <v>80000</v>
      </c>
      <c r="K254" s="8" t="s">
        <v>12</v>
      </c>
    </row>
    <row r="255" spans="1:11" x14ac:dyDescent="0.25">
      <c r="A255" s="4" t="s">
        <v>123</v>
      </c>
      <c r="B255" s="5" t="s">
        <v>60</v>
      </c>
      <c r="C255" s="4" t="s">
        <v>61</v>
      </c>
      <c r="D255" s="5" t="s">
        <v>124</v>
      </c>
      <c r="E255" s="4" t="s">
        <v>52</v>
      </c>
      <c r="F255" s="4" t="s">
        <v>53</v>
      </c>
      <c r="G255" s="4" t="s">
        <v>13</v>
      </c>
      <c r="H255" s="6">
        <v>0.1</v>
      </c>
      <c r="I255" s="7">
        <v>65000</v>
      </c>
      <c r="J255" s="7">
        <f t="shared" si="3"/>
        <v>6500</v>
      </c>
      <c r="K255" s="8" t="s">
        <v>12</v>
      </c>
    </row>
    <row r="256" spans="1:11" x14ac:dyDescent="0.25">
      <c r="A256" s="4" t="s">
        <v>123</v>
      </c>
      <c r="B256" s="5" t="s">
        <v>60</v>
      </c>
      <c r="C256" s="4" t="s">
        <v>61</v>
      </c>
      <c r="D256" s="5" t="s">
        <v>124</v>
      </c>
      <c r="E256" s="4" t="s">
        <v>70</v>
      </c>
      <c r="F256" s="4" t="s">
        <v>71</v>
      </c>
      <c r="G256" s="4" t="s">
        <v>13</v>
      </c>
      <c r="H256" s="6">
        <v>3.5</v>
      </c>
      <c r="I256" s="7">
        <v>30000</v>
      </c>
      <c r="J256" s="7">
        <f t="shared" si="3"/>
        <v>105000</v>
      </c>
      <c r="K256" s="8" t="s">
        <v>12</v>
      </c>
    </row>
    <row r="257" spans="1:11" x14ac:dyDescent="0.25">
      <c r="A257" s="4" t="s">
        <v>123</v>
      </c>
      <c r="B257" s="5" t="s">
        <v>60</v>
      </c>
      <c r="C257" s="4" t="s">
        <v>61</v>
      </c>
      <c r="D257" s="5" t="s">
        <v>124</v>
      </c>
      <c r="E257" s="4" t="s">
        <v>72</v>
      </c>
      <c r="F257" s="4" t="s">
        <v>73</v>
      </c>
      <c r="G257" s="4" t="s">
        <v>13</v>
      </c>
      <c r="H257" s="6">
        <v>1</v>
      </c>
      <c r="I257" s="7">
        <v>18000</v>
      </c>
      <c r="J257" s="7">
        <f t="shared" si="3"/>
        <v>18000</v>
      </c>
      <c r="K257" s="8" t="s">
        <v>12</v>
      </c>
    </row>
    <row r="258" spans="1:11" x14ac:dyDescent="0.25">
      <c r="A258" s="4" t="s">
        <v>123</v>
      </c>
      <c r="B258" s="5" t="s">
        <v>60</v>
      </c>
      <c r="C258" s="4" t="s">
        <v>61</v>
      </c>
      <c r="D258" s="5" t="s">
        <v>124</v>
      </c>
      <c r="E258" s="4" t="s">
        <v>74</v>
      </c>
      <c r="F258" s="4" t="s">
        <v>75</v>
      </c>
      <c r="G258" s="4" t="s">
        <v>13</v>
      </c>
      <c r="H258" s="6">
        <v>5</v>
      </c>
      <c r="I258" s="7">
        <v>22000</v>
      </c>
      <c r="J258" s="7">
        <f t="shared" si="3"/>
        <v>110000</v>
      </c>
      <c r="K258" s="8" t="s">
        <v>12</v>
      </c>
    </row>
    <row r="259" spans="1:11" x14ac:dyDescent="0.25">
      <c r="A259" s="4" t="s">
        <v>123</v>
      </c>
      <c r="B259" s="5" t="s">
        <v>60</v>
      </c>
      <c r="C259" s="4" t="s">
        <v>61</v>
      </c>
      <c r="D259" s="5" t="s">
        <v>124</v>
      </c>
      <c r="E259" s="4" t="s">
        <v>36</v>
      </c>
      <c r="F259" s="4" t="s">
        <v>37</v>
      </c>
      <c r="G259" s="4" t="s">
        <v>13</v>
      </c>
      <c r="H259" s="6">
        <v>3</v>
      </c>
      <c r="I259" s="7">
        <v>145000</v>
      </c>
      <c r="J259" s="7">
        <f t="shared" si="3"/>
        <v>435000</v>
      </c>
      <c r="K259" s="8" t="s">
        <v>12</v>
      </c>
    </row>
    <row r="260" spans="1:11" x14ac:dyDescent="0.25">
      <c r="A260" s="4" t="s">
        <v>123</v>
      </c>
      <c r="B260" s="5" t="s">
        <v>60</v>
      </c>
      <c r="C260" s="4" t="s">
        <v>61</v>
      </c>
      <c r="D260" s="5" t="s">
        <v>124</v>
      </c>
      <c r="E260" s="4" t="s">
        <v>38</v>
      </c>
      <c r="F260" s="4" t="s">
        <v>39</v>
      </c>
      <c r="G260" s="4" t="s">
        <v>13</v>
      </c>
      <c r="H260" s="6">
        <v>4</v>
      </c>
      <c r="I260" s="7">
        <v>47000</v>
      </c>
      <c r="J260" s="7">
        <f t="shared" si="3"/>
        <v>188000</v>
      </c>
      <c r="K260" s="8" t="s">
        <v>12</v>
      </c>
    </row>
    <row r="261" spans="1:11" x14ac:dyDescent="0.25">
      <c r="A261" s="4" t="s">
        <v>123</v>
      </c>
      <c r="B261" s="5" t="s">
        <v>60</v>
      </c>
      <c r="C261" s="4" t="s">
        <v>61</v>
      </c>
      <c r="D261" s="5" t="s">
        <v>124</v>
      </c>
      <c r="E261" s="4" t="s">
        <v>40</v>
      </c>
      <c r="F261" s="4" t="s">
        <v>41</v>
      </c>
      <c r="G261" s="4" t="s">
        <v>13</v>
      </c>
      <c r="H261" s="6">
        <v>1</v>
      </c>
      <c r="I261" s="7">
        <v>80000</v>
      </c>
      <c r="J261" s="7">
        <f t="shared" si="3"/>
        <v>80000</v>
      </c>
      <c r="K261" s="8" t="s">
        <v>12</v>
      </c>
    </row>
    <row r="262" spans="1:11" x14ac:dyDescent="0.25">
      <c r="A262" s="4" t="s">
        <v>123</v>
      </c>
      <c r="B262" s="5" t="s">
        <v>60</v>
      </c>
      <c r="C262" s="4" t="s">
        <v>61</v>
      </c>
      <c r="D262" s="5" t="s">
        <v>124</v>
      </c>
      <c r="E262" s="4" t="s">
        <v>42</v>
      </c>
      <c r="F262" s="4" t="s">
        <v>43</v>
      </c>
      <c r="G262" s="4" t="s">
        <v>13</v>
      </c>
      <c r="H262" s="6">
        <v>3</v>
      </c>
      <c r="I262" s="7">
        <v>45000</v>
      </c>
      <c r="J262" s="7">
        <f t="shared" si="3"/>
        <v>135000</v>
      </c>
      <c r="K262" s="8" t="s">
        <v>12</v>
      </c>
    </row>
    <row r="263" spans="1:11" ht="28.5" x14ac:dyDescent="0.25">
      <c r="A263" s="4" t="s">
        <v>123</v>
      </c>
      <c r="B263" s="5" t="s">
        <v>60</v>
      </c>
      <c r="C263" s="4" t="s">
        <v>61</v>
      </c>
      <c r="D263" s="5" t="s">
        <v>124</v>
      </c>
      <c r="E263" s="4" t="s">
        <v>44</v>
      </c>
      <c r="F263" s="4" t="s">
        <v>45</v>
      </c>
      <c r="G263" s="4" t="s">
        <v>13</v>
      </c>
      <c r="H263" s="6">
        <v>6.7</v>
      </c>
      <c r="I263" s="7">
        <v>95000</v>
      </c>
      <c r="J263" s="7">
        <f t="shared" si="3"/>
        <v>636500</v>
      </c>
      <c r="K263" s="8" t="s">
        <v>12</v>
      </c>
    </row>
    <row r="264" spans="1:11" x14ac:dyDescent="0.25">
      <c r="A264" s="4" t="s">
        <v>123</v>
      </c>
      <c r="B264" s="5" t="s">
        <v>60</v>
      </c>
      <c r="C264" s="4" t="s">
        <v>61</v>
      </c>
      <c r="D264" s="5" t="s">
        <v>124</v>
      </c>
      <c r="E264" s="4" t="s">
        <v>27</v>
      </c>
      <c r="F264" s="4" t="s">
        <v>28</v>
      </c>
      <c r="G264" s="4" t="s">
        <v>13</v>
      </c>
      <c r="H264" s="6">
        <v>4.5</v>
      </c>
      <c r="I264" s="7">
        <v>21000</v>
      </c>
      <c r="J264" s="7">
        <f t="shared" si="3"/>
        <v>94500</v>
      </c>
      <c r="K264" s="8" t="s">
        <v>12</v>
      </c>
    </row>
    <row r="265" spans="1:11" x14ac:dyDescent="0.25">
      <c r="A265" s="4" t="s">
        <v>123</v>
      </c>
      <c r="B265" s="5" t="s">
        <v>60</v>
      </c>
      <c r="C265" s="4" t="s">
        <v>61</v>
      </c>
      <c r="D265" s="5" t="s">
        <v>124</v>
      </c>
      <c r="E265" s="4" t="s">
        <v>76</v>
      </c>
      <c r="F265" s="4" t="s">
        <v>77</v>
      </c>
      <c r="G265" s="4" t="s">
        <v>13</v>
      </c>
      <c r="H265" s="6">
        <v>3</v>
      </c>
      <c r="I265" s="7">
        <v>38000</v>
      </c>
      <c r="J265" s="7">
        <f t="shared" si="3"/>
        <v>114000</v>
      </c>
      <c r="K265" s="8" t="s">
        <v>12</v>
      </c>
    </row>
    <row r="266" spans="1:11" x14ac:dyDescent="0.25">
      <c r="A266" s="4" t="s">
        <v>123</v>
      </c>
      <c r="B266" s="5" t="s">
        <v>60</v>
      </c>
      <c r="C266" s="4" t="s">
        <v>61</v>
      </c>
      <c r="D266" s="5" t="s">
        <v>124</v>
      </c>
      <c r="E266" s="4" t="s">
        <v>14</v>
      </c>
      <c r="F266" s="4" t="s">
        <v>15</v>
      </c>
      <c r="G266" s="4" t="s">
        <v>13</v>
      </c>
      <c r="H266" s="6">
        <v>0.6</v>
      </c>
      <c r="I266" s="7">
        <v>50000</v>
      </c>
      <c r="J266" s="7">
        <f t="shared" si="3"/>
        <v>30000</v>
      </c>
      <c r="K266" s="8" t="s">
        <v>12</v>
      </c>
    </row>
    <row r="267" spans="1:11" x14ac:dyDescent="0.25">
      <c r="A267" s="4" t="s">
        <v>123</v>
      </c>
      <c r="B267" s="5" t="s">
        <v>60</v>
      </c>
      <c r="C267" s="4" t="s">
        <v>61</v>
      </c>
      <c r="D267" s="5" t="s">
        <v>124</v>
      </c>
      <c r="E267" s="4" t="s">
        <v>48</v>
      </c>
      <c r="F267" s="4" t="s">
        <v>49</v>
      </c>
      <c r="G267" s="4" t="s">
        <v>13</v>
      </c>
      <c r="H267" s="6">
        <v>6</v>
      </c>
      <c r="I267" s="7">
        <v>62000</v>
      </c>
      <c r="J267" s="7">
        <f t="shared" si="3"/>
        <v>372000</v>
      </c>
      <c r="K267" s="8" t="s">
        <v>12</v>
      </c>
    </row>
    <row r="268" spans="1:11" x14ac:dyDescent="0.25">
      <c r="A268" s="4" t="s">
        <v>125</v>
      </c>
      <c r="B268" s="5" t="s">
        <v>60</v>
      </c>
      <c r="C268" s="4" t="s">
        <v>61</v>
      </c>
      <c r="D268" s="5" t="s">
        <v>126</v>
      </c>
      <c r="E268" s="4" t="s">
        <v>31</v>
      </c>
      <c r="F268" s="4" t="s">
        <v>32</v>
      </c>
      <c r="G268" s="4" t="s">
        <v>33</v>
      </c>
      <c r="H268" s="6">
        <v>2</v>
      </c>
      <c r="I268" s="7">
        <v>8500</v>
      </c>
      <c r="J268" s="7">
        <f t="shared" si="3"/>
        <v>17000</v>
      </c>
      <c r="K268" s="8" t="s">
        <v>12</v>
      </c>
    </row>
    <row r="269" spans="1:11" x14ac:dyDescent="0.25">
      <c r="A269" s="4" t="s">
        <v>125</v>
      </c>
      <c r="B269" s="5" t="s">
        <v>60</v>
      </c>
      <c r="C269" s="4" t="s">
        <v>61</v>
      </c>
      <c r="D269" s="5" t="s">
        <v>126</v>
      </c>
      <c r="E269" s="4" t="s">
        <v>66</v>
      </c>
      <c r="F269" s="4" t="s">
        <v>67</v>
      </c>
      <c r="G269" s="4" t="s">
        <v>13</v>
      </c>
      <c r="H269" s="6">
        <v>7</v>
      </c>
      <c r="I269" s="7">
        <v>18000</v>
      </c>
      <c r="J269" s="7">
        <f t="shared" si="3"/>
        <v>126000</v>
      </c>
      <c r="K269" s="8" t="s">
        <v>12</v>
      </c>
    </row>
    <row r="270" spans="1:11" x14ac:dyDescent="0.25">
      <c r="A270" s="4" t="s">
        <v>125</v>
      </c>
      <c r="B270" s="5" t="s">
        <v>60</v>
      </c>
      <c r="C270" s="4" t="s">
        <v>61</v>
      </c>
      <c r="D270" s="5" t="s">
        <v>126</v>
      </c>
      <c r="E270" s="4" t="s">
        <v>54</v>
      </c>
      <c r="F270" s="4" t="s">
        <v>55</v>
      </c>
      <c r="G270" s="4" t="s">
        <v>13</v>
      </c>
      <c r="H270" s="6">
        <v>0.5</v>
      </c>
      <c r="I270" s="7">
        <v>75000</v>
      </c>
      <c r="J270" s="7">
        <f t="shared" si="3"/>
        <v>37500</v>
      </c>
      <c r="K270" s="8" t="s">
        <v>12</v>
      </c>
    </row>
    <row r="271" spans="1:11" x14ac:dyDescent="0.25">
      <c r="A271" s="4" t="s">
        <v>125</v>
      </c>
      <c r="B271" s="5" t="s">
        <v>60</v>
      </c>
      <c r="C271" s="4" t="s">
        <v>61</v>
      </c>
      <c r="D271" s="5" t="s">
        <v>126</v>
      </c>
      <c r="E271" s="4" t="s">
        <v>58</v>
      </c>
      <c r="F271" s="4" t="s">
        <v>59</v>
      </c>
      <c r="G271" s="4" t="s">
        <v>13</v>
      </c>
      <c r="H271" s="6">
        <v>0.3</v>
      </c>
      <c r="I271" s="7">
        <v>95000</v>
      </c>
      <c r="J271" s="7">
        <f t="shared" si="3"/>
        <v>28500</v>
      </c>
      <c r="K271" s="8" t="s">
        <v>12</v>
      </c>
    </row>
    <row r="272" spans="1:11" x14ac:dyDescent="0.25">
      <c r="A272" s="4" t="s">
        <v>125</v>
      </c>
      <c r="B272" s="5" t="s">
        <v>60</v>
      </c>
      <c r="C272" s="4" t="s">
        <v>61</v>
      </c>
      <c r="D272" s="5" t="s">
        <v>126</v>
      </c>
      <c r="E272" s="4" t="s">
        <v>68</v>
      </c>
      <c r="F272" s="4" t="s">
        <v>69</v>
      </c>
      <c r="G272" s="4" t="s">
        <v>13</v>
      </c>
      <c r="H272" s="6">
        <v>1</v>
      </c>
      <c r="I272" s="7">
        <v>13000</v>
      </c>
      <c r="J272" s="7">
        <f t="shared" ref="J272:J330" si="4">H272*I272</f>
        <v>13000</v>
      </c>
      <c r="K272" s="8" t="s">
        <v>12</v>
      </c>
    </row>
    <row r="273" spans="1:11" x14ac:dyDescent="0.25">
      <c r="A273" s="4" t="s">
        <v>125</v>
      </c>
      <c r="B273" s="5" t="s">
        <v>60</v>
      </c>
      <c r="C273" s="4" t="s">
        <v>61</v>
      </c>
      <c r="D273" s="5" t="s">
        <v>126</v>
      </c>
      <c r="E273" s="4" t="s">
        <v>50</v>
      </c>
      <c r="F273" s="4" t="s">
        <v>51</v>
      </c>
      <c r="G273" s="4" t="s">
        <v>13</v>
      </c>
      <c r="H273" s="6">
        <v>26</v>
      </c>
      <c r="I273" s="7">
        <v>18000</v>
      </c>
      <c r="J273" s="7">
        <f t="shared" si="4"/>
        <v>468000</v>
      </c>
      <c r="K273" s="8" t="s">
        <v>12</v>
      </c>
    </row>
    <row r="274" spans="1:11" x14ac:dyDescent="0.25">
      <c r="A274" s="4" t="s">
        <v>125</v>
      </c>
      <c r="B274" s="5" t="s">
        <v>60</v>
      </c>
      <c r="C274" s="4" t="s">
        <v>61</v>
      </c>
      <c r="D274" s="5" t="s">
        <v>126</v>
      </c>
      <c r="E274" s="4" t="s">
        <v>78</v>
      </c>
      <c r="F274" s="4" t="s">
        <v>79</v>
      </c>
      <c r="G274" s="4" t="s">
        <v>13</v>
      </c>
      <c r="H274" s="6">
        <v>0.3</v>
      </c>
      <c r="I274" s="7">
        <v>30000</v>
      </c>
      <c r="J274" s="7">
        <f t="shared" si="4"/>
        <v>9000</v>
      </c>
      <c r="K274" s="8" t="s">
        <v>12</v>
      </c>
    </row>
    <row r="275" spans="1:11" x14ac:dyDescent="0.25">
      <c r="A275" s="4" t="s">
        <v>125</v>
      </c>
      <c r="B275" s="5" t="s">
        <v>60</v>
      </c>
      <c r="C275" s="4" t="s">
        <v>61</v>
      </c>
      <c r="D275" s="5" t="s">
        <v>126</v>
      </c>
      <c r="E275" s="4" t="s">
        <v>18</v>
      </c>
      <c r="F275" s="4" t="s">
        <v>19</v>
      </c>
      <c r="G275" s="4" t="s">
        <v>13</v>
      </c>
      <c r="H275" s="6">
        <v>1</v>
      </c>
      <c r="I275" s="7">
        <v>55000</v>
      </c>
      <c r="J275" s="7">
        <f t="shared" si="4"/>
        <v>55000</v>
      </c>
      <c r="K275" s="8" t="s">
        <v>12</v>
      </c>
    </row>
    <row r="276" spans="1:11" x14ac:dyDescent="0.25">
      <c r="A276" s="4" t="s">
        <v>125</v>
      </c>
      <c r="B276" s="5" t="s">
        <v>60</v>
      </c>
      <c r="C276" s="4" t="s">
        <v>61</v>
      </c>
      <c r="D276" s="5" t="s">
        <v>126</v>
      </c>
      <c r="E276" s="4" t="s">
        <v>80</v>
      </c>
      <c r="F276" s="4" t="s">
        <v>81</v>
      </c>
      <c r="G276" s="4" t="s">
        <v>82</v>
      </c>
      <c r="H276" s="6">
        <v>1</v>
      </c>
      <c r="I276" s="7">
        <v>80000</v>
      </c>
      <c r="J276" s="7">
        <f t="shared" si="4"/>
        <v>80000</v>
      </c>
      <c r="K276" s="8" t="s">
        <v>12</v>
      </c>
    </row>
    <row r="277" spans="1:11" x14ac:dyDescent="0.25">
      <c r="A277" s="4" t="s">
        <v>125</v>
      </c>
      <c r="B277" s="5" t="s">
        <v>60</v>
      </c>
      <c r="C277" s="4" t="s">
        <v>61</v>
      </c>
      <c r="D277" s="5" t="s">
        <v>126</v>
      </c>
      <c r="E277" s="4" t="s">
        <v>74</v>
      </c>
      <c r="F277" s="4" t="s">
        <v>75</v>
      </c>
      <c r="G277" s="4" t="s">
        <v>13</v>
      </c>
      <c r="H277" s="6">
        <v>4</v>
      </c>
      <c r="I277" s="7">
        <v>22000</v>
      </c>
      <c r="J277" s="7">
        <f t="shared" si="4"/>
        <v>88000</v>
      </c>
      <c r="K277" s="8" t="s">
        <v>12</v>
      </c>
    </row>
    <row r="278" spans="1:11" x14ac:dyDescent="0.25">
      <c r="A278" s="4" t="s">
        <v>125</v>
      </c>
      <c r="B278" s="5" t="s">
        <v>60</v>
      </c>
      <c r="C278" s="4" t="s">
        <v>61</v>
      </c>
      <c r="D278" s="5" t="s">
        <v>126</v>
      </c>
      <c r="E278" s="4" t="s">
        <v>36</v>
      </c>
      <c r="F278" s="4" t="s">
        <v>37</v>
      </c>
      <c r="G278" s="4" t="s">
        <v>13</v>
      </c>
      <c r="H278" s="6">
        <v>2</v>
      </c>
      <c r="I278" s="7">
        <v>145000</v>
      </c>
      <c r="J278" s="7">
        <f t="shared" si="4"/>
        <v>290000</v>
      </c>
      <c r="K278" s="8" t="s">
        <v>12</v>
      </c>
    </row>
    <row r="279" spans="1:11" x14ac:dyDescent="0.25">
      <c r="A279" s="4" t="s">
        <v>125</v>
      </c>
      <c r="B279" s="5" t="s">
        <v>60</v>
      </c>
      <c r="C279" s="4" t="s">
        <v>61</v>
      </c>
      <c r="D279" s="5" t="s">
        <v>126</v>
      </c>
      <c r="E279" s="4" t="s">
        <v>38</v>
      </c>
      <c r="F279" s="4" t="s">
        <v>39</v>
      </c>
      <c r="G279" s="4" t="s">
        <v>13</v>
      </c>
      <c r="H279" s="6">
        <v>4</v>
      </c>
      <c r="I279" s="7">
        <v>47000</v>
      </c>
      <c r="J279" s="7">
        <f t="shared" si="4"/>
        <v>188000</v>
      </c>
      <c r="K279" s="8" t="s">
        <v>12</v>
      </c>
    </row>
    <row r="280" spans="1:11" x14ac:dyDescent="0.25">
      <c r="A280" s="4" t="s">
        <v>125</v>
      </c>
      <c r="B280" s="5" t="s">
        <v>60</v>
      </c>
      <c r="C280" s="4" t="s">
        <v>61</v>
      </c>
      <c r="D280" s="5" t="s">
        <v>126</v>
      </c>
      <c r="E280" s="4" t="s">
        <v>42</v>
      </c>
      <c r="F280" s="4" t="s">
        <v>43</v>
      </c>
      <c r="G280" s="4" t="s">
        <v>13</v>
      </c>
      <c r="H280" s="6">
        <v>2</v>
      </c>
      <c r="I280" s="7">
        <v>45000</v>
      </c>
      <c r="J280" s="7">
        <f t="shared" si="4"/>
        <v>90000</v>
      </c>
      <c r="K280" s="8" t="s">
        <v>12</v>
      </c>
    </row>
    <row r="281" spans="1:11" ht="28.5" x14ac:dyDescent="0.25">
      <c r="A281" s="4" t="s">
        <v>125</v>
      </c>
      <c r="B281" s="5" t="s">
        <v>60</v>
      </c>
      <c r="C281" s="4" t="s">
        <v>61</v>
      </c>
      <c r="D281" s="5" t="s">
        <v>126</v>
      </c>
      <c r="E281" s="4" t="s">
        <v>44</v>
      </c>
      <c r="F281" s="4" t="s">
        <v>45</v>
      </c>
      <c r="G281" s="4" t="s">
        <v>13</v>
      </c>
      <c r="H281" s="6">
        <v>4</v>
      </c>
      <c r="I281" s="7">
        <v>95000</v>
      </c>
      <c r="J281" s="7">
        <f t="shared" si="4"/>
        <v>380000</v>
      </c>
      <c r="K281" s="8" t="s">
        <v>12</v>
      </c>
    </row>
    <row r="282" spans="1:11" x14ac:dyDescent="0.25">
      <c r="A282" s="4" t="s">
        <v>125</v>
      </c>
      <c r="B282" s="5" t="s">
        <v>60</v>
      </c>
      <c r="C282" s="4" t="s">
        <v>61</v>
      </c>
      <c r="D282" s="5" t="s">
        <v>126</v>
      </c>
      <c r="E282" s="4" t="s">
        <v>20</v>
      </c>
      <c r="F282" s="4" t="s">
        <v>21</v>
      </c>
      <c r="G282" s="4" t="s">
        <v>13</v>
      </c>
      <c r="H282" s="6">
        <v>0.5</v>
      </c>
      <c r="I282" s="7">
        <v>45000</v>
      </c>
      <c r="J282" s="7">
        <f t="shared" si="4"/>
        <v>22500</v>
      </c>
      <c r="K282" s="8" t="s">
        <v>12</v>
      </c>
    </row>
    <row r="283" spans="1:11" x14ac:dyDescent="0.25">
      <c r="A283" s="4" t="s">
        <v>125</v>
      </c>
      <c r="B283" s="5" t="s">
        <v>60</v>
      </c>
      <c r="C283" s="4" t="s">
        <v>61</v>
      </c>
      <c r="D283" s="5" t="s">
        <v>126</v>
      </c>
      <c r="E283" s="4" t="s">
        <v>46</v>
      </c>
      <c r="F283" s="4" t="s">
        <v>47</v>
      </c>
      <c r="G283" s="4" t="s">
        <v>13</v>
      </c>
      <c r="H283" s="6">
        <v>0.2</v>
      </c>
      <c r="I283" s="7">
        <v>70000</v>
      </c>
      <c r="J283" s="7">
        <f t="shared" si="4"/>
        <v>14000</v>
      </c>
      <c r="K283" s="8" t="s">
        <v>12</v>
      </c>
    </row>
    <row r="284" spans="1:11" x14ac:dyDescent="0.25">
      <c r="A284" s="4" t="s">
        <v>125</v>
      </c>
      <c r="B284" s="5" t="s">
        <v>60</v>
      </c>
      <c r="C284" s="4" t="s">
        <v>61</v>
      </c>
      <c r="D284" s="5" t="s">
        <v>126</v>
      </c>
      <c r="E284" s="4" t="s">
        <v>76</v>
      </c>
      <c r="F284" s="4" t="s">
        <v>77</v>
      </c>
      <c r="G284" s="4" t="s">
        <v>13</v>
      </c>
      <c r="H284" s="6">
        <v>4</v>
      </c>
      <c r="I284" s="7">
        <v>38000</v>
      </c>
      <c r="J284" s="7">
        <f t="shared" si="4"/>
        <v>152000</v>
      </c>
      <c r="K284" s="8" t="s">
        <v>12</v>
      </c>
    </row>
    <row r="285" spans="1:11" x14ac:dyDescent="0.25">
      <c r="A285" s="4" t="s">
        <v>125</v>
      </c>
      <c r="B285" s="5" t="s">
        <v>60</v>
      </c>
      <c r="C285" s="4" t="s">
        <v>61</v>
      </c>
      <c r="D285" s="5" t="s">
        <v>126</v>
      </c>
      <c r="E285" s="4" t="s">
        <v>14</v>
      </c>
      <c r="F285" s="4" t="s">
        <v>15</v>
      </c>
      <c r="G285" s="4" t="s">
        <v>13</v>
      </c>
      <c r="H285" s="6">
        <v>0.5</v>
      </c>
      <c r="I285" s="7">
        <v>50000</v>
      </c>
      <c r="J285" s="7">
        <f t="shared" si="4"/>
        <v>25000</v>
      </c>
      <c r="K285" s="8" t="s">
        <v>12</v>
      </c>
    </row>
    <row r="286" spans="1:11" x14ac:dyDescent="0.25">
      <c r="A286" s="4" t="s">
        <v>125</v>
      </c>
      <c r="B286" s="5" t="s">
        <v>60</v>
      </c>
      <c r="C286" s="4" t="s">
        <v>61</v>
      </c>
      <c r="D286" s="5" t="s">
        <v>126</v>
      </c>
      <c r="E286" s="4" t="s">
        <v>48</v>
      </c>
      <c r="F286" s="4" t="s">
        <v>49</v>
      </c>
      <c r="G286" s="4" t="s">
        <v>13</v>
      </c>
      <c r="H286" s="6">
        <v>6</v>
      </c>
      <c r="I286" s="7">
        <v>62000</v>
      </c>
      <c r="J286" s="7">
        <f t="shared" si="4"/>
        <v>372000</v>
      </c>
      <c r="K286" s="8" t="s">
        <v>12</v>
      </c>
    </row>
    <row r="287" spans="1:11" x14ac:dyDescent="0.25">
      <c r="A287" s="4" t="s">
        <v>125</v>
      </c>
      <c r="B287" s="5" t="s">
        <v>60</v>
      </c>
      <c r="C287" s="4" t="s">
        <v>61</v>
      </c>
      <c r="D287" s="5" t="s">
        <v>127</v>
      </c>
      <c r="E287" s="4" t="s">
        <v>38</v>
      </c>
      <c r="F287" s="4" t="s">
        <v>39</v>
      </c>
      <c r="G287" s="4" t="s">
        <v>13</v>
      </c>
      <c r="H287" s="6">
        <v>4</v>
      </c>
      <c r="I287" s="7">
        <v>47000</v>
      </c>
      <c r="J287" s="7">
        <f t="shared" si="4"/>
        <v>188000</v>
      </c>
      <c r="K287" s="8" t="s">
        <v>12</v>
      </c>
    </row>
    <row r="288" spans="1:11" x14ac:dyDescent="0.25">
      <c r="A288" s="4" t="s">
        <v>128</v>
      </c>
      <c r="B288" s="5" t="s">
        <v>60</v>
      </c>
      <c r="C288" s="4" t="s">
        <v>61</v>
      </c>
      <c r="D288" s="5" t="s">
        <v>129</v>
      </c>
      <c r="E288" s="4" t="s">
        <v>31</v>
      </c>
      <c r="F288" s="4" t="s">
        <v>32</v>
      </c>
      <c r="G288" s="4" t="s">
        <v>33</v>
      </c>
      <c r="H288" s="6">
        <v>4</v>
      </c>
      <c r="I288" s="7">
        <v>8500</v>
      </c>
      <c r="J288" s="7">
        <f t="shared" si="4"/>
        <v>34000</v>
      </c>
      <c r="K288" s="8" t="s">
        <v>12</v>
      </c>
    </row>
    <row r="289" spans="1:11" x14ac:dyDescent="0.25">
      <c r="A289" s="4" t="s">
        <v>128</v>
      </c>
      <c r="B289" s="5" t="s">
        <v>60</v>
      </c>
      <c r="C289" s="4" t="s">
        <v>61</v>
      </c>
      <c r="D289" s="5" t="s">
        <v>129</v>
      </c>
      <c r="E289" s="4" t="s">
        <v>62</v>
      </c>
      <c r="F289" s="4" t="s">
        <v>63</v>
      </c>
      <c r="G289" s="4" t="s">
        <v>13</v>
      </c>
      <c r="H289" s="6">
        <v>3</v>
      </c>
      <c r="I289" s="7">
        <v>45000</v>
      </c>
      <c r="J289" s="7">
        <f t="shared" si="4"/>
        <v>135000</v>
      </c>
      <c r="K289" s="8" t="s">
        <v>12</v>
      </c>
    </row>
    <row r="290" spans="1:11" x14ac:dyDescent="0.25">
      <c r="A290" s="4" t="s">
        <v>128</v>
      </c>
      <c r="B290" s="5" t="s">
        <v>60</v>
      </c>
      <c r="C290" s="4" t="s">
        <v>61</v>
      </c>
      <c r="D290" s="5" t="s">
        <v>129</v>
      </c>
      <c r="E290" s="4" t="s">
        <v>64</v>
      </c>
      <c r="F290" s="4" t="s">
        <v>65</v>
      </c>
      <c r="G290" s="4" t="s">
        <v>13</v>
      </c>
      <c r="H290" s="6">
        <v>1</v>
      </c>
      <c r="I290" s="7">
        <v>50000</v>
      </c>
      <c r="J290" s="7">
        <f t="shared" si="4"/>
        <v>50000</v>
      </c>
      <c r="K290" s="8" t="s">
        <v>12</v>
      </c>
    </row>
    <row r="291" spans="1:11" x14ac:dyDescent="0.25">
      <c r="A291" s="4" t="s">
        <v>128</v>
      </c>
      <c r="B291" s="5" t="s">
        <v>60</v>
      </c>
      <c r="C291" s="4" t="s">
        <v>61</v>
      </c>
      <c r="D291" s="5" t="s">
        <v>129</v>
      </c>
      <c r="E291" s="4" t="s">
        <v>66</v>
      </c>
      <c r="F291" s="4" t="s">
        <v>67</v>
      </c>
      <c r="G291" s="4" t="s">
        <v>13</v>
      </c>
      <c r="H291" s="6">
        <v>8</v>
      </c>
      <c r="I291" s="7">
        <v>18000</v>
      </c>
      <c r="J291" s="7">
        <f t="shared" si="4"/>
        <v>144000</v>
      </c>
      <c r="K291" s="8" t="s">
        <v>12</v>
      </c>
    </row>
    <row r="292" spans="1:11" x14ac:dyDescent="0.25">
      <c r="A292" s="4" t="s">
        <v>128</v>
      </c>
      <c r="B292" s="5" t="s">
        <v>60</v>
      </c>
      <c r="C292" s="4" t="s">
        <v>61</v>
      </c>
      <c r="D292" s="5" t="s">
        <v>129</v>
      </c>
      <c r="E292" s="4" t="s">
        <v>25</v>
      </c>
      <c r="F292" s="4" t="s">
        <v>26</v>
      </c>
      <c r="G292" s="4" t="s">
        <v>13</v>
      </c>
      <c r="H292" s="6">
        <v>0.5</v>
      </c>
      <c r="I292" s="7">
        <v>22000</v>
      </c>
      <c r="J292" s="7">
        <f t="shared" si="4"/>
        <v>11000</v>
      </c>
      <c r="K292" s="8" t="s">
        <v>12</v>
      </c>
    </row>
    <row r="293" spans="1:11" x14ac:dyDescent="0.25">
      <c r="A293" s="4" t="s">
        <v>128</v>
      </c>
      <c r="B293" s="5" t="s">
        <v>60</v>
      </c>
      <c r="C293" s="4" t="s">
        <v>61</v>
      </c>
      <c r="D293" s="5" t="s">
        <v>129</v>
      </c>
      <c r="E293" s="4" t="s">
        <v>68</v>
      </c>
      <c r="F293" s="4" t="s">
        <v>69</v>
      </c>
      <c r="G293" s="4" t="s">
        <v>13</v>
      </c>
      <c r="H293" s="6">
        <v>1</v>
      </c>
      <c r="I293" s="7">
        <v>13000</v>
      </c>
      <c r="J293" s="7">
        <f t="shared" si="4"/>
        <v>13000</v>
      </c>
      <c r="K293" s="8" t="s">
        <v>12</v>
      </c>
    </row>
    <row r="294" spans="1:11" x14ac:dyDescent="0.25">
      <c r="A294" s="4" t="s">
        <v>128</v>
      </c>
      <c r="B294" s="5" t="s">
        <v>60</v>
      </c>
      <c r="C294" s="4" t="s">
        <v>61</v>
      </c>
      <c r="D294" s="5" t="s">
        <v>129</v>
      </c>
      <c r="E294" s="4" t="s">
        <v>16</v>
      </c>
      <c r="F294" s="4" t="s">
        <v>17</v>
      </c>
      <c r="G294" s="4" t="s">
        <v>13</v>
      </c>
      <c r="H294" s="6">
        <v>1</v>
      </c>
      <c r="I294" s="7">
        <v>47000</v>
      </c>
      <c r="J294" s="7">
        <f t="shared" si="4"/>
        <v>47000</v>
      </c>
      <c r="K294" s="8" t="s">
        <v>12</v>
      </c>
    </row>
    <row r="295" spans="1:11" x14ac:dyDescent="0.25">
      <c r="A295" s="4" t="s">
        <v>128</v>
      </c>
      <c r="B295" s="5" t="s">
        <v>60</v>
      </c>
      <c r="C295" s="4" t="s">
        <v>61</v>
      </c>
      <c r="D295" s="5" t="s">
        <v>129</v>
      </c>
      <c r="E295" s="4" t="s">
        <v>50</v>
      </c>
      <c r="F295" s="4" t="s">
        <v>51</v>
      </c>
      <c r="G295" s="4" t="s">
        <v>13</v>
      </c>
      <c r="H295" s="6">
        <v>17.5</v>
      </c>
      <c r="I295" s="7">
        <v>18000</v>
      </c>
      <c r="J295" s="7">
        <f t="shared" si="4"/>
        <v>315000</v>
      </c>
      <c r="K295" s="8" t="s">
        <v>12</v>
      </c>
    </row>
    <row r="296" spans="1:11" x14ac:dyDescent="0.25">
      <c r="A296" s="4" t="s">
        <v>128</v>
      </c>
      <c r="B296" s="5" t="s">
        <v>60</v>
      </c>
      <c r="C296" s="4" t="s">
        <v>61</v>
      </c>
      <c r="D296" s="5" t="s">
        <v>129</v>
      </c>
      <c r="E296" s="4" t="s">
        <v>18</v>
      </c>
      <c r="F296" s="4" t="s">
        <v>19</v>
      </c>
      <c r="G296" s="4" t="s">
        <v>13</v>
      </c>
      <c r="H296" s="6">
        <v>1.5</v>
      </c>
      <c r="I296" s="7">
        <v>55000</v>
      </c>
      <c r="J296" s="7">
        <f t="shared" si="4"/>
        <v>82500</v>
      </c>
      <c r="K296" s="8" t="s">
        <v>12</v>
      </c>
    </row>
    <row r="297" spans="1:11" x14ac:dyDescent="0.25">
      <c r="A297" s="4" t="s">
        <v>128</v>
      </c>
      <c r="B297" s="5" t="s">
        <v>60</v>
      </c>
      <c r="C297" s="4" t="s">
        <v>61</v>
      </c>
      <c r="D297" s="5" t="s">
        <v>129</v>
      </c>
      <c r="E297" s="4" t="s">
        <v>80</v>
      </c>
      <c r="F297" s="4" t="s">
        <v>81</v>
      </c>
      <c r="G297" s="4" t="s">
        <v>82</v>
      </c>
      <c r="H297" s="6">
        <v>1</v>
      </c>
      <c r="I297" s="7">
        <v>80000</v>
      </c>
      <c r="J297" s="7">
        <f t="shared" si="4"/>
        <v>80000</v>
      </c>
      <c r="K297" s="8" t="s">
        <v>12</v>
      </c>
    </row>
    <row r="298" spans="1:11" x14ac:dyDescent="0.25">
      <c r="A298" s="4" t="s">
        <v>128</v>
      </c>
      <c r="B298" s="5" t="s">
        <v>60</v>
      </c>
      <c r="C298" s="4" t="s">
        <v>61</v>
      </c>
      <c r="D298" s="5" t="s">
        <v>129</v>
      </c>
      <c r="E298" s="4" t="s">
        <v>70</v>
      </c>
      <c r="F298" s="4" t="s">
        <v>71</v>
      </c>
      <c r="G298" s="4" t="s">
        <v>13</v>
      </c>
      <c r="H298" s="6">
        <v>0.56999999999999995</v>
      </c>
      <c r="I298" s="7">
        <v>30000</v>
      </c>
      <c r="J298" s="7">
        <f t="shared" si="4"/>
        <v>17100</v>
      </c>
      <c r="K298" s="8" t="s">
        <v>12</v>
      </c>
    </row>
    <row r="299" spans="1:11" x14ac:dyDescent="0.25">
      <c r="A299" s="4" t="s">
        <v>128</v>
      </c>
      <c r="B299" s="5" t="s">
        <v>60</v>
      </c>
      <c r="C299" s="4" t="s">
        <v>61</v>
      </c>
      <c r="D299" s="5" t="s">
        <v>129</v>
      </c>
      <c r="E299" s="4" t="s">
        <v>74</v>
      </c>
      <c r="F299" s="4" t="s">
        <v>75</v>
      </c>
      <c r="G299" s="4" t="s">
        <v>13</v>
      </c>
      <c r="H299" s="6">
        <v>2.9</v>
      </c>
      <c r="I299" s="7">
        <v>22000</v>
      </c>
      <c r="J299" s="7">
        <f t="shared" si="4"/>
        <v>63800</v>
      </c>
      <c r="K299" s="8" t="s">
        <v>12</v>
      </c>
    </row>
    <row r="300" spans="1:11" x14ac:dyDescent="0.25">
      <c r="A300" s="4" t="s">
        <v>128</v>
      </c>
      <c r="B300" s="5" t="s">
        <v>60</v>
      </c>
      <c r="C300" s="4" t="s">
        <v>61</v>
      </c>
      <c r="D300" s="5" t="s">
        <v>129</v>
      </c>
      <c r="E300" s="4" t="s">
        <v>36</v>
      </c>
      <c r="F300" s="4" t="s">
        <v>37</v>
      </c>
      <c r="G300" s="4" t="s">
        <v>13</v>
      </c>
      <c r="H300" s="6">
        <v>2</v>
      </c>
      <c r="I300" s="7">
        <v>145000</v>
      </c>
      <c r="J300" s="7">
        <f t="shared" si="4"/>
        <v>290000</v>
      </c>
      <c r="K300" s="8" t="s">
        <v>12</v>
      </c>
    </row>
    <row r="301" spans="1:11" x14ac:dyDescent="0.25">
      <c r="A301" s="4" t="s">
        <v>128</v>
      </c>
      <c r="B301" s="5" t="s">
        <v>60</v>
      </c>
      <c r="C301" s="4" t="s">
        <v>61</v>
      </c>
      <c r="D301" s="5" t="s">
        <v>129</v>
      </c>
      <c r="E301" s="4" t="s">
        <v>38</v>
      </c>
      <c r="F301" s="4" t="s">
        <v>39</v>
      </c>
      <c r="G301" s="4" t="s">
        <v>13</v>
      </c>
      <c r="H301" s="6">
        <v>4</v>
      </c>
      <c r="I301" s="7">
        <v>47000</v>
      </c>
      <c r="J301" s="7">
        <f t="shared" si="4"/>
        <v>188000</v>
      </c>
      <c r="K301" s="8" t="s">
        <v>12</v>
      </c>
    </row>
    <row r="302" spans="1:11" x14ac:dyDescent="0.25">
      <c r="A302" s="4" t="s">
        <v>128</v>
      </c>
      <c r="B302" s="5" t="s">
        <v>60</v>
      </c>
      <c r="C302" s="4" t="s">
        <v>61</v>
      </c>
      <c r="D302" s="5" t="s">
        <v>129</v>
      </c>
      <c r="E302" s="4" t="s">
        <v>42</v>
      </c>
      <c r="F302" s="4" t="s">
        <v>43</v>
      </c>
      <c r="G302" s="4" t="s">
        <v>13</v>
      </c>
      <c r="H302" s="6">
        <v>3</v>
      </c>
      <c r="I302" s="7">
        <v>45000</v>
      </c>
      <c r="J302" s="7">
        <f t="shared" si="4"/>
        <v>135000</v>
      </c>
      <c r="K302" s="8" t="s">
        <v>12</v>
      </c>
    </row>
    <row r="303" spans="1:11" ht="28.5" x14ac:dyDescent="0.25">
      <c r="A303" s="4" t="s">
        <v>128</v>
      </c>
      <c r="B303" s="5" t="s">
        <v>60</v>
      </c>
      <c r="C303" s="4" t="s">
        <v>61</v>
      </c>
      <c r="D303" s="5" t="s">
        <v>129</v>
      </c>
      <c r="E303" s="4" t="s">
        <v>44</v>
      </c>
      <c r="F303" s="4" t="s">
        <v>45</v>
      </c>
      <c r="G303" s="4" t="s">
        <v>13</v>
      </c>
      <c r="H303" s="6">
        <v>4</v>
      </c>
      <c r="I303" s="7">
        <v>95000</v>
      </c>
      <c r="J303" s="7">
        <f t="shared" si="4"/>
        <v>380000</v>
      </c>
      <c r="K303" s="8" t="s">
        <v>12</v>
      </c>
    </row>
    <row r="304" spans="1:11" x14ac:dyDescent="0.25">
      <c r="A304" s="4" t="s">
        <v>128</v>
      </c>
      <c r="B304" s="5" t="s">
        <v>60</v>
      </c>
      <c r="C304" s="4" t="s">
        <v>61</v>
      </c>
      <c r="D304" s="5" t="s">
        <v>129</v>
      </c>
      <c r="E304" s="4" t="s">
        <v>20</v>
      </c>
      <c r="F304" s="4" t="s">
        <v>21</v>
      </c>
      <c r="G304" s="4" t="s">
        <v>13</v>
      </c>
      <c r="H304" s="6">
        <v>1.5</v>
      </c>
      <c r="I304" s="7">
        <v>45000</v>
      </c>
      <c r="J304" s="7">
        <f t="shared" si="4"/>
        <v>67500</v>
      </c>
      <c r="K304" s="8" t="s">
        <v>12</v>
      </c>
    </row>
    <row r="305" spans="1:11" x14ac:dyDescent="0.25">
      <c r="A305" s="4" t="s">
        <v>128</v>
      </c>
      <c r="B305" s="5" t="s">
        <v>60</v>
      </c>
      <c r="C305" s="4" t="s">
        <v>61</v>
      </c>
      <c r="D305" s="5" t="s">
        <v>129</v>
      </c>
      <c r="E305" s="4" t="s">
        <v>29</v>
      </c>
      <c r="F305" s="4" t="s">
        <v>30</v>
      </c>
      <c r="G305" s="4" t="s">
        <v>13</v>
      </c>
      <c r="H305" s="6">
        <v>1</v>
      </c>
      <c r="I305" s="7">
        <v>145000</v>
      </c>
      <c r="J305" s="7">
        <f t="shared" si="4"/>
        <v>145000</v>
      </c>
      <c r="K305" s="8" t="s">
        <v>12</v>
      </c>
    </row>
    <row r="306" spans="1:11" x14ac:dyDescent="0.25">
      <c r="A306" s="4" t="s">
        <v>128</v>
      </c>
      <c r="B306" s="5" t="s">
        <v>60</v>
      </c>
      <c r="C306" s="4" t="s">
        <v>61</v>
      </c>
      <c r="D306" s="5" t="s">
        <v>129</v>
      </c>
      <c r="E306" s="4" t="s">
        <v>27</v>
      </c>
      <c r="F306" s="4" t="s">
        <v>28</v>
      </c>
      <c r="G306" s="4" t="s">
        <v>13</v>
      </c>
      <c r="H306" s="6">
        <v>5</v>
      </c>
      <c r="I306" s="7">
        <v>21000</v>
      </c>
      <c r="J306" s="7">
        <f t="shared" si="4"/>
        <v>105000</v>
      </c>
      <c r="K306" s="8" t="s">
        <v>12</v>
      </c>
    </row>
    <row r="307" spans="1:11" x14ac:dyDescent="0.25">
      <c r="A307" s="4" t="s">
        <v>128</v>
      </c>
      <c r="B307" s="5" t="s">
        <v>60</v>
      </c>
      <c r="C307" s="4" t="s">
        <v>61</v>
      </c>
      <c r="D307" s="5" t="s">
        <v>129</v>
      </c>
      <c r="E307" s="4" t="s">
        <v>76</v>
      </c>
      <c r="F307" s="4" t="s">
        <v>77</v>
      </c>
      <c r="G307" s="4" t="s">
        <v>13</v>
      </c>
      <c r="H307" s="6">
        <v>3</v>
      </c>
      <c r="I307" s="7">
        <v>38000</v>
      </c>
      <c r="J307" s="7">
        <f t="shared" si="4"/>
        <v>114000</v>
      </c>
      <c r="K307" s="8" t="s">
        <v>12</v>
      </c>
    </row>
    <row r="308" spans="1:11" x14ac:dyDescent="0.25">
      <c r="A308" s="4" t="s">
        <v>128</v>
      </c>
      <c r="B308" s="5" t="s">
        <v>60</v>
      </c>
      <c r="C308" s="4" t="s">
        <v>61</v>
      </c>
      <c r="D308" s="5" t="s">
        <v>129</v>
      </c>
      <c r="E308" s="4" t="s">
        <v>14</v>
      </c>
      <c r="F308" s="4" t="s">
        <v>15</v>
      </c>
      <c r="G308" s="4" t="s">
        <v>13</v>
      </c>
      <c r="H308" s="6">
        <v>1.6</v>
      </c>
      <c r="I308" s="7">
        <v>50000</v>
      </c>
      <c r="J308" s="7">
        <f t="shared" si="4"/>
        <v>80000</v>
      </c>
      <c r="K308" s="8" t="s">
        <v>12</v>
      </c>
    </row>
    <row r="309" spans="1:11" x14ac:dyDescent="0.25">
      <c r="A309" s="4" t="s">
        <v>128</v>
      </c>
      <c r="B309" s="5" t="s">
        <v>60</v>
      </c>
      <c r="C309" s="4" t="s">
        <v>61</v>
      </c>
      <c r="D309" s="5" t="s">
        <v>129</v>
      </c>
      <c r="E309" s="4" t="s">
        <v>48</v>
      </c>
      <c r="F309" s="4" t="s">
        <v>49</v>
      </c>
      <c r="G309" s="4" t="s">
        <v>13</v>
      </c>
      <c r="H309" s="6">
        <v>6</v>
      </c>
      <c r="I309" s="7">
        <v>62000</v>
      </c>
      <c r="J309" s="7">
        <f t="shared" si="4"/>
        <v>372000</v>
      </c>
      <c r="K309" s="8" t="s">
        <v>12</v>
      </c>
    </row>
    <row r="310" spans="1:11" x14ac:dyDescent="0.25">
      <c r="A310" s="4" t="s">
        <v>130</v>
      </c>
      <c r="B310" s="5" t="s">
        <v>60</v>
      </c>
      <c r="C310" s="4" t="s">
        <v>61</v>
      </c>
      <c r="D310" s="5" t="s">
        <v>131</v>
      </c>
      <c r="E310" s="4" t="s">
        <v>31</v>
      </c>
      <c r="F310" s="4" t="s">
        <v>32</v>
      </c>
      <c r="G310" s="4" t="s">
        <v>33</v>
      </c>
      <c r="H310" s="6">
        <v>4</v>
      </c>
      <c r="I310" s="7">
        <v>8500</v>
      </c>
      <c r="J310" s="7">
        <f t="shared" si="4"/>
        <v>34000</v>
      </c>
      <c r="K310" s="8" t="s">
        <v>12</v>
      </c>
    </row>
    <row r="311" spans="1:11" x14ac:dyDescent="0.25">
      <c r="A311" s="4" t="s">
        <v>130</v>
      </c>
      <c r="B311" s="5" t="s">
        <v>60</v>
      </c>
      <c r="C311" s="4" t="s">
        <v>61</v>
      </c>
      <c r="D311" s="5" t="s">
        <v>131</v>
      </c>
      <c r="E311" s="4" t="s">
        <v>62</v>
      </c>
      <c r="F311" s="4" t="s">
        <v>63</v>
      </c>
      <c r="G311" s="4" t="s">
        <v>13</v>
      </c>
      <c r="H311" s="6">
        <v>3</v>
      </c>
      <c r="I311" s="7">
        <v>45000</v>
      </c>
      <c r="J311" s="7">
        <f t="shared" si="4"/>
        <v>135000</v>
      </c>
      <c r="K311" s="8" t="s">
        <v>12</v>
      </c>
    </row>
    <row r="312" spans="1:11" x14ac:dyDescent="0.25">
      <c r="A312" s="4" t="s">
        <v>130</v>
      </c>
      <c r="B312" s="5" t="s">
        <v>60</v>
      </c>
      <c r="C312" s="4" t="s">
        <v>61</v>
      </c>
      <c r="D312" s="5" t="s">
        <v>131</v>
      </c>
      <c r="E312" s="4" t="s">
        <v>66</v>
      </c>
      <c r="F312" s="4" t="s">
        <v>67</v>
      </c>
      <c r="G312" s="4" t="s">
        <v>13</v>
      </c>
      <c r="H312" s="6">
        <v>7</v>
      </c>
      <c r="I312" s="7">
        <v>18000</v>
      </c>
      <c r="J312" s="7">
        <f t="shared" si="4"/>
        <v>126000</v>
      </c>
      <c r="K312" s="8" t="s">
        <v>12</v>
      </c>
    </row>
    <row r="313" spans="1:11" x14ac:dyDescent="0.25">
      <c r="A313" s="4" t="s">
        <v>130</v>
      </c>
      <c r="B313" s="5" t="s">
        <v>60</v>
      </c>
      <c r="C313" s="4" t="s">
        <v>61</v>
      </c>
      <c r="D313" s="5" t="s">
        <v>131</v>
      </c>
      <c r="E313" s="4" t="s">
        <v>54</v>
      </c>
      <c r="F313" s="4" t="s">
        <v>55</v>
      </c>
      <c r="G313" s="4" t="s">
        <v>13</v>
      </c>
      <c r="H313" s="6">
        <v>0.5</v>
      </c>
      <c r="I313" s="7">
        <v>75000</v>
      </c>
      <c r="J313" s="7">
        <f t="shared" si="4"/>
        <v>37500</v>
      </c>
      <c r="K313" s="8" t="s">
        <v>12</v>
      </c>
    </row>
    <row r="314" spans="1:11" x14ac:dyDescent="0.25">
      <c r="A314" s="4" t="s">
        <v>130</v>
      </c>
      <c r="B314" s="5" t="s">
        <v>60</v>
      </c>
      <c r="C314" s="4" t="s">
        <v>61</v>
      </c>
      <c r="D314" s="5" t="s">
        <v>131</v>
      </c>
      <c r="E314" s="4" t="s">
        <v>50</v>
      </c>
      <c r="F314" s="4" t="s">
        <v>51</v>
      </c>
      <c r="G314" s="4" t="s">
        <v>13</v>
      </c>
      <c r="H314" s="6">
        <v>20.5</v>
      </c>
      <c r="I314" s="7">
        <v>18000</v>
      </c>
      <c r="J314" s="7">
        <f t="shared" si="4"/>
        <v>369000</v>
      </c>
      <c r="K314" s="8" t="s">
        <v>12</v>
      </c>
    </row>
    <row r="315" spans="1:11" x14ac:dyDescent="0.25">
      <c r="A315" s="4" t="s">
        <v>130</v>
      </c>
      <c r="B315" s="5" t="s">
        <v>60</v>
      </c>
      <c r="C315" s="4" t="s">
        <v>61</v>
      </c>
      <c r="D315" s="5" t="s">
        <v>131</v>
      </c>
      <c r="E315" s="4" t="s">
        <v>18</v>
      </c>
      <c r="F315" s="4" t="s">
        <v>19</v>
      </c>
      <c r="G315" s="4" t="s">
        <v>13</v>
      </c>
      <c r="H315" s="6">
        <v>1.5</v>
      </c>
      <c r="I315" s="7">
        <v>55000</v>
      </c>
      <c r="J315" s="7">
        <f t="shared" si="4"/>
        <v>82500</v>
      </c>
      <c r="K315" s="8" t="s">
        <v>12</v>
      </c>
    </row>
    <row r="316" spans="1:11" x14ac:dyDescent="0.25">
      <c r="A316" s="4" t="s">
        <v>130</v>
      </c>
      <c r="B316" s="5" t="s">
        <v>60</v>
      </c>
      <c r="C316" s="4" t="s">
        <v>61</v>
      </c>
      <c r="D316" s="5" t="s">
        <v>131</v>
      </c>
      <c r="E316" s="4" t="s">
        <v>80</v>
      </c>
      <c r="F316" s="4" t="s">
        <v>81</v>
      </c>
      <c r="G316" s="4" t="s">
        <v>82</v>
      </c>
      <c r="H316" s="6">
        <v>1</v>
      </c>
      <c r="I316" s="7">
        <v>80000</v>
      </c>
      <c r="J316" s="7">
        <f t="shared" si="4"/>
        <v>80000</v>
      </c>
      <c r="K316" s="8" t="s">
        <v>12</v>
      </c>
    </row>
    <row r="317" spans="1:11" x14ac:dyDescent="0.25">
      <c r="A317" s="4" t="s">
        <v>130</v>
      </c>
      <c r="B317" s="5" t="s">
        <v>60</v>
      </c>
      <c r="C317" s="4" t="s">
        <v>61</v>
      </c>
      <c r="D317" s="5" t="s">
        <v>131</v>
      </c>
      <c r="E317" s="4" t="s">
        <v>52</v>
      </c>
      <c r="F317" s="4" t="s">
        <v>53</v>
      </c>
      <c r="G317" s="4" t="s">
        <v>13</v>
      </c>
      <c r="H317" s="6">
        <v>0.2</v>
      </c>
      <c r="I317" s="7">
        <v>65000</v>
      </c>
      <c r="J317" s="7">
        <f t="shared" si="4"/>
        <v>13000</v>
      </c>
      <c r="K317" s="8" t="s">
        <v>12</v>
      </c>
    </row>
    <row r="318" spans="1:11" x14ac:dyDescent="0.25">
      <c r="A318" s="4" t="s">
        <v>130</v>
      </c>
      <c r="B318" s="5" t="s">
        <v>60</v>
      </c>
      <c r="C318" s="4" t="s">
        <v>61</v>
      </c>
      <c r="D318" s="5" t="s">
        <v>131</v>
      </c>
      <c r="E318" s="4" t="s">
        <v>74</v>
      </c>
      <c r="F318" s="4" t="s">
        <v>75</v>
      </c>
      <c r="G318" s="4" t="s">
        <v>13</v>
      </c>
      <c r="H318" s="6">
        <v>4</v>
      </c>
      <c r="I318" s="7">
        <v>22000</v>
      </c>
      <c r="J318" s="7">
        <f t="shared" si="4"/>
        <v>88000</v>
      </c>
      <c r="K318" s="8" t="s">
        <v>12</v>
      </c>
    </row>
    <row r="319" spans="1:11" x14ac:dyDescent="0.25">
      <c r="A319" s="4" t="s">
        <v>130</v>
      </c>
      <c r="B319" s="5" t="s">
        <v>60</v>
      </c>
      <c r="C319" s="4" t="s">
        <v>61</v>
      </c>
      <c r="D319" s="5" t="s">
        <v>131</v>
      </c>
      <c r="E319" s="4" t="s">
        <v>36</v>
      </c>
      <c r="F319" s="4" t="s">
        <v>37</v>
      </c>
      <c r="G319" s="4" t="s">
        <v>13</v>
      </c>
      <c r="H319" s="6">
        <v>2</v>
      </c>
      <c r="I319" s="7">
        <v>145000</v>
      </c>
      <c r="J319" s="7">
        <f t="shared" si="4"/>
        <v>290000</v>
      </c>
      <c r="K319" s="8" t="s">
        <v>12</v>
      </c>
    </row>
    <row r="320" spans="1:11" x14ac:dyDescent="0.25">
      <c r="A320" s="4" t="s">
        <v>130</v>
      </c>
      <c r="B320" s="5" t="s">
        <v>60</v>
      </c>
      <c r="C320" s="4" t="s">
        <v>61</v>
      </c>
      <c r="D320" s="5" t="s">
        <v>131</v>
      </c>
      <c r="E320" s="4" t="s">
        <v>38</v>
      </c>
      <c r="F320" s="4" t="s">
        <v>39</v>
      </c>
      <c r="G320" s="4" t="s">
        <v>13</v>
      </c>
      <c r="H320" s="6">
        <v>4</v>
      </c>
      <c r="I320" s="7">
        <v>47000</v>
      </c>
      <c r="J320" s="7">
        <f t="shared" si="4"/>
        <v>188000</v>
      </c>
      <c r="K320" s="8" t="s">
        <v>12</v>
      </c>
    </row>
    <row r="321" spans="1:11" x14ac:dyDescent="0.25">
      <c r="A321" s="4" t="s">
        <v>130</v>
      </c>
      <c r="B321" s="5" t="s">
        <v>60</v>
      </c>
      <c r="C321" s="4" t="s">
        <v>61</v>
      </c>
      <c r="D321" s="5" t="s">
        <v>131</v>
      </c>
      <c r="E321" s="4" t="s">
        <v>40</v>
      </c>
      <c r="F321" s="4" t="s">
        <v>41</v>
      </c>
      <c r="G321" s="4" t="s">
        <v>13</v>
      </c>
      <c r="H321" s="6">
        <v>0.5</v>
      </c>
      <c r="I321" s="7">
        <v>80000</v>
      </c>
      <c r="J321" s="7">
        <f t="shared" si="4"/>
        <v>40000</v>
      </c>
      <c r="K321" s="8" t="s">
        <v>12</v>
      </c>
    </row>
    <row r="322" spans="1:11" x14ac:dyDescent="0.25">
      <c r="A322" s="4" t="s">
        <v>130</v>
      </c>
      <c r="B322" s="5" t="s">
        <v>60</v>
      </c>
      <c r="C322" s="4" t="s">
        <v>61</v>
      </c>
      <c r="D322" s="5" t="s">
        <v>131</v>
      </c>
      <c r="E322" s="4" t="s">
        <v>42</v>
      </c>
      <c r="F322" s="4" t="s">
        <v>43</v>
      </c>
      <c r="G322" s="4" t="s">
        <v>13</v>
      </c>
      <c r="H322" s="6">
        <v>1</v>
      </c>
      <c r="I322" s="7">
        <v>45000</v>
      </c>
      <c r="J322" s="7">
        <f t="shared" si="4"/>
        <v>45000</v>
      </c>
      <c r="K322" s="8" t="s">
        <v>12</v>
      </c>
    </row>
    <row r="323" spans="1:11" ht="28.5" x14ac:dyDescent="0.25">
      <c r="A323" s="4" t="s">
        <v>130</v>
      </c>
      <c r="B323" s="5" t="s">
        <v>60</v>
      </c>
      <c r="C323" s="4" t="s">
        <v>61</v>
      </c>
      <c r="D323" s="5" t="s">
        <v>131</v>
      </c>
      <c r="E323" s="4" t="s">
        <v>44</v>
      </c>
      <c r="F323" s="4" t="s">
        <v>45</v>
      </c>
      <c r="G323" s="4" t="s">
        <v>13</v>
      </c>
      <c r="H323" s="6">
        <v>3</v>
      </c>
      <c r="I323" s="7">
        <v>95000</v>
      </c>
      <c r="J323" s="7">
        <f t="shared" si="4"/>
        <v>285000</v>
      </c>
      <c r="K323" s="8" t="s">
        <v>12</v>
      </c>
    </row>
    <row r="324" spans="1:11" x14ac:dyDescent="0.25">
      <c r="A324" s="4" t="s">
        <v>130</v>
      </c>
      <c r="B324" s="5" t="s">
        <v>60</v>
      </c>
      <c r="C324" s="4" t="s">
        <v>61</v>
      </c>
      <c r="D324" s="5" t="s">
        <v>131</v>
      </c>
      <c r="E324" s="4" t="s">
        <v>20</v>
      </c>
      <c r="F324" s="4" t="s">
        <v>21</v>
      </c>
      <c r="G324" s="4" t="s">
        <v>13</v>
      </c>
      <c r="H324" s="6">
        <v>2</v>
      </c>
      <c r="I324" s="7">
        <v>45000</v>
      </c>
      <c r="J324" s="7">
        <f t="shared" si="4"/>
        <v>90000</v>
      </c>
      <c r="K324" s="8" t="s">
        <v>12</v>
      </c>
    </row>
    <row r="325" spans="1:11" x14ac:dyDescent="0.25">
      <c r="A325" s="4" t="s">
        <v>130</v>
      </c>
      <c r="B325" s="5" t="s">
        <v>60</v>
      </c>
      <c r="C325" s="4" t="s">
        <v>61</v>
      </c>
      <c r="D325" s="5" t="s">
        <v>131</v>
      </c>
      <c r="E325" s="4" t="s">
        <v>46</v>
      </c>
      <c r="F325" s="4" t="s">
        <v>47</v>
      </c>
      <c r="G325" s="4" t="s">
        <v>13</v>
      </c>
      <c r="H325" s="6">
        <v>0.2</v>
      </c>
      <c r="I325" s="7">
        <v>70000</v>
      </c>
      <c r="J325" s="7">
        <f t="shared" si="4"/>
        <v>14000</v>
      </c>
      <c r="K325" s="8" t="s">
        <v>12</v>
      </c>
    </row>
    <row r="326" spans="1:11" x14ac:dyDescent="0.25">
      <c r="A326" s="4" t="s">
        <v>130</v>
      </c>
      <c r="B326" s="5" t="s">
        <v>60</v>
      </c>
      <c r="C326" s="4" t="s">
        <v>61</v>
      </c>
      <c r="D326" s="5" t="s">
        <v>131</v>
      </c>
      <c r="E326" s="4" t="s">
        <v>29</v>
      </c>
      <c r="F326" s="4" t="s">
        <v>30</v>
      </c>
      <c r="G326" s="4" t="s">
        <v>13</v>
      </c>
      <c r="H326" s="6">
        <v>1</v>
      </c>
      <c r="I326" s="7">
        <v>145000</v>
      </c>
      <c r="J326" s="7">
        <f t="shared" si="4"/>
        <v>145000</v>
      </c>
      <c r="K326" s="8" t="s">
        <v>12</v>
      </c>
    </row>
    <row r="327" spans="1:11" x14ac:dyDescent="0.25">
      <c r="A327" s="4" t="s">
        <v>130</v>
      </c>
      <c r="B327" s="5" t="s">
        <v>60</v>
      </c>
      <c r="C327" s="4" t="s">
        <v>61</v>
      </c>
      <c r="D327" s="5" t="s">
        <v>131</v>
      </c>
      <c r="E327" s="4" t="s">
        <v>27</v>
      </c>
      <c r="F327" s="4" t="s">
        <v>28</v>
      </c>
      <c r="G327" s="4" t="s">
        <v>13</v>
      </c>
      <c r="H327" s="6">
        <v>5</v>
      </c>
      <c r="I327" s="7">
        <v>21000</v>
      </c>
      <c r="J327" s="7">
        <f t="shared" si="4"/>
        <v>105000</v>
      </c>
      <c r="K327" s="8" t="s">
        <v>12</v>
      </c>
    </row>
    <row r="328" spans="1:11" x14ac:dyDescent="0.25">
      <c r="A328" s="4" t="s">
        <v>130</v>
      </c>
      <c r="B328" s="5" t="s">
        <v>60</v>
      </c>
      <c r="C328" s="4" t="s">
        <v>61</v>
      </c>
      <c r="D328" s="5" t="s">
        <v>131</v>
      </c>
      <c r="E328" s="4" t="s">
        <v>76</v>
      </c>
      <c r="F328" s="4" t="s">
        <v>77</v>
      </c>
      <c r="G328" s="4" t="s">
        <v>13</v>
      </c>
      <c r="H328" s="6">
        <v>3</v>
      </c>
      <c r="I328" s="7">
        <v>38000</v>
      </c>
      <c r="J328" s="7">
        <f t="shared" si="4"/>
        <v>114000</v>
      </c>
      <c r="K328" s="8" t="s">
        <v>12</v>
      </c>
    </row>
    <row r="329" spans="1:11" x14ac:dyDescent="0.25">
      <c r="A329" s="4" t="s">
        <v>130</v>
      </c>
      <c r="B329" s="5" t="s">
        <v>60</v>
      </c>
      <c r="C329" s="4" t="s">
        <v>61</v>
      </c>
      <c r="D329" s="5" t="s">
        <v>131</v>
      </c>
      <c r="E329" s="4" t="s">
        <v>14</v>
      </c>
      <c r="F329" s="4" t="s">
        <v>15</v>
      </c>
      <c r="G329" s="4" t="s">
        <v>13</v>
      </c>
      <c r="H329" s="6">
        <v>1.5</v>
      </c>
      <c r="I329" s="7">
        <v>50000</v>
      </c>
      <c r="J329" s="7">
        <f t="shared" si="4"/>
        <v>75000</v>
      </c>
      <c r="K329" s="8" t="s">
        <v>12</v>
      </c>
    </row>
    <row r="330" spans="1:11" x14ac:dyDescent="0.25">
      <c r="A330" s="4" t="s">
        <v>130</v>
      </c>
      <c r="B330" s="5" t="s">
        <v>60</v>
      </c>
      <c r="C330" s="4" t="s">
        <v>61</v>
      </c>
      <c r="D330" s="5" t="s">
        <v>131</v>
      </c>
      <c r="E330" s="4" t="s">
        <v>48</v>
      </c>
      <c r="F330" s="4" t="s">
        <v>49</v>
      </c>
      <c r="G330" s="4" t="s">
        <v>13</v>
      </c>
      <c r="H330" s="6">
        <v>5</v>
      </c>
      <c r="I330" s="7">
        <v>62000</v>
      </c>
      <c r="J330" s="7">
        <f t="shared" si="4"/>
        <v>310000</v>
      </c>
      <c r="K330" s="8" t="s">
        <v>12</v>
      </c>
    </row>
  </sheetData>
  <autoFilter ref="A14:K330" xr:uid="{00000000-0001-0000-0000-000000000000}"/>
  <mergeCells count="7">
    <mergeCell ref="A10:K10"/>
    <mergeCell ref="A12:K12"/>
    <mergeCell ref="A2:C2"/>
    <mergeCell ref="D2:K2"/>
    <mergeCell ref="A4:K4"/>
    <mergeCell ref="A6:K6"/>
    <mergeCell ref="A8:K8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850A-FC3F-4425-922A-3A961DFAC361}">
  <dimension ref="A1:V301"/>
  <sheetViews>
    <sheetView showGridLines="0" tabSelected="1" topLeftCell="A10" workbookViewId="0">
      <selection activeCell="M31" sqref="M31"/>
    </sheetView>
  </sheetViews>
  <sheetFormatPr defaultRowHeight="15" x14ac:dyDescent="0.25"/>
  <cols>
    <col min="1" max="1" width="17.42578125" customWidth="1"/>
    <col min="2" max="2" width="20.5703125" hidden="1" customWidth="1"/>
    <col min="3" max="3" width="22.42578125" customWidth="1"/>
    <col min="4" max="4" width="29" hidden="1" customWidth="1"/>
    <col min="5" max="5" width="12" customWidth="1"/>
    <col min="6" max="6" width="20.85546875" customWidth="1"/>
    <col min="7" max="7" width="11" customWidth="1"/>
    <col min="8" max="8" width="17.140625" customWidth="1"/>
    <col min="9" max="9" width="18.28515625" customWidth="1"/>
    <col min="10" max="10" width="14.7109375" customWidth="1"/>
    <col min="11" max="11" width="25.85546875" customWidth="1"/>
    <col min="15" max="15" width="12.42578125" customWidth="1"/>
    <col min="18" max="20" width="0" hidden="1" customWidth="1"/>
  </cols>
  <sheetData>
    <row r="1" spans="1:22" ht="9.6" customHeight="1" x14ac:dyDescent="0.25"/>
    <row r="2" spans="1:22" ht="102.95" customHeight="1" x14ac:dyDescent="0.25">
      <c r="A2" s="13"/>
      <c r="B2" s="11"/>
      <c r="C2" s="12"/>
      <c r="D2" s="14" t="s">
        <v>0</v>
      </c>
      <c r="E2" s="11"/>
      <c r="F2" s="11"/>
      <c r="G2" s="11"/>
      <c r="H2" s="11"/>
      <c r="I2" s="11"/>
      <c r="J2" s="11"/>
      <c r="K2" s="12"/>
    </row>
    <row r="3" spans="1:22" ht="1.1499999999999999" customHeight="1" x14ac:dyDescent="0.25"/>
    <row r="4" spans="1:22" ht="24.75" customHeight="1" x14ac:dyDescent="0.25">
      <c r="A4" s="15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22" ht="2.1" customHeight="1" x14ac:dyDescent="0.25"/>
    <row r="6" spans="1:22" ht="22.5" customHeight="1" x14ac:dyDescent="0.25">
      <c r="A6" s="16" t="s">
        <v>97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 spans="1:22" ht="3" customHeight="1" x14ac:dyDescent="0.25"/>
    <row r="8" spans="1:22" ht="24.95" customHeight="1" x14ac:dyDescent="0.25">
      <c r="A8" s="10" t="s">
        <v>91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 spans="1:22" ht="4.1500000000000004" customHeight="1" x14ac:dyDescent="0.25"/>
    <row r="10" spans="1:22" ht="23.25" customHeight="1" x14ac:dyDescent="0.25">
      <c r="A10" s="10" t="s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spans="1:22" ht="3.95" customHeight="1" x14ac:dyDescent="0.25"/>
    <row r="12" spans="1:22" ht="23.85" customHeight="1" x14ac:dyDescent="0.25">
      <c r="A12" s="10" t="s">
        <v>3</v>
      </c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 spans="1:22" ht="24" customHeight="1" x14ac:dyDescent="0.25">
      <c r="J13" s="9">
        <f>SUBTOTAL(9,J15:J301)</f>
        <v>32444830</v>
      </c>
      <c r="M13" s="25"/>
      <c r="N13" s="26" t="s">
        <v>868</v>
      </c>
      <c r="O13" s="26">
        <f>SUBTOTAL(9,O15:O308)</f>
        <v>30416030</v>
      </c>
      <c r="P13" s="27"/>
      <c r="Q13" s="28">
        <f>O13-Sheet2!N1</f>
        <v>0</v>
      </c>
      <c r="R13" s="27"/>
      <c r="U13" s="29"/>
    </row>
    <row r="14" spans="1:22" ht="24" x14ac:dyDescent="0.25">
      <c r="A14" s="1" t="s">
        <v>5</v>
      </c>
      <c r="B14" s="1" t="s">
        <v>22</v>
      </c>
      <c r="C14" s="1" t="s">
        <v>23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24</v>
      </c>
      <c r="I14" s="1" t="s">
        <v>9</v>
      </c>
      <c r="J14" s="1" t="s">
        <v>10</v>
      </c>
      <c r="K14" s="1" t="s">
        <v>11</v>
      </c>
      <c r="L14" s="30" t="s">
        <v>869</v>
      </c>
      <c r="M14" s="31" t="s">
        <v>870</v>
      </c>
      <c r="N14" s="32" t="s">
        <v>871</v>
      </c>
      <c r="O14" s="32" t="s">
        <v>872</v>
      </c>
      <c r="P14" s="32" t="s">
        <v>873</v>
      </c>
      <c r="Q14" s="30" t="s">
        <v>874</v>
      </c>
      <c r="R14" s="33"/>
      <c r="S14" s="34"/>
      <c r="U14" s="30" t="s">
        <v>875</v>
      </c>
      <c r="V14" s="30" t="s">
        <v>876</v>
      </c>
    </row>
    <row r="15" spans="1:22" x14ac:dyDescent="0.25">
      <c r="A15" s="4" t="s">
        <v>98</v>
      </c>
      <c r="B15" s="5" t="s">
        <v>83</v>
      </c>
      <c r="C15" s="4" t="s">
        <v>84</v>
      </c>
      <c r="D15" s="5" t="s">
        <v>132</v>
      </c>
      <c r="E15" s="4" t="s">
        <v>31</v>
      </c>
      <c r="F15" s="4" t="s">
        <v>32</v>
      </c>
      <c r="G15" s="4" t="s">
        <v>33</v>
      </c>
      <c r="H15" s="6">
        <v>3</v>
      </c>
      <c r="I15" s="7">
        <v>8500</v>
      </c>
      <c r="J15" s="7">
        <f>H15*I15</f>
        <v>25500</v>
      </c>
      <c r="K15" s="8" t="s">
        <v>12</v>
      </c>
      <c r="L15" s="35" t="str">
        <f>+VLOOKUP(E15,MÃ!$B$2:$F$229,2,0)</f>
        <v>NL300107</v>
      </c>
      <c r="M15" s="36">
        <f>+VLOOKUP(T15,Sheet2!$B$2:$N$305,10,0)</f>
        <v>3</v>
      </c>
      <c r="N15" s="37">
        <f>+VLOOKUP(L15,MÃ!$C$2:$F$226,4,0)</f>
        <v>8500</v>
      </c>
      <c r="O15" s="37">
        <f t="shared" ref="O15:O39" si="0">M15*N15</f>
        <v>25500</v>
      </c>
      <c r="P15" s="37">
        <f t="shared" ref="P15:P39" si="1">J15-O15</f>
        <v>0</v>
      </c>
      <c r="Q15" s="35" t="str">
        <f t="shared" ref="Q15:Q39" si="2">IF(U15=0," ","SAI SL NHẬN")</f>
        <v xml:space="preserve"> </v>
      </c>
      <c r="R15" s="27">
        <f>+VLOOKUP(T15,Sheet2!$B$2:$N$305,13,0)</f>
        <v>25500</v>
      </c>
      <c r="S15" s="38">
        <f t="shared" ref="S15:S39" si="3">O15-R15</f>
        <v>0</v>
      </c>
      <c r="T15" t="str">
        <f>A15&amp;L15</f>
        <v>01/01/2026NL300107</v>
      </c>
      <c r="U15" s="29">
        <f t="shared" ref="U15:V30" si="4">H15-M15</f>
        <v>0</v>
      </c>
      <c r="V15" s="39">
        <f t="shared" si="4"/>
        <v>0</v>
      </c>
    </row>
    <row r="16" spans="1:22" x14ac:dyDescent="0.25">
      <c r="A16" s="4" t="s">
        <v>98</v>
      </c>
      <c r="B16" s="5" t="s">
        <v>83</v>
      </c>
      <c r="C16" s="4" t="s">
        <v>84</v>
      </c>
      <c r="D16" s="5" t="s">
        <v>132</v>
      </c>
      <c r="E16" s="4" t="s">
        <v>66</v>
      </c>
      <c r="F16" s="4" t="s">
        <v>67</v>
      </c>
      <c r="G16" s="4" t="s">
        <v>13</v>
      </c>
      <c r="H16" s="6">
        <v>11.7</v>
      </c>
      <c r="I16" s="7">
        <v>18000</v>
      </c>
      <c r="J16" s="7">
        <f t="shared" ref="J16:J79" si="5">H16*I16</f>
        <v>210600</v>
      </c>
      <c r="K16" s="8" t="s">
        <v>12</v>
      </c>
      <c r="L16" s="35" t="str">
        <f>+VLOOKUP(E16,MÃ!$B$2:$F$229,2,0)</f>
        <v>NL300022</v>
      </c>
      <c r="M16" s="36">
        <f>+VLOOKUP(T16,Sheet2!$B$2:$N$305,10,0)</f>
        <v>10.5</v>
      </c>
      <c r="N16" s="37">
        <f>+VLOOKUP(L16,MÃ!$C$2:$F$226,4,0)</f>
        <v>18000</v>
      </c>
      <c r="O16" s="37">
        <f t="shared" ref="O16:O79" si="6">M16*N16</f>
        <v>189000</v>
      </c>
      <c r="P16" s="37">
        <f t="shared" ref="P16:P79" si="7">J16-O16</f>
        <v>21600</v>
      </c>
      <c r="Q16" s="35" t="str">
        <f t="shared" ref="Q16:Q79" si="8">IF(U16=0," ","SAI SL NHẬN")</f>
        <v>SAI SL NHẬN</v>
      </c>
      <c r="R16" s="27">
        <f>+VLOOKUP(T16,Sheet2!$B$2:$N$305,13,0)</f>
        <v>189000</v>
      </c>
      <c r="S16" s="38">
        <f t="shared" ref="S16:S79" si="9">O16-R16</f>
        <v>0</v>
      </c>
      <c r="T16" t="str">
        <f t="shared" ref="T16:T79" si="10">A16&amp;L16</f>
        <v>01/01/2026NL300022</v>
      </c>
      <c r="U16" s="29">
        <f t="shared" ref="U16:U79" si="11">H16-M16</f>
        <v>1.1999999999999993</v>
      </c>
      <c r="V16" s="39">
        <f t="shared" ref="V16:V79" si="12">I16-N16</f>
        <v>0</v>
      </c>
    </row>
    <row r="17" spans="1:22" x14ac:dyDescent="0.25">
      <c r="A17" s="4" t="s">
        <v>98</v>
      </c>
      <c r="B17" s="5" t="s">
        <v>83</v>
      </c>
      <c r="C17" s="4" t="s">
        <v>84</v>
      </c>
      <c r="D17" s="5" t="s">
        <v>132</v>
      </c>
      <c r="E17" s="4" t="s">
        <v>68</v>
      </c>
      <c r="F17" s="4" t="s">
        <v>69</v>
      </c>
      <c r="G17" s="4" t="s">
        <v>13</v>
      </c>
      <c r="H17" s="6">
        <v>0.8</v>
      </c>
      <c r="I17" s="7">
        <v>13000</v>
      </c>
      <c r="J17" s="7">
        <f t="shared" si="5"/>
        <v>10400</v>
      </c>
      <c r="K17" s="8" t="s">
        <v>12</v>
      </c>
      <c r="L17" s="35" t="str">
        <f>+VLOOKUP(E17,MÃ!$B$2:$F$229,2,0)</f>
        <v>NL300033</v>
      </c>
      <c r="M17" s="36">
        <f>+VLOOKUP(T17,Sheet2!$B$2:$N$305,10,0)</f>
        <v>0.8</v>
      </c>
      <c r="N17" s="37">
        <f>+VLOOKUP(L17,MÃ!$C$2:$F$226,4,0)</f>
        <v>13000</v>
      </c>
      <c r="O17" s="37">
        <f t="shared" si="6"/>
        <v>10400</v>
      </c>
      <c r="P17" s="37">
        <f t="shared" si="7"/>
        <v>0</v>
      </c>
      <c r="Q17" s="35" t="str">
        <f t="shared" si="8"/>
        <v xml:space="preserve"> </v>
      </c>
      <c r="R17" s="27">
        <f>+VLOOKUP(T17,Sheet2!$B$2:$N$305,13,0)</f>
        <v>10400</v>
      </c>
      <c r="S17" s="38">
        <f t="shared" si="9"/>
        <v>0</v>
      </c>
      <c r="T17" t="str">
        <f t="shared" si="10"/>
        <v>01/01/2026NL300033</v>
      </c>
      <c r="U17" s="29">
        <f t="shared" si="11"/>
        <v>0</v>
      </c>
      <c r="V17" s="39">
        <f t="shared" si="12"/>
        <v>0</v>
      </c>
    </row>
    <row r="18" spans="1:22" x14ac:dyDescent="0.25">
      <c r="A18" s="4" t="s">
        <v>98</v>
      </c>
      <c r="B18" s="5" t="s">
        <v>83</v>
      </c>
      <c r="C18" s="4" t="s">
        <v>84</v>
      </c>
      <c r="D18" s="5" t="s">
        <v>132</v>
      </c>
      <c r="E18" s="4" t="s">
        <v>50</v>
      </c>
      <c r="F18" s="4" t="s">
        <v>51</v>
      </c>
      <c r="G18" s="4" t="s">
        <v>13</v>
      </c>
      <c r="H18" s="6">
        <v>8.8000000000000007</v>
      </c>
      <c r="I18" s="7">
        <v>18000</v>
      </c>
      <c r="J18" s="7">
        <f t="shared" si="5"/>
        <v>158400</v>
      </c>
      <c r="K18" s="8" t="s">
        <v>12</v>
      </c>
      <c r="L18" s="35" t="str">
        <f>+VLOOKUP(E18,MÃ!$B$2:$F$229,2,0)</f>
        <v>NL600004</v>
      </c>
      <c r="M18" s="36">
        <f>+VLOOKUP(T18,Sheet2!$B$2:$N$305,10,0)</f>
        <v>8.8000000000000007</v>
      </c>
      <c r="N18" s="37">
        <f>+VLOOKUP(L18,MÃ!$C$2:$F$226,4,0)</f>
        <v>18000</v>
      </c>
      <c r="O18" s="37">
        <f t="shared" si="6"/>
        <v>158400</v>
      </c>
      <c r="P18" s="37">
        <f t="shared" si="7"/>
        <v>0</v>
      </c>
      <c r="Q18" s="35" t="str">
        <f t="shared" si="8"/>
        <v xml:space="preserve"> </v>
      </c>
      <c r="R18" s="27">
        <f>+VLOOKUP(T18,Sheet2!$B$2:$N$305,13,0)</f>
        <v>158400</v>
      </c>
      <c r="S18" s="38">
        <f t="shared" si="9"/>
        <v>0</v>
      </c>
      <c r="T18" t="str">
        <f t="shared" si="10"/>
        <v>01/01/2026NL600004</v>
      </c>
      <c r="U18" s="29">
        <f t="shared" si="11"/>
        <v>0</v>
      </c>
      <c r="V18" s="39">
        <f t="shared" si="12"/>
        <v>0</v>
      </c>
    </row>
    <row r="19" spans="1:22" x14ac:dyDescent="0.25">
      <c r="A19" s="4" t="s">
        <v>98</v>
      </c>
      <c r="B19" s="5" t="s">
        <v>83</v>
      </c>
      <c r="C19" s="4" t="s">
        <v>84</v>
      </c>
      <c r="D19" s="5" t="s">
        <v>132</v>
      </c>
      <c r="E19" s="4" t="s">
        <v>18</v>
      </c>
      <c r="F19" s="4" t="s">
        <v>19</v>
      </c>
      <c r="G19" s="4" t="s">
        <v>13</v>
      </c>
      <c r="H19" s="6">
        <v>0.27</v>
      </c>
      <c r="I19" s="7">
        <v>55000</v>
      </c>
      <c r="J19" s="7">
        <f t="shared" si="5"/>
        <v>14850.000000000002</v>
      </c>
      <c r="K19" s="8" t="s">
        <v>12</v>
      </c>
      <c r="L19" s="35" t="str">
        <f>+VLOOKUP(E19,MÃ!$B$2:$F$229,2,0)</f>
        <v>NL300058</v>
      </c>
      <c r="M19" s="36">
        <f>+VLOOKUP(T19,Sheet2!$B$2:$N$305,10,0)</f>
        <v>0.27</v>
      </c>
      <c r="N19" s="37">
        <f>+VLOOKUP(L19,MÃ!$C$2:$F$226,4,0)</f>
        <v>55000</v>
      </c>
      <c r="O19" s="37">
        <f t="shared" si="6"/>
        <v>14850.000000000002</v>
      </c>
      <c r="P19" s="37">
        <f t="shared" si="7"/>
        <v>0</v>
      </c>
      <c r="Q19" s="35" t="str">
        <f t="shared" si="8"/>
        <v xml:space="preserve"> </v>
      </c>
      <c r="R19" s="27">
        <f>+VLOOKUP(T19,Sheet2!$B$2:$N$305,13,0)</f>
        <v>14850.000000000002</v>
      </c>
      <c r="S19" s="38">
        <f t="shared" si="9"/>
        <v>0</v>
      </c>
      <c r="T19" t="str">
        <f t="shared" si="10"/>
        <v>01/01/2026NL300058</v>
      </c>
      <c r="U19" s="29">
        <f t="shared" si="11"/>
        <v>0</v>
      </c>
      <c r="V19" s="39">
        <f t="shared" si="12"/>
        <v>0</v>
      </c>
    </row>
    <row r="20" spans="1:22" x14ac:dyDescent="0.25">
      <c r="A20" s="4" t="s">
        <v>98</v>
      </c>
      <c r="B20" s="5" t="s">
        <v>83</v>
      </c>
      <c r="C20" s="4" t="s">
        <v>84</v>
      </c>
      <c r="D20" s="5" t="s">
        <v>132</v>
      </c>
      <c r="E20" s="4" t="s">
        <v>70</v>
      </c>
      <c r="F20" s="4" t="s">
        <v>71</v>
      </c>
      <c r="G20" s="4" t="s">
        <v>13</v>
      </c>
      <c r="H20" s="6">
        <v>1.4</v>
      </c>
      <c r="I20" s="7">
        <v>30000</v>
      </c>
      <c r="J20" s="7">
        <f t="shared" si="5"/>
        <v>42000</v>
      </c>
      <c r="K20" s="8" t="s">
        <v>12</v>
      </c>
      <c r="L20" s="35" t="str">
        <f>+VLOOKUP(E20,MÃ!$B$2:$F$229,2,0)</f>
        <v>NL300209</v>
      </c>
      <c r="M20" s="36">
        <f>+VLOOKUP(T20,Sheet2!$B$2:$N$305,10,0)</f>
        <v>1</v>
      </c>
      <c r="N20" s="37">
        <f>+VLOOKUP(L20,MÃ!$C$2:$F$226,4,0)</f>
        <v>30000</v>
      </c>
      <c r="O20" s="37">
        <f t="shared" si="6"/>
        <v>30000</v>
      </c>
      <c r="P20" s="37">
        <f t="shared" si="7"/>
        <v>12000</v>
      </c>
      <c r="Q20" s="35" t="str">
        <f t="shared" si="8"/>
        <v>SAI SL NHẬN</v>
      </c>
      <c r="R20" s="27">
        <f>+VLOOKUP(T20,Sheet2!$B$2:$N$305,13,0)</f>
        <v>30000</v>
      </c>
      <c r="S20" s="38">
        <f t="shared" si="9"/>
        <v>0</v>
      </c>
      <c r="T20" t="str">
        <f t="shared" si="10"/>
        <v>01/01/2026NL300209</v>
      </c>
      <c r="U20" s="29">
        <f t="shared" si="11"/>
        <v>0.39999999999999991</v>
      </c>
      <c r="V20" s="39">
        <f t="shared" si="12"/>
        <v>0</v>
      </c>
    </row>
    <row r="21" spans="1:22" x14ac:dyDescent="0.25">
      <c r="A21" s="4" t="s">
        <v>98</v>
      </c>
      <c r="B21" s="5" t="s">
        <v>83</v>
      </c>
      <c r="C21" s="4" t="s">
        <v>84</v>
      </c>
      <c r="D21" s="5" t="s">
        <v>132</v>
      </c>
      <c r="E21" s="4" t="s">
        <v>72</v>
      </c>
      <c r="F21" s="4" t="s">
        <v>73</v>
      </c>
      <c r="G21" s="4" t="s">
        <v>13</v>
      </c>
      <c r="H21" s="6">
        <v>0.7</v>
      </c>
      <c r="I21" s="7">
        <v>18000</v>
      </c>
      <c r="J21" s="7">
        <f t="shared" si="5"/>
        <v>12600</v>
      </c>
      <c r="K21" s="8" t="s">
        <v>12</v>
      </c>
      <c r="L21" s="35" t="str">
        <f>+VLOOKUP(E21,MÃ!$B$2:$F$229,2,0)</f>
        <v>NL300074</v>
      </c>
      <c r="M21" s="36">
        <f>+VLOOKUP(T21,Sheet2!$B$2:$N$305,10,0)</f>
        <v>0.7</v>
      </c>
      <c r="N21" s="37">
        <f>+VLOOKUP(L21,MÃ!$C$2:$F$226,4,0)</f>
        <v>18000</v>
      </c>
      <c r="O21" s="37">
        <f t="shared" si="6"/>
        <v>12600</v>
      </c>
      <c r="P21" s="37">
        <f t="shared" si="7"/>
        <v>0</v>
      </c>
      <c r="Q21" s="35" t="str">
        <f t="shared" si="8"/>
        <v xml:space="preserve"> </v>
      </c>
      <c r="R21" s="27">
        <f>+VLOOKUP(T21,Sheet2!$B$2:$N$305,13,0)</f>
        <v>12600</v>
      </c>
      <c r="S21" s="38">
        <f t="shared" si="9"/>
        <v>0</v>
      </c>
      <c r="T21" t="str">
        <f t="shared" si="10"/>
        <v>01/01/2026NL300074</v>
      </c>
      <c r="U21" s="29">
        <f t="shared" si="11"/>
        <v>0</v>
      </c>
      <c r="V21" s="39">
        <f t="shared" si="12"/>
        <v>0</v>
      </c>
    </row>
    <row r="22" spans="1:22" x14ac:dyDescent="0.25">
      <c r="A22" s="4" t="s">
        <v>98</v>
      </c>
      <c r="B22" s="5" t="s">
        <v>83</v>
      </c>
      <c r="C22" s="4" t="s">
        <v>84</v>
      </c>
      <c r="D22" s="5" t="s">
        <v>132</v>
      </c>
      <c r="E22" s="4" t="s">
        <v>36</v>
      </c>
      <c r="F22" s="4" t="s">
        <v>37</v>
      </c>
      <c r="G22" s="4" t="s">
        <v>13</v>
      </c>
      <c r="H22" s="6">
        <v>2</v>
      </c>
      <c r="I22" s="7">
        <v>145000</v>
      </c>
      <c r="J22" s="7">
        <f t="shared" si="5"/>
        <v>290000</v>
      </c>
      <c r="K22" s="8" t="s">
        <v>12</v>
      </c>
      <c r="L22" s="35" t="str">
        <f>+VLOOKUP(E22,MÃ!$B$2:$F$229,2,0)</f>
        <v>NL300090</v>
      </c>
      <c r="M22" s="36">
        <f>+VLOOKUP(T22,Sheet2!$B$2:$N$305,10,0)</f>
        <v>2</v>
      </c>
      <c r="N22" s="37">
        <f>+VLOOKUP(L22,MÃ!$C$2:$F$226,4,0)</f>
        <v>145000</v>
      </c>
      <c r="O22" s="37">
        <f t="shared" si="6"/>
        <v>290000</v>
      </c>
      <c r="P22" s="37">
        <f t="shared" si="7"/>
        <v>0</v>
      </c>
      <c r="Q22" s="35" t="str">
        <f t="shared" si="8"/>
        <v xml:space="preserve"> </v>
      </c>
      <c r="R22" s="27">
        <f>+VLOOKUP(T22,Sheet2!$B$2:$N$305,13,0)</f>
        <v>290000</v>
      </c>
      <c r="S22" s="38">
        <f t="shared" si="9"/>
        <v>0</v>
      </c>
      <c r="T22" t="str">
        <f t="shared" si="10"/>
        <v>01/01/2026NL300090</v>
      </c>
      <c r="U22" s="29">
        <f t="shared" si="11"/>
        <v>0</v>
      </c>
      <c r="V22" s="39">
        <f t="shared" si="12"/>
        <v>0</v>
      </c>
    </row>
    <row r="23" spans="1:22" x14ac:dyDescent="0.25">
      <c r="A23" s="4" t="s">
        <v>98</v>
      </c>
      <c r="B23" s="5" t="s">
        <v>83</v>
      </c>
      <c r="C23" s="4" t="s">
        <v>84</v>
      </c>
      <c r="D23" s="5" t="s">
        <v>132</v>
      </c>
      <c r="E23" s="4" t="s">
        <v>38</v>
      </c>
      <c r="F23" s="4" t="s">
        <v>39</v>
      </c>
      <c r="G23" s="4" t="s">
        <v>13</v>
      </c>
      <c r="H23" s="6">
        <v>3</v>
      </c>
      <c r="I23" s="7">
        <v>47000</v>
      </c>
      <c r="J23" s="7">
        <f t="shared" si="5"/>
        <v>141000</v>
      </c>
      <c r="K23" s="8" t="s">
        <v>12</v>
      </c>
      <c r="L23" s="35" t="str">
        <f>+VLOOKUP(E23,MÃ!$B$2:$F$229,2,0)</f>
        <v>NL300091</v>
      </c>
      <c r="M23" s="36">
        <f>+VLOOKUP(T23,Sheet2!$B$2:$N$305,10,0)</f>
        <v>3</v>
      </c>
      <c r="N23" s="37">
        <f>+VLOOKUP(L23,MÃ!$C$2:$F$226,4,0)</f>
        <v>47000</v>
      </c>
      <c r="O23" s="37">
        <f t="shared" si="6"/>
        <v>141000</v>
      </c>
      <c r="P23" s="37">
        <f t="shared" si="7"/>
        <v>0</v>
      </c>
      <c r="Q23" s="35" t="str">
        <f t="shared" si="8"/>
        <v xml:space="preserve"> </v>
      </c>
      <c r="R23" s="27">
        <f>+VLOOKUP(T23,Sheet2!$B$2:$N$305,13,0)</f>
        <v>141000</v>
      </c>
      <c r="S23" s="38">
        <f t="shared" si="9"/>
        <v>0</v>
      </c>
      <c r="T23" t="str">
        <f t="shared" si="10"/>
        <v>01/01/2026NL300091</v>
      </c>
      <c r="U23" s="29">
        <f t="shared" si="11"/>
        <v>0</v>
      </c>
      <c r="V23" s="39">
        <f t="shared" si="12"/>
        <v>0</v>
      </c>
    </row>
    <row r="24" spans="1:22" x14ac:dyDescent="0.25">
      <c r="A24" s="4" t="s">
        <v>98</v>
      </c>
      <c r="B24" s="5" t="s">
        <v>83</v>
      </c>
      <c r="C24" s="4" t="s">
        <v>84</v>
      </c>
      <c r="D24" s="5" t="s">
        <v>132</v>
      </c>
      <c r="E24" s="4" t="s">
        <v>42</v>
      </c>
      <c r="F24" s="4" t="s">
        <v>43</v>
      </c>
      <c r="G24" s="4" t="s">
        <v>13</v>
      </c>
      <c r="H24" s="6">
        <v>3</v>
      </c>
      <c r="I24" s="7">
        <v>45000</v>
      </c>
      <c r="J24" s="7">
        <f t="shared" si="5"/>
        <v>135000</v>
      </c>
      <c r="K24" s="8" t="s">
        <v>12</v>
      </c>
      <c r="L24" s="35" t="str">
        <f>+VLOOKUP(E24,MÃ!$B$2:$F$229,2,0)</f>
        <v>NL300096</v>
      </c>
      <c r="M24" s="36">
        <f>+VLOOKUP(T24,Sheet2!$B$2:$N$305,10,0)</f>
        <v>3</v>
      </c>
      <c r="N24" s="37">
        <f>+VLOOKUP(L24,MÃ!$C$2:$F$226,4,0)</f>
        <v>45000</v>
      </c>
      <c r="O24" s="37">
        <f t="shared" si="6"/>
        <v>135000</v>
      </c>
      <c r="P24" s="37">
        <f t="shared" si="7"/>
        <v>0</v>
      </c>
      <c r="Q24" s="35" t="str">
        <f t="shared" si="8"/>
        <v xml:space="preserve"> </v>
      </c>
      <c r="R24" s="27">
        <f>+VLOOKUP(T24,Sheet2!$B$2:$N$305,13,0)</f>
        <v>135000</v>
      </c>
      <c r="S24" s="38">
        <f t="shared" si="9"/>
        <v>0</v>
      </c>
      <c r="T24" t="str">
        <f t="shared" si="10"/>
        <v>01/01/2026NL300096</v>
      </c>
      <c r="U24" s="29">
        <f t="shared" si="11"/>
        <v>0</v>
      </c>
      <c r="V24" s="39">
        <f t="shared" si="12"/>
        <v>0</v>
      </c>
    </row>
    <row r="25" spans="1:22" ht="28.5" x14ac:dyDescent="0.25">
      <c r="A25" s="4" t="s">
        <v>98</v>
      </c>
      <c r="B25" s="5" t="s">
        <v>83</v>
      </c>
      <c r="C25" s="4" t="s">
        <v>84</v>
      </c>
      <c r="D25" s="5" t="s">
        <v>132</v>
      </c>
      <c r="E25" s="4" t="s">
        <v>44</v>
      </c>
      <c r="F25" s="4" t="s">
        <v>45</v>
      </c>
      <c r="G25" s="4" t="s">
        <v>13</v>
      </c>
      <c r="H25" s="6">
        <v>2.2000000000000002</v>
      </c>
      <c r="I25" s="7">
        <v>95000</v>
      </c>
      <c r="J25" s="7">
        <f t="shared" si="5"/>
        <v>209000.00000000003</v>
      </c>
      <c r="K25" s="8" t="s">
        <v>12</v>
      </c>
      <c r="L25" s="35" t="str">
        <f>+VLOOKUP(E25,MÃ!$B$2:$F$229,2,0)</f>
        <v>NL300098</v>
      </c>
      <c r="M25" s="36">
        <f>+VLOOKUP(T25,Sheet2!$B$2:$N$305,10,0)</f>
        <v>2.2000000000000002</v>
      </c>
      <c r="N25" s="37">
        <f>+VLOOKUP(L25,MÃ!$C$2:$F$226,4,0)</f>
        <v>95000</v>
      </c>
      <c r="O25" s="37">
        <f t="shared" si="6"/>
        <v>209000.00000000003</v>
      </c>
      <c r="P25" s="37">
        <f t="shared" si="7"/>
        <v>0</v>
      </c>
      <c r="Q25" s="35" t="str">
        <f t="shared" si="8"/>
        <v xml:space="preserve"> </v>
      </c>
      <c r="R25" s="27">
        <f>+VLOOKUP(T25,Sheet2!$B$2:$N$305,13,0)</f>
        <v>209000.00000000003</v>
      </c>
      <c r="S25" s="38">
        <f t="shared" si="9"/>
        <v>0</v>
      </c>
      <c r="T25" t="str">
        <f t="shared" si="10"/>
        <v>01/01/2026NL300098</v>
      </c>
      <c r="U25" s="29">
        <f t="shared" si="11"/>
        <v>0</v>
      </c>
      <c r="V25" s="39">
        <f t="shared" si="12"/>
        <v>0</v>
      </c>
    </row>
    <row r="26" spans="1:22" x14ac:dyDescent="0.25">
      <c r="A26" s="4" t="s">
        <v>98</v>
      </c>
      <c r="B26" s="5" t="s">
        <v>83</v>
      </c>
      <c r="C26" s="4" t="s">
        <v>84</v>
      </c>
      <c r="D26" s="5" t="s">
        <v>132</v>
      </c>
      <c r="E26" s="4" t="s">
        <v>20</v>
      </c>
      <c r="F26" s="4" t="s">
        <v>21</v>
      </c>
      <c r="G26" s="4" t="s">
        <v>13</v>
      </c>
      <c r="H26" s="6">
        <v>0.5</v>
      </c>
      <c r="I26" s="7">
        <v>45000</v>
      </c>
      <c r="J26" s="7">
        <f t="shared" si="5"/>
        <v>22500</v>
      </c>
      <c r="K26" s="8" t="s">
        <v>12</v>
      </c>
      <c r="L26" s="35" t="str">
        <f>+VLOOKUP(E26,MÃ!$B$2:$F$229,2,0)</f>
        <v>NL300085</v>
      </c>
      <c r="M26" s="36">
        <f>+VLOOKUP(T26,Sheet2!$B$2:$N$305,10,0)</f>
        <v>0.2</v>
      </c>
      <c r="N26" s="37">
        <f>+VLOOKUP(L26,MÃ!$C$2:$F$226,4,0)</f>
        <v>45000</v>
      </c>
      <c r="O26" s="37">
        <f t="shared" si="6"/>
        <v>9000</v>
      </c>
      <c r="P26" s="37">
        <f t="shared" si="7"/>
        <v>13500</v>
      </c>
      <c r="Q26" s="35" t="str">
        <f t="shared" si="8"/>
        <v>SAI SL NHẬN</v>
      </c>
      <c r="R26" s="27">
        <f>+VLOOKUP(T26,Sheet2!$B$2:$N$305,13,0)</f>
        <v>9000</v>
      </c>
      <c r="S26" s="38">
        <f t="shared" si="9"/>
        <v>0</v>
      </c>
      <c r="T26" t="str">
        <f t="shared" si="10"/>
        <v>01/01/2026NL300085</v>
      </c>
      <c r="U26" s="29">
        <f t="shared" si="11"/>
        <v>0.3</v>
      </c>
      <c r="V26" s="39">
        <f t="shared" si="12"/>
        <v>0</v>
      </c>
    </row>
    <row r="27" spans="1:22" x14ac:dyDescent="0.25">
      <c r="A27" s="4" t="s">
        <v>98</v>
      </c>
      <c r="B27" s="5" t="s">
        <v>83</v>
      </c>
      <c r="C27" s="4" t="s">
        <v>84</v>
      </c>
      <c r="D27" s="5" t="s">
        <v>132</v>
      </c>
      <c r="E27" s="4" t="s">
        <v>27</v>
      </c>
      <c r="F27" s="4" t="s">
        <v>28</v>
      </c>
      <c r="G27" s="4" t="s">
        <v>13</v>
      </c>
      <c r="H27" s="6">
        <v>5.0999999999999996</v>
      </c>
      <c r="I27" s="7">
        <v>21000</v>
      </c>
      <c r="J27" s="7">
        <f t="shared" si="5"/>
        <v>107099.99999999999</v>
      </c>
      <c r="K27" s="8" t="s">
        <v>12</v>
      </c>
      <c r="L27" s="35" t="str">
        <f>+VLOOKUP(E27,MÃ!$B$2:$F$229,2,0)</f>
        <v>NL300119</v>
      </c>
      <c r="M27" s="36">
        <f>+VLOOKUP(T27,Sheet2!$B$2:$N$305,10,0)</f>
        <v>5.0999999999999996</v>
      </c>
      <c r="N27" s="37">
        <f>+VLOOKUP(L27,MÃ!$C$2:$F$226,4,0)</f>
        <v>21000</v>
      </c>
      <c r="O27" s="37">
        <f t="shared" si="6"/>
        <v>107099.99999999999</v>
      </c>
      <c r="P27" s="37">
        <f t="shared" si="7"/>
        <v>0</v>
      </c>
      <c r="Q27" s="35" t="str">
        <f t="shared" si="8"/>
        <v xml:space="preserve"> </v>
      </c>
      <c r="R27" s="27">
        <f>+VLOOKUP(T27,Sheet2!$B$2:$N$305,13,0)</f>
        <v>107099.99999999999</v>
      </c>
      <c r="S27" s="38">
        <f t="shared" si="9"/>
        <v>0</v>
      </c>
      <c r="T27" t="str">
        <f t="shared" si="10"/>
        <v>01/01/2026NL300119</v>
      </c>
      <c r="U27" s="29">
        <f t="shared" si="11"/>
        <v>0</v>
      </c>
      <c r="V27" s="39">
        <f t="shared" si="12"/>
        <v>0</v>
      </c>
    </row>
    <row r="28" spans="1:22" x14ac:dyDescent="0.25">
      <c r="A28" s="4" t="s">
        <v>98</v>
      </c>
      <c r="B28" s="5" t="s">
        <v>83</v>
      </c>
      <c r="C28" s="4" t="s">
        <v>84</v>
      </c>
      <c r="D28" s="5" t="s">
        <v>132</v>
      </c>
      <c r="E28" s="4" t="s">
        <v>76</v>
      </c>
      <c r="F28" s="4" t="s">
        <v>77</v>
      </c>
      <c r="G28" s="4" t="s">
        <v>13</v>
      </c>
      <c r="H28" s="6">
        <v>1</v>
      </c>
      <c r="I28" s="7">
        <v>38000</v>
      </c>
      <c r="J28" s="7">
        <f t="shared" si="5"/>
        <v>38000</v>
      </c>
      <c r="K28" s="8" t="s">
        <v>12</v>
      </c>
      <c r="L28" s="35" t="str">
        <f>+VLOOKUP(E28,MÃ!$B$2:$F$229,2,0)</f>
        <v>NL300018</v>
      </c>
      <c r="M28" s="36">
        <f>+VLOOKUP(T28,Sheet2!$B$2:$N$305,10,0)</f>
        <v>1</v>
      </c>
      <c r="N28" s="37">
        <f>+VLOOKUP(L28,MÃ!$C$2:$F$226,4,0)</f>
        <v>38000</v>
      </c>
      <c r="O28" s="37">
        <f t="shared" si="6"/>
        <v>38000</v>
      </c>
      <c r="P28" s="37">
        <f t="shared" si="7"/>
        <v>0</v>
      </c>
      <c r="Q28" s="35" t="str">
        <f t="shared" si="8"/>
        <v xml:space="preserve"> </v>
      </c>
      <c r="R28" s="27">
        <f>+VLOOKUP(T28,Sheet2!$B$2:$N$305,13,0)</f>
        <v>38000</v>
      </c>
      <c r="S28" s="38">
        <f t="shared" si="9"/>
        <v>0</v>
      </c>
      <c r="T28" t="str">
        <f t="shared" si="10"/>
        <v>01/01/2026NL300018</v>
      </c>
      <c r="U28" s="29">
        <f t="shared" si="11"/>
        <v>0</v>
      </c>
      <c r="V28" s="39">
        <f t="shared" si="12"/>
        <v>0</v>
      </c>
    </row>
    <row r="29" spans="1:22" x14ac:dyDescent="0.25">
      <c r="A29" s="4" t="s">
        <v>98</v>
      </c>
      <c r="B29" s="5" t="s">
        <v>83</v>
      </c>
      <c r="C29" s="4" t="s">
        <v>84</v>
      </c>
      <c r="D29" s="5" t="s">
        <v>132</v>
      </c>
      <c r="E29" s="4" t="s">
        <v>14</v>
      </c>
      <c r="F29" s="4" t="s">
        <v>15</v>
      </c>
      <c r="G29" s="4" t="s">
        <v>13</v>
      </c>
      <c r="H29" s="6">
        <v>0.5</v>
      </c>
      <c r="I29" s="7">
        <v>50000</v>
      </c>
      <c r="J29" s="7">
        <f t="shared" si="5"/>
        <v>25000</v>
      </c>
      <c r="K29" s="8" t="s">
        <v>12</v>
      </c>
      <c r="L29" s="35" t="str">
        <f>+VLOOKUP(E29,MÃ!$B$2:$F$229,2,0)</f>
        <v>NL300142</v>
      </c>
      <c r="M29" s="36">
        <f>+VLOOKUP(T29,Sheet2!$B$2:$N$305,10,0)</f>
        <v>0.5</v>
      </c>
      <c r="N29" s="37">
        <f>+VLOOKUP(L29,MÃ!$C$2:$F$226,4,0)</f>
        <v>50000</v>
      </c>
      <c r="O29" s="37">
        <f t="shared" si="6"/>
        <v>25000</v>
      </c>
      <c r="P29" s="37">
        <f t="shared" si="7"/>
        <v>0</v>
      </c>
      <c r="Q29" s="35" t="str">
        <f t="shared" si="8"/>
        <v xml:space="preserve"> </v>
      </c>
      <c r="R29" s="27">
        <f>+VLOOKUP(T29,Sheet2!$B$2:$N$305,13,0)</f>
        <v>25000</v>
      </c>
      <c r="S29" s="38">
        <f t="shared" si="9"/>
        <v>0</v>
      </c>
      <c r="T29" t="str">
        <f t="shared" si="10"/>
        <v>01/01/2026NL300142</v>
      </c>
      <c r="U29" s="29">
        <f t="shared" si="11"/>
        <v>0</v>
      </c>
      <c r="V29" s="39">
        <f t="shared" si="12"/>
        <v>0</v>
      </c>
    </row>
    <row r="30" spans="1:22" x14ac:dyDescent="0.25">
      <c r="A30" s="4" t="s">
        <v>98</v>
      </c>
      <c r="B30" s="5" t="s">
        <v>83</v>
      </c>
      <c r="C30" s="4" t="s">
        <v>84</v>
      </c>
      <c r="D30" s="5" t="s">
        <v>132</v>
      </c>
      <c r="E30" s="4" t="s">
        <v>48</v>
      </c>
      <c r="F30" s="4" t="s">
        <v>49</v>
      </c>
      <c r="G30" s="4" t="s">
        <v>13</v>
      </c>
      <c r="H30" s="6">
        <v>7.1</v>
      </c>
      <c r="I30" s="7">
        <v>62000</v>
      </c>
      <c r="J30" s="7">
        <f t="shared" si="5"/>
        <v>440200</v>
      </c>
      <c r="K30" s="8" t="s">
        <v>12</v>
      </c>
      <c r="L30" s="35" t="str">
        <f>+VLOOKUP(E30,MÃ!$B$2:$F$229,2,0)</f>
        <v>NL300147</v>
      </c>
      <c r="M30" s="36">
        <f>+VLOOKUP(T30,Sheet2!$B$2:$N$305,10,0)</f>
        <v>7.1</v>
      </c>
      <c r="N30" s="37">
        <f>+VLOOKUP(L30,MÃ!$C$2:$F$226,4,0)</f>
        <v>62000</v>
      </c>
      <c r="O30" s="37">
        <f t="shared" si="6"/>
        <v>440200</v>
      </c>
      <c r="P30" s="37">
        <f t="shared" si="7"/>
        <v>0</v>
      </c>
      <c r="Q30" s="35" t="str">
        <f t="shared" si="8"/>
        <v xml:space="preserve"> </v>
      </c>
      <c r="R30" s="27">
        <f>+VLOOKUP(T30,Sheet2!$B$2:$N$305,13,0)</f>
        <v>440200</v>
      </c>
      <c r="S30" s="38">
        <f t="shared" si="9"/>
        <v>0</v>
      </c>
      <c r="T30" t="str">
        <f t="shared" si="10"/>
        <v>01/01/2026NL300147</v>
      </c>
      <c r="U30" s="29">
        <f t="shared" si="11"/>
        <v>0</v>
      </c>
      <c r="V30" s="39">
        <f t="shared" si="12"/>
        <v>0</v>
      </c>
    </row>
    <row r="31" spans="1:22" x14ac:dyDescent="0.25">
      <c r="A31" s="4" t="s">
        <v>100</v>
      </c>
      <c r="B31" s="5" t="s">
        <v>83</v>
      </c>
      <c r="C31" s="4" t="s">
        <v>84</v>
      </c>
      <c r="D31" s="5" t="s">
        <v>133</v>
      </c>
      <c r="E31" s="4" t="s">
        <v>31</v>
      </c>
      <c r="F31" s="4" t="s">
        <v>32</v>
      </c>
      <c r="G31" s="4" t="s">
        <v>33</v>
      </c>
      <c r="H31" s="6">
        <v>7</v>
      </c>
      <c r="I31" s="7">
        <v>8500</v>
      </c>
      <c r="J31" s="7">
        <f t="shared" si="5"/>
        <v>59500</v>
      </c>
      <c r="K31" s="8" t="s">
        <v>12</v>
      </c>
      <c r="L31" s="35" t="str">
        <f>+VLOOKUP(E31,MÃ!$B$2:$F$229,2,0)</f>
        <v>NL300107</v>
      </c>
      <c r="M31" s="36">
        <f>+VLOOKUP(T31,Sheet2!$B$2:$N$305,10,0)</f>
        <v>7</v>
      </c>
      <c r="N31" s="37">
        <f>+VLOOKUP(L31,MÃ!$C$2:$F$226,4,0)</f>
        <v>8500</v>
      </c>
      <c r="O31" s="37">
        <f t="shared" si="6"/>
        <v>59500</v>
      </c>
      <c r="P31" s="37">
        <f t="shared" si="7"/>
        <v>0</v>
      </c>
      <c r="Q31" s="35" t="str">
        <f t="shared" si="8"/>
        <v xml:space="preserve"> </v>
      </c>
      <c r="R31" s="27">
        <f>+VLOOKUP(T31,Sheet2!$B$2:$N$305,13,0)</f>
        <v>59500</v>
      </c>
      <c r="S31" s="38">
        <f t="shared" si="9"/>
        <v>0</v>
      </c>
      <c r="T31" t="str">
        <f t="shared" si="10"/>
        <v>02/01/2026NL300107</v>
      </c>
      <c r="U31" s="29">
        <f t="shared" si="11"/>
        <v>0</v>
      </c>
      <c r="V31" s="39">
        <f t="shared" si="12"/>
        <v>0</v>
      </c>
    </row>
    <row r="32" spans="1:22" x14ac:dyDescent="0.25">
      <c r="A32" s="4" t="s">
        <v>100</v>
      </c>
      <c r="B32" s="5" t="s">
        <v>83</v>
      </c>
      <c r="C32" s="4" t="s">
        <v>84</v>
      </c>
      <c r="D32" s="5" t="s">
        <v>133</v>
      </c>
      <c r="E32" s="4" t="s">
        <v>62</v>
      </c>
      <c r="F32" s="4" t="s">
        <v>63</v>
      </c>
      <c r="G32" s="4" t="s">
        <v>13</v>
      </c>
      <c r="H32" s="6">
        <v>1.1000000000000001</v>
      </c>
      <c r="I32" s="7">
        <v>45000</v>
      </c>
      <c r="J32" s="7">
        <f t="shared" si="5"/>
        <v>49500.000000000007</v>
      </c>
      <c r="K32" s="8" t="s">
        <v>12</v>
      </c>
      <c r="L32" s="35" t="str">
        <f>+VLOOKUP(E32,MÃ!$B$2:$F$229,2,0)</f>
        <v>NL300203</v>
      </c>
      <c r="M32" s="36">
        <f>+VLOOKUP(T32,Sheet2!$B$2:$N$305,10,0)</f>
        <v>1.1000000000000001</v>
      </c>
      <c r="N32" s="37">
        <f>+VLOOKUP(L32,MÃ!$C$2:$F$226,4,0)</f>
        <v>45000</v>
      </c>
      <c r="O32" s="37">
        <f t="shared" si="6"/>
        <v>49500.000000000007</v>
      </c>
      <c r="P32" s="37">
        <f t="shared" si="7"/>
        <v>0</v>
      </c>
      <c r="Q32" s="35" t="str">
        <f t="shared" si="8"/>
        <v xml:space="preserve"> </v>
      </c>
      <c r="R32" s="27">
        <f>+VLOOKUP(T32,Sheet2!$B$2:$N$305,13,0)</f>
        <v>49500.000000000007</v>
      </c>
      <c r="S32" s="38">
        <f t="shared" si="9"/>
        <v>0</v>
      </c>
      <c r="T32" t="str">
        <f t="shared" si="10"/>
        <v>02/01/2026NL300203</v>
      </c>
      <c r="U32" s="29">
        <f t="shared" si="11"/>
        <v>0</v>
      </c>
      <c r="V32" s="39">
        <f t="shared" si="12"/>
        <v>0</v>
      </c>
    </row>
    <row r="33" spans="1:22" x14ac:dyDescent="0.25">
      <c r="A33" s="4" t="s">
        <v>100</v>
      </c>
      <c r="B33" s="5" t="s">
        <v>83</v>
      </c>
      <c r="C33" s="4" t="s">
        <v>84</v>
      </c>
      <c r="D33" s="5" t="s">
        <v>133</v>
      </c>
      <c r="E33" s="4" t="s">
        <v>66</v>
      </c>
      <c r="F33" s="4" t="s">
        <v>67</v>
      </c>
      <c r="G33" s="4" t="s">
        <v>13</v>
      </c>
      <c r="H33" s="6">
        <v>14</v>
      </c>
      <c r="I33" s="7">
        <v>18000</v>
      </c>
      <c r="J33" s="7">
        <f t="shared" si="5"/>
        <v>252000</v>
      </c>
      <c r="K33" s="8" t="s">
        <v>12</v>
      </c>
      <c r="L33" s="35" t="str">
        <f>+VLOOKUP(E33,MÃ!$B$2:$F$229,2,0)</f>
        <v>NL300022</v>
      </c>
      <c r="M33" s="36">
        <f>+VLOOKUP(T33,Sheet2!$B$2:$N$305,10,0)</f>
        <v>14</v>
      </c>
      <c r="N33" s="37">
        <f>+VLOOKUP(L33,MÃ!$C$2:$F$226,4,0)</f>
        <v>18000</v>
      </c>
      <c r="O33" s="37">
        <f t="shared" si="6"/>
        <v>252000</v>
      </c>
      <c r="P33" s="37">
        <f t="shared" si="7"/>
        <v>0</v>
      </c>
      <c r="Q33" s="35" t="str">
        <f t="shared" si="8"/>
        <v xml:space="preserve"> </v>
      </c>
      <c r="R33" s="27">
        <f>+VLOOKUP(T33,Sheet2!$B$2:$N$305,13,0)</f>
        <v>252000</v>
      </c>
      <c r="S33" s="38">
        <f t="shared" si="9"/>
        <v>0</v>
      </c>
      <c r="T33" t="str">
        <f t="shared" si="10"/>
        <v>02/01/2026NL300022</v>
      </c>
      <c r="U33" s="29">
        <f t="shared" si="11"/>
        <v>0</v>
      </c>
      <c r="V33" s="39">
        <f t="shared" si="12"/>
        <v>0</v>
      </c>
    </row>
    <row r="34" spans="1:22" x14ac:dyDescent="0.25">
      <c r="A34" s="4" t="s">
        <v>100</v>
      </c>
      <c r="B34" s="5" t="s">
        <v>83</v>
      </c>
      <c r="C34" s="4" t="s">
        <v>84</v>
      </c>
      <c r="D34" s="5" t="s">
        <v>133</v>
      </c>
      <c r="E34" s="4" t="s">
        <v>54</v>
      </c>
      <c r="F34" s="4" t="s">
        <v>55</v>
      </c>
      <c r="G34" s="4" t="s">
        <v>13</v>
      </c>
      <c r="H34" s="6">
        <v>0.7</v>
      </c>
      <c r="I34" s="7">
        <v>75000</v>
      </c>
      <c r="J34" s="7">
        <f t="shared" si="5"/>
        <v>52500</v>
      </c>
      <c r="K34" s="8" t="s">
        <v>12</v>
      </c>
      <c r="L34" s="35" t="str">
        <f>+VLOOKUP(E34,MÃ!$B$2:$F$229,2,0)</f>
        <v>NL600067</v>
      </c>
      <c r="M34" s="36">
        <f>+VLOOKUP(T34,Sheet2!$B$2:$N$305,10,0)</f>
        <v>0.7</v>
      </c>
      <c r="N34" s="37">
        <f>+VLOOKUP(L34,MÃ!$C$2:$F$226,4,0)</f>
        <v>75000</v>
      </c>
      <c r="O34" s="37">
        <f t="shared" si="6"/>
        <v>52500</v>
      </c>
      <c r="P34" s="37">
        <f t="shared" si="7"/>
        <v>0</v>
      </c>
      <c r="Q34" s="35" t="str">
        <f t="shared" si="8"/>
        <v xml:space="preserve"> </v>
      </c>
      <c r="R34" s="27">
        <f>+VLOOKUP(T34,Sheet2!$B$2:$N$305,13,0)</f>
        <v>52500</v>
      </c>
      <c r="S34" s="38">
        <f t="shared" si="9"/>
        <v>0</v>
      </c>
      <c r="T34" t="str">
        <f t="shared" si="10"/>
        <v>02/01/2026NL600067</v>
      </c>
      <c r="U34" s="29">
        <f t="shared" si="11"/>
        <v>0</v>
      </c>
      <c r="V34" s="39">
        <f t="shared" si="12"/>
        <v>0</v>
      </c>
    </row>
    <row r="35" spans="1:22" x14ac:dyDescent="0.25">
      <c r="A35" s="4" t="s">
        <v>100</v>
      </c>
      <c r="B35" s="5" t="s">
        <v>83</v>
      </c>
      <c r="C35" s="4" t="s">
        <v>84</v>
      </c>
      <c r="D35" s="5" t="s">
        <v>133</v>
      </c>
      <c r="E35" s="4" t="s">
        <v>56</v>
      </c>
      <c r="F35" s="4" t="s">
        <v>57</v>
      </c>
      <c r="G35" s="4" t="s">
        <v>13</v>
      </c>
      <c r="H35" s="6">
        <v>0.6</v>
      </c>
      <c r="I35" s="7">
        <v>34000</v>
      </c>
      <c r="J35" s="7">
        <f t="shared" si="5"/>
        <v>20400</v>
      </c>
      <c r="K35" s="8" t="s">
        <v>12</v>
      </c>
      <c r="L35" s="35" t="str">
        <f>+VLOOKUP(E35,MÃ!$B$2:$F$229,2,0)</f>
        <v>NL300030</v>
      </c>
      <c r="M35" s="36">
        <f>+VLOOKUP(T35,Sheet2!$B$2:$N$305,10,0)</f>
        <v>0.6</v>
      </c>
      <c r="N35" s="37">
        <f>+VLOOKUP(L35,MÃ!$C$2:$F$226,4,0)</f>
        <v>34000</v>
      </c>
      <c r="O35" s="37">
        <f t="shared" si="6"/>
        <v>20400</v>
      </c>
      <c r="P35" s="37">
        <f t="shared" si="7"/>
        <v>0</v>
      </c>
      <c r="Q35" s="35" t="str">
        <f t="shared" si="8"/>
        <v xml:space="preserve"> </v>
      </c>
      <c r="R35" s="27">
        <f>+VLOOKUP(T35,Sheet2!$B$2:$N$305,13,0)</f>
        <v>20400</v>
      </c>
      <c r="S35" s="38">
        <f t="shared" si="9"/>
        <v>0</v>
      </c>
      <c r="T35" t="str">
        <f t="shared" si="10"/>
        <v>02/01/2026NL300030</v>
      </c>
      <c r="U35" s="29">
        <f t="shared" si="11"/>
        <v>0</v>
      </c>
      <c r="V35" s="39">
        <f t="shared" si="12"/>
        <v>0</v>
      </c>
    </row>
    <row r="36" spans="1:22" x14ac:dyDescent="0.25">
      <c r="A36" s="4" t="s">
        <v>100</v>
      </c>
      <c r="B36" s="5" t="s">
        <v>83</v>
      </c>
      <c r="C36" s="4" t="s">
        <v>84</v>
      </c>
      <c r="D36" s="5" t="s">
        <v>133</v>
      </c>
      <c r="E36" s="4" t="s">
        <v>25</v>
      </c>
      <c r="F36" s="4" t="s">
        <v>26</v>
      </c>
      <c r="G36" s="4" t="s">
        <v>13</v>
      </c>
      <c r="H36" s="6">
        <v>0.6</v>
      </c>
      <c r="I36" s="7">
        <v>22000</v>
      </c>
      <c r="J36" s="7">
        <f t="shared" si="5"/>
        <v>13200</v>
      </c>
      <c r="K36" s="8" t="s">
        <v>12</v>
      </c>
      <c r="L36" s="35" t="str">
        <f>+VLOOKUP(E36,MÃ!$B$2:$F$229,2,0)</f>
        <v>NL300029</v>
      </c>
      <c r="M36" s="36">
        <f>+VLOOKUP(T36,Sheet2!$B$2:$N$305,10,0)</f>
        <v>0.6</v>
      </c>
      <c r="N36" s="37">
        <f>+VLOOKUP(L36,MÃ!$C$2:$F$226,4,0)</f>
        <v>22000</v>
      </c>
      <c r="O36" s="37">
        <f t="shared" si="6"/>
        <v>13200</v>
      </c>
      <c r="P36" s="37">
        <f t="shared" si="7"/>
        <v>0</v>
      </c>
      <c r="Q36" s="35" t="str">
        <f t="shared" si="8"/>
        <v xml:space="preserve"> </v>
      </c>
      <c r="R36" s="27">
        <f>+VLOOKUP(T36,Sheet2!$B$2:$N$305,13,0)</f>
        <v>13200</v>
      </c>
      <c r="S36" s="38">
        <f t="shared" si="9"/>
        <v>0</v>
      </c>
      <c r="T36" t="str">
        <f t="shared" si="10"/>
        <v>02/01/2026NL300029</v>
      </c>
      <c r="U36" s="29">
        <f t="shared" si="11"/>
        <v>0</v>
      </c>
      <c r="V36" s="39">
        <f t="shared" si="12"/>
        <v>0</v>
      </c>
    </row>
    <row r="37" spans="1:22" x14ac:dyDescent="0.25">
      <c r="A37" s="4" t="s">
        <v>100</v>
      </c>
      <c r="B37" s="5" t="s">
        <v>83</v>
      </c>
      <c r="C37" s="4" t="s">
        <v>84</v>
      </c>
      <c r="D37" s="5" t="s">
        <v>133</v>
      </c>
      <c r="E37" s="4" t="s">
        <v>68</v>
      </c>
      <c r="F37" s="4" t="s">
        <v>69</v>
      </c>
      <c r="G37" s="4" t="s">
        <v>13</v>
      </c>
      <c r="H37" s="6">
        <v>0.97</v>
      </c>
      <c r="I37" s="7">
        <v>13000</v>
      </c>
      <c r="J37" s="7">
        <f t="shared" si="5"/>
        <v>12610</v>
      </c>
      <c r="K37" s="8" t="s">
        <v>12</v>
      </c>
      <c r="L37" s="35" t="str">
        <f>+VLOOKUP(E37,MÃ!$B$2:$F$229,2,0)</f>
        <v>NL300033</v>
      </c>
      <c r="M37" s="36">
        <f>+VLOOKUP(T37,Sheet2!$B$2:$N$305,10,0)</f>
        <v>0.97</v>
      </c>
      <c r="N37" s="37">
        <f>+VLOOKUP(L37,MÃ!$C$2:$F$226,4,0)</f>
        <v>13000</v>
      </c>
      <c r="O37" s="37">
        <f t="shared" si="6"/>
        <v>12610</v>
      </c>
      <c r="P37" s="37">
        <f t="shared" si="7"/>
        <v>0</v>
      </c>
      <c r="Q37" s="35" t="str">
        <f t="shared" si="8"/>
        <v xml:space="preserve"> </v>
      </c>
      <c r="R37" s="27">
        <f>+VLOOKUP(T37,Sheet2!$B$2:$N$305,13,0)</f>
        <v>12610</v>
      </c>
      <c r="S37" s="38">
        <f t="shared" si="9"/>
        <v>0</v>
      </c>
      <c r="T37" t="str">
        <f t="shared" si="10"/>
        <v>02/01/2026NL300033</v>
      </c>
      <c r="U37" s="29">
        <f t="shared" si="11"/>
        <v>0</v>
      </c>
      <c r="V37" s="39">
        <f t="shared" si="12"/>
        <v>0</v>
      </c>
    </row>
    <row r="38" spans="1:22" x14ac:dyDescent="0.25">
      <c r="A38" s="4" t="s">
        <v>100</v>
      </c>
      <c r="B38" s="5" t="s">
        <v>83</v>
      </c>
      <c r="C38" s="4" t="s">
        <v>84</v>
      </c>
      <c r="D38" s="5" t="s">
        <v>133</v>
      </c>
      <c r="E38" s="4" t="s">
        <v>16</v>
      </c>
      <c r="F38" s="4" t="s">
        <v>17</v>
      </c>
      <c r="G38" s="4" t="s">
        <v>13</v>
      </c>
      <c r="H38" s="6">
        <v>1</v>
      </c>
      <c r="I38" s="7">
        <v>47000</v>
      </c>
      <c r="J38" s="7">
        <f t="shared" si="5"/>
        <v>47000</v>
      </c>
      <c r="K38" s="8" t="s">
        <v>12</v>
      </c>
      <c r="L38" s="35" t="str">
        <f>+VLOOKUP(E38,MÃ!$B$2:$F$229,2,0)</f>
        <v>NL300036</v>
      </c>
      <c r="M38" s="36">
        <f>+VLOOKUP(T38,Sheet2!$B$2:$N$305,10,0)</f>
        <v>1</v>
      </c>
      <c r="N38" s="37">
        <f>+VLOOKUP(L38,MÃ!$C$2:$F$226,4,0)</f>
        <v>47000</v>
      </c>
      <c r="O38" s="37">
        <f t="shared" si="6"/>
        <v>47000</v>
      </c>
      <c r="P38" s="37">
        <f t="shared" si="7"/>
        <v>0</v>
      </c>
      <c r="Q38" s="35" t="str">
        <f t="shared" si="8"/>
        <v xml:space="preserve"> </v>
      </c>
      <c r="R38" s="27">
        <f>+VLOOKUP(T38,Sheet2!$B$2:$N$305,13,0)</f>
        <v>47000</v>
      </c>
      <c r="S38" s="38">
        <f t="shared" si="9"/>
        <v>0</v>
      </c>
      <c r="T38" t="str">
        <f t="shared" si="10"/>
        <v>02/01/2026NL300036</v>
      </c>
      <c r="U38" s="29">
        <f t="shared" si="11"/>
        <v>0</v>
      </c>
      <c r="V38" s="39">
        <f t="shared" si="12"/>
        <v>0</v>
      </c>
    </row>
    <row r="39" spans="1:22" x14ac:dyDescent="0.25">
      <c r="A39" s="4" t="s">
        <v>100</v>
      </c>
      <c r="B39" s="5" t="s">
        <v>83</v>
      </c>
      <c r="C39" s="4" t="s">
        <v>84</v>
      </c>
      <c r="D39" s="5" t="s">
        <v>133</v>
      </c>
      <c r="E39" s="4" t="s">
        <v>50</v>
      </c>
      <c r="F39" s="4" t="s">
        <v>51</v>
      </c>
      <c r="G39" s="4" t="s">
        <v>13</v>
      </c>
      <c r="H39" s="6">
        <v>20</v>
      </c>
      <c r="I39" s="7">
        <v>18000</v>
      </c>
      <c r="J39" s="7">
        <f t="shared" si="5"/>
        <v>360000</v>
      </c>
      <c r="K39" s="8" t="s">
        <v>12</v>
      </c>
      <c r="L39" s="35" t="str">
        <f>+VLOOKUP(E39,MÃ!$B$2:$F$229,2,0)</f>
        <v>NL600004</v>
      </c>
      <c r="M39" s="36">
        <f>+VLOOKUP(T39,Sheet2!$B$2:$N$305,10,0)</f>
        <v>20</v>
      </c>
      <c r="N39" s="37">
        <f>+VLOOKUP(L39,MÃ!$C$2:$F$226,4,0)</f>
        <v>18000</v>
      </c>
      <c r="O39" s="37">
        <f t="shared" si="6"/>
        <v>360000</v>
      </c>
      <c r="P39" s="37">
        <f t="shared" si="7"/>
        <v>0</v>
      </c>
      <c r="Q39" s="35" t="str">
        <f t="shared" si="8"/>
        <v xml:space="preserve"> </v>
      </c>
      <c r="R39" s="27">
        <f>+VLOOKUP(T39,Sheet2!$B$2:$N$305,13,0)</f>
        <v>360000</v>
      </c>
      <c r="S39" s="38">
        <f t="shared" si="9"/>
        <v>0</v>
      </c>
      <c r="T39" t="str">
        <f t="shared" si="10"/>
        <v>02/01/2026NL600004</v>
      </c>
      <c r="U39" s="29">
        <f t="shared" si="11"/>
        <v>0</v>
      </c>
      <c r="V39" s="39">
        <f t="shared" si="12"/>
        <v>0</v>
      </c>
    </row>
    <row r="40" spans="1:22" x14ac:dyDescent="0.25">
      <c r="A40" s="4" t="s">
        <v>100</v>
      </c>
      <c r="B40" s="5" t="s">
        <v>83</v>
      </c>
      <c r="C40" s="4" t="s">
        <v>84</v>
      </c>
      <c r="D40" s="5" t="s">
        <v>133</v>
      </c>
      <c r="E40" s="4" t="s">
        <v>18</v>
      </c>
      <c r="F40" s="4" t="s">
        <v>19</v>
      </c>
      <c r="G40" s="4" t="s">
        <v>13</v>
      </c>
      <c r="H40" s="6">
        <v>1.6</v>
      </c>
      <c r="I40" s="7">
        <v>55000</v>
      </c>
      <c r="J40" s="7">
        <f t="shared" si="5"/>
        <v>88000</v>
      </c>
      <c r="K40" s="8" t="s">
        <v>12</v>
      </c>
      <c r="L40" s="35" t="str">
        <f>+VLOOKUP(E40,MÃ!$B$2:$F$229,2,0)</f>
        <v>NL300058</v>
      </c>
      <c r="M40" s="36">
        <f>+VLOOKUP(T40,Sheet2!$B$2:$N$305,10,0)</f>
        <v>1.6</v>
      </c>
      <c r="N40" s="37">
        <f>+VLOOKUP(L40,MÃ!$C$2:$F$226,4,0)</f>
        <v>55000</v>
      </c>
      <c r="O40" s="37">
        <f t="shared" si="6"/>
        <v>88000</v>
      </c>
      <c r="P40" s="37">
        <f t="shared" si="7"/>
        <v>0</v>
      </c>
      <c r="Q40" s="35" t="str">
        <f t="shared" si="8"/>
        <v xml:space="preserve"> </v>
      </c>
      <c r="R40" s="27">
        <f>+VLOOKUP(T40,Sheet2!$B$2:$N$305,13,0)</f>
        <v>88000</v>
      </c>
      <c r="S40" s="38">
        <f t="shared" si="9"/>
        <v>0</v>
      </c>
      <c r="T40" t="str">
        <f t="shared" si="10"/>
        <v>02/01/2026NL300058</v>
      </c>
      <c r="U40" s="29">
        <f t="shared" si="11"/>
        <v>0</v>
      </c>
      <c r="V40" s="39">
        <f t="shared" si="12"/>
        <v>0</v>
      </c>
    </row>
    <row r="41" spans="1:22" x14ac:dyDescent="0.25">
      <c r="A41" s="4" t="s">
        <v>100</v>
      </c>
      <c r="B41" s="5" t="s">
        <v>83</v>
      </c>
      <c r="C41" s="4" t="s">
        <v>84</v>
      </c>
      <c r="D41" s="5" t="s">
        <v>133</v>
      </c>
      <c r="E41" s="4" t="s">
        <v>52</v>
      </c>
      <c r="F41" s="4" t="s">
        <v>53</v>
      </c>
      <c r="G41" s="4" t="s">
        <v>13</v>
      </c>
      <c r="H41" s="6">
        <v>0.1</v>
      </c>
      <c r="I41" s="7">
        <v>65000</v>
      </c>
      <c r="J41" s="7">
        <f t="shared" si="5"/>
        <v>6500</v>
      </c>
      <c r="K41" s="8" t="s">
        <v>12</v>
      </c>
      <c r="L41" s="35" t="str">
        <f>+VLOOKUP(E41,MÃ!$B$2:$F$229,2,0)</f>
        <v>NL300062</v>
      </c>
      <c r="M41" s="36">
        <f>+VLOOKUP(T41,Sheet2!$B$2:$N$305,10,0)</f>
        <v>0.1</v>
      </c>
      <c r="N41" s="37">
        <f>+VLOOKUP(L41,MÃ!$C$2:$F$226,4,0)</f>
        <v>65000</v>
      </c>
      <c r="O41" s="37">
        <f t="shared" si="6"/>
        <v>6500</v>
      </c>
      <c r="P41" s="37">
        <f t="shared" si="7"/>
        <v>0</v>
      </c>
      <c r="Q41" s="35" t="str">
        <f t="shared" si="8"/>
        <v xml:space="preserve"> </v>
      </c>
      <c r="R41" s="27">
        <f>+VLOOKUP(T41,Sheet2!$B$2:$N$305,13,0)</f>
        <v>6500</v>
      </c>
      <c r="S41" s="38">
        <f t="shared" si="9"/>
        <v>0</v>
      </c>
      <c r="T41" t="str">
        <f t="shared" si="10"/>
        <v>02/01/2026NL300062</v>
      </c>
      <c r="U41" s="29">
        <f t="shared" si="11"/>
        <v>0</v>
      </c>
      <c r="V41" s="39">
        <f t="shared" si="12"/>
        <v>0</v>
      </c>
    </row>
    <row r="42" spans="1:22" x14ac:dyDescent="0.25">
      <c r="A42" s="4" t="s">
        <v>100</v>
      </c>
      <c r="B42" s="5" t="s">
        <v>83</v>
      </c>
      <c r="C42" s="4" t="s">
        <v>84</v>
      </c>
      <c r="D42" s="5" t="s">
        <v>133</v>
      </c>
      <c r="E42" s="4" t="s">
        <v>70</v>
      </c>
      <c r="F42" s="4" t="s">
        <v>71</v>
      </c>
      <c r="G42" s="4" t="s">
        <v>13</v>
      </c>
      <c r="H42" s="6">
        <v>1</v>
      </c>
      <c r="I42" s="7">
        <v>30000</v>
      </c>
      <c r="J42" s="7">
        <f t="shared" si="5"/>
        <v>30000</v>
      </c>
      <c r="K42" s="8" t="s">
        <v>12</v>
      </c>
      <c r="L42" s="35" t="str">
        <f>+VLOOKUP(E42,MÃ!$B$2:$F$229,2,0)</f>
        <v>NL300209</v>
      </c>
      <c r="M42" s="36">
        <f>+VLOOKUP(T42,Sheet2!$B$2:$N$305,10,0)</f>
        <v>1</v>
      </c>
      <c r="N42" s="37">
        <f>+VLOOKUP(L42,MÃ!$C$2:$F$226,4,0)</f>
        <v>30000</v>
      </c>
      <c r="O42" s="37">
        <f t="shared" si="6"/>
        <v>30000</v>
      </c>
      <c r="P42" s="37">
        <f t="shared" si="7"/>
        <v>0</v>
      </c>
      <c r="Q42" s="35" t="str">
        <f t="shared" si="8"/>
        <v xml:space="preserve"> </v>
      </c>
      <c r="R42" s="27">
        <f>+VLOOKUP(T42,Sheet2!$B$2:$N$305,13,0)</f>
        <v>30000</v>
      </c>
      <c r="S42" s="38">
        <f t="shared" si="9"/>
        <v>0</v>
      </c>
      <c r="T42" t="str">
        <f t="shared" si="10"/>
        <v>02/01/2026NL300209</v>
      </c>
      <c r="U42" s="29">
        <f t="shared" si="11"/>
        <v>0</v>
      </c>
      <c r="V42" s="39">
        <f t="shared" si="12"/>
        <v>0</v>
      </c>
    </row>
    <row r="43" spans="1:22" x14ac:dyDescent="0.25">
      <c r="A43" s="4" t="s">
        <v>100</v>
      </c>
      <c r="B43" s="5" t="s">
        <v>83</v>
      </c>
      <c r="C43" s="4" t="s">
        <v>84</v>
      </c>
      <c r="D43" s="5" t="s">
        <v>133</v>
      </c>
      <c r="E43" s="4" t="s">
        <v>72</v>
      </c>
      <c r="F43" s="4" t="s">
        <v>73</v>
      </c>
      <c r="G43" s="4" t="s">
        <v>13</v>
      </c>
      <c r="H43" s="6">
        <v>1.2</v>
      </c>
      <c r="I43" s="7">
        <v>18000</v>
      </c>
      <c r="J43" s="7">
        <f t="shared" si="5"/>
        <v>21600</v>
      </c>
      <c r="K43" s="8" t="s">
        <v>12</v>
      </c>
      <c r="L43" s="35" t="str">
        <f>+VLOOKUP(E43,MÃ!$B$2:$F$229,2,0)</f>
        <v>NL300074</v>
      </c>
      <c r="M43" s="36">
        <f>+VLOOKUP(T43,Sheet2!$B$2:$N$305,10,0)</f>
        <v>1.2</v>
      </c>
      <c r="N43" s="37">
        <f>+VLOOKUP(L43,MÃ!$C$2:$F$226,4,0)</f>
        <v>18000</v>
      </c>
      <c r="O43" s="37">
        <f t="shared" si="6"/>
        <v>21600</v>
      </c>
      <c r="P43" s="37">
        <f t="shared" si="7"/>
        <v>0</v>
      </c>
      <c r="Q43" s="35" t="str">
        <f t="shared" si="8"/>
        <v xml:space="preserve"> </v>
      </c>
      <c r="R43" s="27">
        <f>+VLOOKUP(T43,Sheet2!$B$2:$N$305,13,0)</f>
        <v>21600</v>
      </c>
      <c r="S43" s="38">
        <f t="shared" si="9"/>
        <v>0</v>
      </c>
      <c r="T43" t="str">
        <f t="shared" si="10"/>
        <v>02/01/2026NL300074</v>
      </c>
      <c r="U43" s="29">
        <f t="shared" si="11"/>
        <v>0</v>
      </c>
      <c r="V43" s="39">
        <f t="shared" si="12"/>
        <v>0</v>
      </c>
    </row>
    <row r="44" spans="1:22" x14ac:dyDescent="0.25">
      <c r="A44" s="4" t="s">
        <v>100</v>
      </c>
      <c r="B44" s="5" t="s">
        <v>83</v>
      </c>
      <c r="C44" s="4" t="s">
        <v>84</v>
      </c>
      <c r="D44" s="5" t="s">
        <v>133</v>
      </c>
      <c r="E44" s="4" t="s">
        <v>74</v>
      </c>
      <c r="F44" s="4" t="s">
        <v>75</v>
      </c>
      <c r="G44" s="4" t="s">
        <v>13</v>
      </c>
      <c r="H44" s="6">
        <v>3.2</v>
      </c>
      <c r="I44" s="7">
        <v>22000</v>
      </c>
      <c r="J44" s="7">
        <f t="shared" si="5"/>
        <v>70400</v>
      </c>
      <c r="K44" s="8" t="s">
        <v>12</v>
      </c>
      <c r="L44" s="35" t="str">
        <f>+VLOOKUP(E44,MÃ!$B$2:$F$229,2,0)</f>
        <v>NL300084</v>
      </c>
      <c r="M44" s="36">
        <f>+VLOOKUP(T44,Sheet2!$B$2:$N$305,10,0)</f>
        <v>3.2</v>
      </c>
      <c r="N44" s="37">
        <f>+VLOOKUP(L44,MÃ!$C$2:$F$226,4,0)</f>
        <v>22000</v>
      </c>
      <c r="O44" s="37">
        <f t="shared" si="6"/>
        <v>70400</v>
      </c>
      <c r="P44" s="37">
        <f t="shared" si="7"/>
        <v>0</v>
      </c>
      <c r="Q44" s="35" t="str">
        <f t="shared" si="8"/>
        <v xml:space="preserve"> </v>
      </c>
      <c r="R44" s="27">
        <f>+VLOOKUP(T44,Sheet2!$B$2:$N$305,13,0)</f>
        <v>70400</v>
      </c>
      <c r="S44" s="38">
        <f t="shared" si="9"/>
        <v>0</v>
      </c>
      <c r="T44" t="str">
        <f t="shared" si="10"/>
        <v>02/01/2026NL300084</v>
      </c>
      <c r="U44" s="29">
        <f t="shared" si="11"/>
        <v>0</v>
      </c>
      <c r="V44" s="39">
        <f t="shared" si="12"/>
        <v>0</v>
      </c>
    </row>
    <row r="45" spans="1:22" x14ac:dyDescent="0.25">
      <c r="A45" s="4" t="s">
        <v>100</v>
      </c>
      <c r="B45" s="5" t="s">
        <v>83</v>
      </c>
      <c r="C45" s="4" t="s">
        <v>84</v>
      </c>
      <c r="D45" s="5" t="s">
        <v>133</v>
      </c>
      <c r="E45" s="4" t="s">
        <v>36</v>
      </c>
      <c r="F45" s="4" t="s">
        <v>37</v>
      </c>
      <c r="G45" s="4" t="s">
        <v>13</v>
      </c>
      <c r="H45" s="6">
        <v>3.3</v>
      </c>
      <c r="I45" s="7">
        <v>145000</v>
      </c>
      <c r="J45" s="7">
        <f t="shared" si="5"/>
        <v>478500</v>
      </c>
      <c r="K45" s="8" t="s">
        <v>12</v>
      </c>
      <c r="L45" s="35" t="str">
        <f>+VLOOKUP(E45,MÃ!$B$2:$F$229,2,0)</f>
        <v>NL300090</v>
      </c>
      <c r="M45" s="36">
        <f>+VLOOKUP(T45,Sheet2!$B$2:$N$305,10,0)</f>
        <v>3</v>
      </c>
      <c r="N45" s="37">
        <f>+VLOOKUP(L45,MÃ!$C$2:$F$226,4,0)</f>
        <v>145000</v>
      </c>
      <c r="O45" s="37">
        <f t="shared" si="6"/>
        <v>435000</v>
      </c>
      <c r="P45" s="37">
        <f t="shared" si="7"/>
        <v>43500</v>
      </c>
      <c r="Q45" s="35" t="str">
        <f t="shared" si="8"/>
        <v>SAI SL NHẬN</v>
      </c>
      <c r="R45" s="27">
        <f>+VLOOKUP(T45,Sheet2!$B$2:$N$305,13,0)</f>
        <v>435000</v>
      </c>
      <c r="S45" s="38">
        <f t="shared" si="9"/>
        <v>0</v>
      </c>
      <c r="T45" t="str">
        <f t="shared" si="10"/>
        <v>02/01/2026NL300090</v>
      </c>
      <c r="U45" s="29">
        <f t="shared" si="11"/>
        <v>0.29999999999999982</v>
      </c>
      <c r="V45" s="39">
        <f t="shared" si="12"/>
        <v>0</v>
      </c>
    </row>
    <row r="46" spans="1:22" x14ac:dyDescent="0.25">
      <c r="A46" s="4" t="s">
        <v>100</v>
      </c>
      <c r="B46" s="5" t="s">
        <v>83</v>
      </c>
      <c r="C46" s="4" t="s">
        <v>84</v>
      </c>
      <c r="D46" s="5" t="s">
        <v>133</v>
      </c>
      <c r="E46" s="4" t="s">
        <v>38</v>
      </c>
      <c r="F46" s="4" t="s">
        <v>39</v>
      </c>
      <c r="G46" s="4" t="s">
        <v>13</v>
      </c>
      <c r="H46" s="6">
        <v>3</v>
      </c>
      <c r="I46" s="7">
        <v>47000</v>
      </c>
      <c r="J46" s="7">
        <f t="shared" si="5"/>
        <v>141000</v>
      </c>
      <c r="K46" s="8" t="s">
        <v>12</v>
      </c>
      <c r="L46" s="35" t="str">
        <f>+VLOOKUP(E46,MÃ!$B$2:$F$229,2,0)</f>
        <v>NL300091</v>
      </c>
      <c r="M46" s="36">
        <f>+VLOOKUP(T46,Sheet2!$B$2:$N$305,10,0)</f>
        <v>3</v>
      </c>
      <c r="N46" s="37">
        <f>+VLOOKUP(L46,MÃ!$C$2:$F$226,4,0)</f>
        <v>47000</v>
      </c>
      <c r="O46" s="37">
        <f t="shared" si="6"/>
        <v>141000</v>
      </c>
      <c r="P46" s="37">
        <f t="shared" si="7"/>
        <v>0</v>
      </c>
      <c r="Q46" s="35" t="str">
        <f t="shared" si="8"/>
        <v xml:space="preserve"> </v>
      </c>
      <c r="R46" s="27">
        <f>+VLOOKUP(T46,Sheet2!$B$2:$N$305,13,0)</f>
        <v>141000</v>
      </c>
      <c r="S46" s="38">
        <f t="shared" si="9"/>
        <v>0</v>
      </c>
      <c r="T46" t="str">
        <f t="shared" si="10"/>
        <v>02/01/2026NL300091</v>
      </c>
      <c r="U46" s="29">
        <f t="shared" si="11"/>
        <v>0</v>
      </c>
      <c r="V46" s="39">
        <f t="shared" si="12"/>
        <v>0</v>
      </c>
    </row>
    <row r="47" spans="1:22" x14ac:dyDescent="0.25">
      <c r="A47" s="4" t="s">
        <v>100</v>
      </c>
      <c r="B47" s="5" t="s">
        <v>83</v>
      </c>
      <c r="C47" s="4" t="s">
        <v>84</v>
      </c>
      <c r="D47" s="5" t="s">
        <v>133</v>
      </c>
      <c r="E47" s="4" t="s">
        <v>42</v>
      </c>
      <c r="F47" s="4" t="s">
        <v>43</v>
      </c>
      <c r="G47" s="4" t="s">
        <v>13</v>
      </c>
      <c r="H47" s="6">
        <v>4</v>
      </c>
      <c r="I47" s="7">
        <v>45000</v>
      </c>
      <c r="J47" s="7">
        <f t="shared" si="5"/>
        <v>180000</v>
      </c>
      <c r="K47" s="8" t="s">
        <v>12</v>
      </c>
      <c r="L47" s="35" t="str">
        <f>+VLOOKUP(E47,MÃ!$B$2:$F$229,2,0)</f>
        <v>NL300096</v>
      </c>
      <c r="M47" s="36">
        <f>+VLOOKUP(T47,Sheet2!$B$2:$N$305,10,0)</f>
        <v>4</v>
      </c>
      <c r="N47" s="37">
        <f>+VLOOKUP(L47,MÃ!$C$2:$F$226,4,0)</f>
        <v>45000</v>
      </c>
      <c r="O47" s="37">
        <f t="shared" si="6"/>
        <v>180000</v>
      </c>
      <c r="P47" s="37">
        <f t="shared" si="7"/>
        <v>0</v>
      </c>
      <c r="Q47" s="35" t="str">
        <f t="shared" si="8"/>
        <v xml:space="preserve"> </v>
      </c>
      <c r="R47" s="27">
        <f>+VLOOKUP(T47,Sheet2!$B$2:$N$305,13,0)</f>
        <v>180000</v>
      </c>
      <c r="S47" s="38">
        <f t="shared" si="9"/>
        <v>0</v>
      </c>
      <c r="T47" t="str">
        <f t="shared" si="10"/>
        <v>02/01/2026NL300096</v>
      </c>
      <c r="U47" s="29">
        <f t="shared" si="11"/>
        <v>0</v>
      </c>
      <c r="V47" s="39">
        <f t="shared" si="12"/>
        <v>0</v>
      </c>
    </row>
    <row r="48" spans="1:22" ht="28.5" x14ac:dyDescent="0.25">
      <c r="A48" s="4" t="s">
        <v>100</v>
      </c>
      <c r="B48" s="5" t="s">
        <v>83</v>
      </c>
      <c r="C48" s="4" t="s">
        <v>84</v>
      </c>
      <c r="D48" s="5" t="s">
        <v>133</v>
      </c>
      <c r="E48" s="4" t="s">
        <v>44</v>
      </c>
      <c r="F48" s="4" t="s">
        <v>45</v>
      </c>
      <c r="G48" s="4" t="s">
        <v>13</v>
      </c>
      <c r="H48" s="6">
        <v>2</v>
      </c>
      <c r="I48" s="7">
        <v>95000</v>
      </c>
      <c r="J48" s="7">
        <f t="shared" si="5"/>
        <v>190000</v>
      </c>
      <c r="K48" s="8" t="s">
        <v>12</v>
      </c>
      <c r="L48" s="35" t="str">
        <f>+VLOOKUP(E48,MÃ!$B$2:$F$229,2,0)</f>
        <v>NL300098</v>
      </c>
      <c r="M48" s="36">
        <f>+VLOOKUP(T48,Sheet2!$B$2:$N$305,10,0)</f>
        <v>1.9</v>
      </c>
      <c r="N48" s="37">
        <f>+VLOOKUP(L48,MÃ!$C$2:$F$226,4,0)</f>
        <v>95000</v>
      </c>
      <c r="O48" s="37">
        <f t="shared" si="6"/>
        <v>180500</v>
      </c>
      <c r="P48" s="37">
        <f t="shared" si="7"/>
        <v>9500</v>
      </c>
      <c r="Q48" s="35" t="str">
        <f t="shared" si="8"/>
        <v>SAI SL NHẬN</v>
      </c>
      <c r="R48" s="27">
        <f>+VLOOKUP(T48,Sheet2!$B$2:$N$305,13,0)</f>
        <v>180500</v>
      </c>
      <c r="S48" s="38">
        <f t="shared" si="9"/>
        <v>0</v>
      </c>
      <c r="T48" t="str">
        <f t="shared" si="10"/>
        <v>02/01/2026NL300098</v>
      </c>
      <c r="U48" s="29">
        <f t="shared" si="11"/>
        <v>0.10000000000000009</v>
      </c>
      <c r="V48" s="39">
        <f t="shared" si="12"/>
        <v>0</v>
      </c>
    </row>
    <row r="49" spans="1:22" x14ac:dyDescent="0.25">
      <c r="A49" s="4" t="s">
        <v>100</v>
      </c>
      <c r="B49" s="5" t="s">
        <v>83</v>
      </c>
      <c r="C49" s="4" t="s">
        <v>84</v>
      </c>
      <c r="D49" s="5" t="s">
        <v>133</v>
      </c>
      <c r="E49" s="4" t="s">
        <v>20</v>
      </c>
      <c r="F49" s="4" t="s">
        <v>21</v>
      </c>
      <c r="G49" s="4" t="s">
        <v>13</v>
      </c>
      <c r="H49" s="6">
        <v>1.7</v>
      </c>
      <c r="I49" s="7">
        <v>45000</v>
      </c>
      <c r="J49" s="7">
        <f t="shared" si="5"/>
        <v>76500</v>
      </c>
      <c r="K49" s="8" t="s">
        <v>12</v>
      </c>
      <c r="L49" s="35" t="str">
        <f>+VLOOKUP(E49,MÃ!$B$2:$F$229,2,0)</f>
        <v>NL300085</v>
      </c>
      <c r="M49" s="36">
        <f>+VLOOKUP(T49,Sheet2!$B$2:$N$305,10,0)</f>
        <v>1.7</v>
      </c>
      <c r="N49" s="37">
        <f>+VLOOKUP(L49,MÃ!$C$2:$F$226,4,0)</f>
        <v>45000</v>
      </c>
      <c r="O49" s="37">
        <f t="shared" si="6"/>
        <v>76500</v>
      </c>
      <c r="P49" s="37">
        <f t="shared" si="7"/>
        <v>0</v>
      </c>
      <c r="Q49" s="35" t="str">
        <f t="shared" si="8"/>
        <v xml:space="preserve"> </v>
      </c>
      <c r="R49" s="27">
        <f>+VLOOKUP(T49,Sheet2!$B$2:$N$305,13,0)</f>
        <v>76500</v>
      </c>
      <c r="S49" s="38">
        <f t="shared" si="9"/>
        <v>0</v>
      </c>
      <c r="T49" t="str">
        <f t="shared" si="10"/>
        <v>02/01/2026NL300085</v>
      </c>
      <c r="U49" s="29">
        <f t="shared" si="11"/>
        <v>0</v>
      </c>
      <c r="V49" s="39">
        <f t="shared" si="12"/>
        <v>0</v>
      </c>
    </row>
    <row r="50" spans="1:22" x14ac:dyDescent="0.25">
      <c r="A50" s="4" t="s">
        <v>100</v>
      </c>
      <c r="B50" s="5" t="s">
        <v>83</v>
      </c>
      <c r="C50" s="4" t="s">
        <v>84</v>
      </c>
      <c r="D50" s="5" t="s">
        <v>133</v>
      </c>
      <c r="E50" s="4" t="s">
        <v>29</v>
      </c>
      <c r="F50" s="4" t="s">
        <v>30</v>
      </c>
      <c r="G50" s="4" t="s">
        <v>13</v>
      </c>
      <c r="H50" s="6">
        <v>2.5</v>
      </c>
      <c r="I50" s="7">
        <v>145000</v>
      </c>
      <c r="J50" s="7">
        <f t="shared" si="5"/>
        <v>362500</v>
      </c>
      <c r="K50" s="8" t="s">
        <v>12</v>
      </c>
      <c r="L50" s="35" t="str">
        <f>+VLOOKUP(E50,MÃ!$B$2:$F$229,2,0)</f>
        <v>NL300113</v>
      </c>
      <c r="M50" s="36">
        <f>+VLOOKUP(T50,Sheet2!$B$2:$N$305,10,0)</f>
        <v>2.5</v>
      </c>
      <c r="N50" s="37">
        <f>+VLOOKUP(L50,MÃ!$C$2:$F$226,4,0)</f>
        <v>145000</v>
      </c>
      <c r="O50" s="37">
        <f t="shared" si="6"/>
        <v>362500</v>
      </c>
      <c r="P50" s="37">
        <f t="shared" si="7"/>
        <v>0</v>
      </c>
      <c r="Q50" s="35" t="str">
        <f t="shared" si="8"/>
        <v xml:space="preserve"> </v>
      </c>
      <c r="R50" s="27">
        <f>+VLOOKUP(T50,Sheet2!$B$2:$N$305,13,0)</f>
        <v>362500</v>
      </c>
      <c r="S50" s="38">
        <f t="shared" si="9"/>
        <v>0</v>
      </c>
      <c r="T50" t="str">
        <f t="shared" si="10"/>
        <v>02/01/2026NL300113</v>
      </c>
      <c r="U50" s="29">
        <f t="shared" si="11"/>
        <v>0</v>
      </c>
      <c r="V50" s="39">
        <f t="shared" si="12"/>
        <v>0</v>
      </c>
    </row>
    <row r="51" spans="1:22" x14ac:dyDescent="0.25">
      <c r="A51" s="4" t="s">
        <v>100</v>
      </c>
      <c r="B51" s="5" t="s">
        <v>83</v>
      </c>
      <c r="C51" s="4" t="s">
        <v>84</v>
      </c>
      <c r="D51" s="5" t="s">
        <v>133</v>
      </c>
      <c r="E51" s="4" t="s">
        <v>27</v>
      </c>
      <c r="F51" s="4" t="s">
        <v>28</v>
      </c>
      <c r="G51" s="4" t="s">
        <v>13</v>
      </c>
      <c r="H51" s="6">
        <v>5</v>
      </c>
      <c r="I51" s="7">
        <v>21000</v>
      </c>
      <c r="J51" s="7">
        <f t="shared" si="5"/>
        <v>105000</v>
      </c>
      <c r="K51" s="8" t="s">
        <v>12</v>
      </c>
      <c r="L51" s="35" t="str">
        <f>+VLOOKUP(E51,MÃ!$B$2:$F$229,2,0)</f>
        <v>NL300119</v>
      </c>
      <c r="M51" s="36">
        <f>+VLOOKUP(T51,Sheet2!$B$2:$N$305,10,0)</f>
        <v>5</v>
      </c>
      <c r="N51" s="37">
        <f>+VLOOKUP(L51,MÃ!$C$2:$F$226,4,0)</f>
        <v>21000</v>
      </c>
      <c r="O51" s="37">
        <f t="shared" si="6"/>
        <v>105000</v>
      </c>
      <c r="P51" s="37">
        <f t="shared" si="7"/>
        <v>0</v>
      </c>
      <c r="Q51" s="35" t="str">
        <f t="shared" si="8"/>
        <v xml:space="preserve"> </v>
      </c>
      <c r="R51" s="27">
        <f>+VLOOKUP(T51,Sheet2!$B$2:$N$305,13,0)</f>
        <v>105000</v>
      </c>
      <c r="S51" s="38">
        <f t="shared" si="9"/>
        <v>0</v>
      </c>
      <c r="T51" t="str">
        <f t="shared" si="10"/>
        <v>02/01/2026NL300119</v>
      </c>
      <c r="U51" s="29">
        <f t="shared" si="11"/>
        <v>0</v>
      </c>
      <c r="V51" s="39">
        <f t="shared" si="12"/>
        <v>0</v>
      </c>
    </row>
    <row r="52" spans="1:22" x14ac:dyDescent="0.25">
      <c r="A52" s="4" t="s">
        <v>100</v>
      </c>
      <c r="B52" s="5" t="s">
        <v>83</v>
      </c>
      <c r="C52" s="4" t="s">
        <v>84</v>
      </c>
      <c r="D52" s="5" t="s">
        <v>133</v>
      </c>
      <c r="E52" s="4" t="s">
        <v>76</v>
      </c>
      <c r="F52" s="4" t="s">
        <v>77</v>
      </c>
      <c r="G52" s="4" t="s">
        <v>13</v>
      </c>
      <c r="H52" s="6">
        <v>1.5</v>
      </c>
      <c r="I52" s="7">
        <v>38000</v>
      </c>
      <c r="J52" s="7">
        <f t="shared" si="5"/>
        <v>57000</v>
      </c>
      <c r="K52" s="8" t="s">
        <v>12</v>
      </c>
      <c r="L52" s="35" t="str">
        <f>+VLOOKUP(E52,MÃ!$B$2:$F$229,2,0)</f>
        <v>NL300018</v>
      </c>
      <c r="M52" s="36">
        <f>+VLOOKUP(T52,Sheet2!$B$2:$N$305,10,0)</f>
        <v>1.5</v>
      </c>
      <c r="N52" s="37">
        <f>+VLOOKUP(L52,MÃ!$C$2:$F$226,4,0)</f>
        <v>38000</v>
      </c>
      <c r="O52" s="37">
        <f t="shared" si="6"/>
        <v>57000</v>
      </c>
      <c r="P52" s="37">
        <f t="shared" si="7"/>
        <v>0</v>
      </c>
      <c r="Q52" s="35" t="str">
        <f t="shared" si="8"/>
        <v xml:space="preserve"> </v>
      </c>
      <c r="R52" s="27">
        <f>+VLOOKUP(T52,Sheet2!$B$2:$N$305,13,0)</f>
        <v>57000</v>
      </c>
      <c r="S52" s="38">
        <f t="shared" si="9"/>
        <v>0</v>
      </c>
      <c r="T52" t="str">
        <f t="shared" si="10"/>
        <v>02/01/2026NL300018</v>
      </c>
      <c r="U52" s="29">
        <f t="shared" si="11"/>
        <v>0</v>
      </c>
      <c r="V52" s="39">
        <f t="shared" si="12"/>
        <v>0</v>
      </c>
    </row>
    <row r="53" spans="1:22" x14ac:dyDescent="0.25">
      <c r="A53" s="4" t="s">
        <v>100</v>
      </c>
      <c r="B53" s="5" t="s">
        <v>83</v>
      </c>
      <c r="C53" s="4" t="s">
        <v>84</v>
      </c>
      <c r="D53" s="5" t="s">
        <v>133</v>
      </c>
      <c r="E53" s="4" t="s">
        <v>14</v>
      </c>
      <c r="F53" s="4" t="s">
        <v>15</v>
      </c>
      <c r="G53" s="4" t="s">
        <v>13</v>
      </c>
      <c r="H53" s="6">
        <v>3</v>
      </c>
      <c r="I53" s="7">
        <v>50000</v>
      </c>
      <c r="J53" s="7">
        <f t="shared" si="5"/>
        <v>150000</v>
      </c>
      <c r="K53" s="8" t="s">
        <v>12</v>
      </c>
      <c r="L53" s="35" t="str">
        <f>+VLOOKUP(E53,MÃ!$B$2:$F$229,2,0)</f>
        <v>NL300142</v>
      </c>
      <c r="M53" s="36">
        <f>+VLOOKUP(T53,Sheet2!$B$2:$N$305,10,0)</f>
        <v>3</v>
      </c>
      <c r="N53" s="37">
        <f>+VLOOKUP(L53,MÃ!$C$2:$F$226,4,0)</f>
        <v>50000</v>
      </c>
      <c r="O53" s="37">
        <f t="shared" si="6"/>
        <v>150000</v>
      </c>
      <c r="P53" s="37">
        <f t="shared" si="7"/>
        <v>0</v>
      </c>
      <c r="Q53" s="35" t="str">
        <f t="shared" si="8"/>
        <v xml:space="preserve"> </v>
      </c>
      <c r="R53" s="27">
        <f>+VLOOKUP(T53,Sheet2!$B$2:$N$305,13,0)</f>
        <v>150000</v>
      </c>
      <c r="S53" s="38">
        <f t="shared" si="9"/>
        <v>0</v>
      </c>
      <c r="T53" t="str">
        <f t="shared" si="10"/>
        <v>02/01/2026NL300142</v>
      </c>
      <c r="U53" s="29">
        <f t="shared" si="11"/>
        <v>0</v>
      </c>
      <c r="V53" s="39">
        <f t="shared" si="12"/>
        <v>0</v>
      </c>
    </row>
    <row r="54" spans="1:22" x14ac:dyDescent="0.25">
      <c r="A54" s="4" t="s">
        <v>100</v>
      </c>
      <c r="B54" s="5" t="s">
        <v>83</v>
      </c>
      <c r="C54" s="4" t="s">
        <v>84</v>
      </c>
      <c r="D54" s="5" t="s">
        <v>133</v>
      </c>
      <c r="E54" s="4" t="s">
        <v>48</v>
      </c>
      <c r="F54" s="4" t="s">
        <v>49</v>
      </c>
      <c r="G54" s="4" t="s">
        <v>13</v>
      </c>
      <c r="H54" s="6">
        <v>7</v>
      </c>
      <c r="I54" s="7">
        <v>62000</v>
      </c>
      <c r="J54" s="7">
        <f t="shared" si="5"/>
        <v>434000</v>
      </c>
      <c r="K54" s="8" t="s">
        <v>12</v>
      </c>
      <c r="L54" s="35" t="str">
        <f>+VLOOKUP(E54,MÃ!$B$2:$F$229,2,0)</f>
        <v>NL300147</v>
      </c>
      <c r="M54" s="36">
        <f>+VLOOKUP(T54,Sheet2!$B$2:$N$305,10,0)</f>
        <v>7</v>
      </c>
      <c r="N54" s="37">
        <f>+VLOOKUP(L54,MÃ!$C$2:$F$226,4,0)</f>
        <v>62000</v>
      </c>
      <c r="O54" s="37">
        <f t="shared" si="6"/>
        <v>434000</v>
      </c>
      <c r="P54" s="37">
        <f t="shared" si="7"/>
        <v>0</v>
      </c>
      <c r="Q54" s="35" t="str">
        <f t="shared" si="8"/>
        <v xml:space="preserve"> </v>
      </c>
      <c r="R54" s="27">
        <f>+VLOOKUP(T54,Sheet2!$B$2:$N$305,13,0)</f>
        <v>434000</v>
      </c>
      <c r="S54" s="38">
        <f t="shared" si="9"/>
        <v>0</v>
      </c>
      <c r="T54" t="str">
        <f t="shared" si="10"/>
        <v>02/01/2026NL300147</v>
      </c>
      <c r="U54" s="29">
        <f t="shared" si="11"/>
        <v>0</v>
      </c>
      <c r="V54" s="39">
        <f t="shared" si="12"/>
        <v>0</v>
      </c>
    </row>
    <row r="55" spans="1:22" x14ac:dyDescent="0.25">
      <c r="A55" s="4" t="s">
        <v>104</v>
      </c>
      <c r="B55" s="5" t="s">
        <v>83</v>
      </c>
      <c r="C55" s="4" t="s">
        <v>84</v>
      </c>
      <c r="D55" s="5" t="s">
        <v>134</v>
      </c>
      <c r="E55" s="4" t="s">
        <v>31</v>
      </c>
      <c r="F55" s="4" t="s">
        <v>32</v>
      </c>
      <c r="G55" s="4" t="s">
        <v>33</v>
      </c>
      <c r="H55" s="6">
        <v>5</v>
      </c>
      <c r="I55" s="7">
        <v>8500</v>
      </c>
      <c r="J55" s="7">
        <f t="shared" si="5"/>
        <v>42500</v>
      </c>
      <c r="K55" s="8" t="s">
        <v>12</v>
      </c>
      <c r="L55" s="35" t="str">
        <f>+VLOOKUP(E55,MÃ!$B$2:$F$229,2,0)</f>
        <v>NL300107</v>
      </c>
      <c r="M55" s="36">
        <f>+VLOOKUP(T55,Sheet2!$B$2:$N$305,10,0)</f>
        <v>5</v>
      </c>
      <c r="N55" s="37">
        <f>+VLOOKUP(L55,MÃ!$C$2:$F$226,4,0)</f>
        <v>8500</v>
      </c>
      <c r="O55" s="37">
        <f t="shared" si="6"/>
        <v>42500</v>
      </c>
      <c r="P55" s="37">
        <f t="shared" si="7"/>
        <v>0</v>
      </c>
      <c r="Q55" s="35" t="str">
        <f t="shared" si="8"/>
        <v xml:space="preserve"> </v>
      </c>
      <c r="R55" s="27">
        <f>+VLOOKUP(T55,Sheet2!$B$2:$N$305,13,0)</f>
        <v>42500</v>
      </c>
      <c r="S55" s="38">
        <f t="shared" si="9"/>
        <v>0</v>
      </c>
      <c r="T55" t="str">
        <f t="shared" si="10"/>
        <v>03/01/2026NL300107</v>
      </c>
      <c r="U55" s="29">
        <f t="shared" si="11"/>
        <v>0</v>
      </c>
      <c r="V55" s="39">
        <f t="shared" si="12"/>
        <v>0</v>
      </c>
    </row>
    <row r="56" spans="1:22" x14ac:dyDescent="0.25">
      <c r="A56" s="4" t="s">
        <v>104</v>
      </c>
      <c r="B56" s="5" t="s">
        <v>83</v>
      </c>
      <c r="C56" s="4" t="s">
        <v>84</v>
      </c>
      <c r="D56" s="5" t="s">
        <v>134</v>
      </c>
      <c r="E56" s="4" t="s">
        <v>34</v>
      </c>
      <c r="F56" s="4" t="s">
        <v>35</v>
      </c>
      <c r="G56" s="4" t="s">
        <v>13</v>
      </c>
      <c r="H56" s="6">
        <v>0.5</v>
      </c>
      <c r="I56" s="7">
        <v>30000</v>
      </c>
      <c r="J56" s="7">
        <f t="shared" si="5"/>
        <v>15000</v>
      </c>
      <c r="K56" s="8" t="s">
        <v>12</v>
      </c>
      <c r="L56" s="35" t="str">
        <f>+VLOOKUP(E56,MÃ!$B$2:$F$229,2,0)</f>
        <v>NL300007</v>
      </c>
      <c r="M56" s="36">
        <f>+VLOOKUP(T56,Sheet2!$B$2:$N$305,10,0)</f>
        <v>0.5</v>
      </c>
      <c r="N56" s="37">
        <f>+VLOOKUP(L56,MÃ!$C$2:$F$226,4,0)</f>
        <v>30000</v>
      </c>
      <c r="O56" s="37">
        <f t="shared" si="6"/>
        <v>15000</v>
      </c>
      <c r="P56" s="37">
        <f t="shared" si="7"/>
        <v>0</v>
      </c>
      <c r="Q56" s="35" t="str">
        <f t="shared" si="8"/>
        <v xml:space="preserve"> </v>
      </c>
      <c r="R56" s="27">
        <f>+VLOOKUP(T56,Sheet2!$B$2:$N$305,13,0)</f>
        <v>15000</v>
      </c>
      <c r="S56" s="38">
        <f t="shared" si="9"/>
        <v>0</v>
      </c>
      <c r="T56" t="str">
        <f t="shared" si="10"/>
        <v>03/01/2026NL300007</v>
      </c>
      <c r="U56" s="29">
        <f t="shared" si="11"/>
        <v>0</v>
      </c>
      <c r="V56" s="39">
        <f t="shared" si="12"/>
        <v>0</v>
      </c>
    </row>
    <row r="57" spans="1:22" x14ac:dyDescent="0.25">
      <c r="A57" s="4" t="s">
        <v>104</v>
      </c>
      <c r="B57" s="5" t="s">
        <v>83</v>
      </c>
      <c r="C57" s="4" t="s">
        <v>84</v>
      </c>
      <c r="D57" s="5" t="s">
        <v>134</v>
      </c>
      <c r="E57" s="4" t="s">
        <v>62</v>
      </c>
      <c r="F57" s="4" t="s">
        <v>63</v>
      </c>
      <c r="G57" s="4" t="s">
        <v>13</v>
      </c>
      <c r="H57" s="6">
        <v>2.1</v>
      </c>
      <c r="I57" s="7">
        <v>45000</v>
      </c>
      <c r="J57" s="7">
        <f t="shared" si="5"/>
        <v>94500</v>
      </c>
      <c r="K57" s="8" t="s">
        <v>12</v>
      </c>
      <c r="L57" s="35" t="str">
        <f>+VLOOKUP(E57,MÃ!$B$2:$F$229,2,0)</f>
        <v>NL300203</v>
      </c>
      <c r="M57" s="36">
        <f>+VLOOKUP(T57,Sheet2!$B$2:$N$305,10,0)</f>
        <v>0</v>
      </c>
      <c r="N57" s="37">
        <f>+VLOOKUP(L57,MÃ!$C$2:$F$226,4,0)</f>
        <v>45000</v>
      </c>
      <c r="O57" s="37">
        <f t="shared" si="6"/>
        <v>0</v>
      </c>
      <c r="P57" s="37">
        <f t="shared" si="7"/>
        <v>94500</v>
      </c>
      <c r="Q57" s="35" t="str">
        <f t="shared" si="8"/>
        <v>SAI SL NHẬN</v>
      </c>
      <c r="R57" s="27">
        <f>+VLOOKUP(T57,Sheet2!$B$2:$N$305,13,0)</f>
        <v>0</v>
      </c>
      <c r="S57" s="38">
        <f t="shared" si="9"/>
        <v>0</v>
      </c>
      <c r="T57" t="str">
        <f t="shared" si="10"/>
        <v>03/01/2026NL300203</v>
      </c>
      <c r="U57" s="29">
        <f t="shared" si="11"/>
        <v>2.1</v>
      </c>
      <c r="V57" s="39">
        <f t="shared" si="12"/>
        <v>0</v>
      </c>
    </row>
    <row r="58" spans="1:22" x14ac:dyDescent="0.25">
      <c r="A58" s="4" t="s">
        <v>104</v>
      </c>
      <c r="B58" s="5" t="s">
        <v>83</v>
      </c>
      <c r="C58" s="4" t="s">
        <v>84</v>
      </c>
      <c r="D58" s="5" t="s">
        <v>134</v>
      </c>
      <c r="E58" s="4" t="s">
        <v>64</v>
      </c>
      <c r="F58" s="4" t="s">
        <v>65</v>
      </c>
      <c r="G58" s="4" t="s">
        <v>13</v>
      </c>
      <c r="H58" s="6">
        <v>1</v>
      </c>
      <c r="I58" s="7">
        <v>50000</v>
      </c>
      <c r="J58" s="7">
        <f t="shared" si="5"/>
        <v>50000</v>
      </c>
      <c r="K58" s="8" t="s">
        <v>12</v>
      </c>
      <c r="L58" s="35" t="str">
        <f>+VLOOKUP(E58,MÃ!$B$2:$F$229,2,0)</f>
        <v>NL300013</v>
      </c>
      <c r="M58" s="36">
        <f>+VLOOKUP(T58,Sheet2!$B$2:$N$305,10,0)</f>
        <v>0</v>
      </c>
      <c r="N58" s="37">
        <f>+VLOOKUP(L58,MÃ!$C$2:$F$226,4,0)</f>
        <v>50000</v>
      </c>
      <c r="O58" s="37">
        <f t="shared" si="6"/>
        <v>0</v>
      </c>
      <c r="P58" s="37">
        <f t="shared" si="7"/>
        <v>50000</v>
      </c>
      <c r="Q58" s="35" t="str">
        <f t="shared" si="8"/>
        <v>SAI SL NHẬN</v>
      </c>
      <c r="R58" s="27">
        <f>+VLOOKUP(T58,Sheet2!$B$2:$N$305,13,0)</f>
        <v>0</v>
      </c>
      <c r="S58" s="38">
        <f t="shared" si="9"/>
        <v>0</v>
      </c>
      <c r="T58" t="str">
        <f t="shared" si="10"/>
        <v>03/01/2026NL300013</v>
      </c>
      <c r="U58" s="29">
        <f t="shared" si="11"/>
        <v>1</v>
      </c>
      <c r="V58" s="39">
        <f t="shared" si="12"/>
        <v>0</v>
      </c>
    </row>
    <row r="59" spans="1:22" x14ac:dyDescent="0.25">
      <c r="A59" s="4" t="s">
        <v>104</v>
      </c>
      <c r="B59" s="5" t="s">
        <v>83</v>
      </c>
      <c r="C59" s="4" t="s">
        <v>84</v>
      </c>
      <c r="D59" s="5" t="s">
        <v>134</v>
      </c>
      <c r="E59" s="4" t="s">
        <v>66</v>
      </c>
      <c r="F59" s="4" t="s">
        <v>67</v>
      </c>
      <c r="G59" s="4" t="s">
        <v>13</v>
      </c>
      <c r="H59" s="6">
        <v>12.4</v>
      </c>
      <c r="I59" s="7">
        <v>18000</v>
      </c>
      <c r="J59" s="7">
        <f t="shared" si="5"/>
        <v>223200</v>
      </c>
      <c r="K59" s="8" t="s">
        <v>12</v>
      </c>
      <c r="L59" s="35" t="str">
        <f>+VLOOKUP(E59,MÃ!$B$2:$F$229,2,0)</f>
        <v>NL300022</v>
      </c>
      <c r="M59" s="36">
        <f>+VLOOKUP(T59,Sheet2!$B$2:$N$305,10,0)</f>
        <v>9.6999999999999993</v>
      </c>
      <c r="N59" s="37">
        <f>+VLOOKUP(L59,MÃ!$C$2:$F$226,4,0)</f>
        <v>18000</v>
      </c>
      <c r="O59" s="37">
        <f t="shared" si="6"/>
        <v>174600</v>
      </c>
      <c r="P59" s="37">
        <f t="shared" si="7"/>
        <v>48600</v>
      </c>
      <c r="Q59" s="35" t="str">
        <f t="shared" si="8"/>
        <v>SAI SL NHẬN</v>
      </c>
      <c r="R59" s="27">
        <f>+VLOOKUP(T59,Sheet2!$B$2:$N$305,13,0)</f>
        <v>174600</v>
      </c>
      <c r="S59" s="38">
        <f t="shared" si="9"/>
        <v>0</v>
      </c>
      <c r="T59" t="str">
        <f t="shared" si="10"/>
        <v>03/01/2026NL300022</v>
      </c>
      <c r="U59" s="29">
        <f t="shared" si="11"/>
        <v>2.7000000000000011</v>
      </c>
      <c r="V59" s="39">
        <f t="shared" si="12"/>
        <v>0</v>
      </c>
    </row>
    <row r="60" spans="1:22" x14ac:dyDescent="0.25">
      <c r="A60" s="4" t="s">
        <v>104</v>
      </c>
      <c r="B60" s="5" t="s">
        <v>83</v>
      </c>
      <c r="C60" s="4" t="s">
        <v>84</v>
      </c>
      <c r="D60" s="5" t="s">
        <v>134</v>
      </c>
      <c r="E60" s="4" t="s">
        <v>56</v>
      </c>
      <c r="F60" s="4" t="s">
        <v>57</v>
      </c>
      <c r="G60" s="4" t="s">
        <v>13</v>
      </c>
      <c r="H60" s="6">
        <v>0.5</v>
      </c>
      <c r="I60" s="7">
        <v>34000</v>
      </c>
      <c r="J60" s="7">
        <f t="shared" si="5"/>
        <v>17000</v>
      </c>
      <c r="K60" s="8" t="s">
        <v>12</v>
      </c>
      <c r="L60" s="35" t="str">
        <f>+VLOOKUP(E60,MÃ!$B$2:$F$229,2,0)</f>
        <v>NL300030</v>
      </c>
      <c r="M60" s="36">
        <f>+VLOOKUP(T60,Sheet2!$B$2:$N$305,10,0)</f>
        <v>0.5</v>
      </c>
      <c r="N60" s="37">
        <f>+VLOOKUP(L60,MÃ!$C$2:$F$226,4,0)</f>
        <v>34000</v>
      </c>
      <c r="O60" s="37">
        <f t="shared" si="6"/>
        <v>17000</v>
      </c>
      <c r="P60" s="37">
        <f t="shared" si="7"/>
        <v>0</v>
      </c>
      <c r="Q60" s="35" t="str">
        <f t="shared" si="8"/>
        <v xml:space="preserve"> </v>
      </c>
      <c r="R60" s="27">
        <f>+VLOOKUP(T60,Sheet2!$B$2:$N$305,13,0)</f>
        <v>17000</v>
      </c>
      <c r="S60" s="38">
        <f t="shared" si="9"/>
        <v>0</v>
      </c>
      <c r="T60" t="str">
        <f t="shared" si="10"/>
        <v>03/01/2026NL300030</v>
      </c>
      <c r="U60" s="29">
        <f t="shared" si="11"/>
        <v>0</v>
      </c>
      <c r="V60" s="39">
        <f t="shared" si="12"/>
        <v>0</v>
      </c>
    </row>
    <row r="61" spans="1:22" x14ac:dyDescent="0.25">
      <c r="A61" s="4" t="s">
        <v>104</v>
      </c>
      <c r="B61" s="5" t="s">
        <v>83</v>
      </c>
      <c r="C61" s="4" t="s">
        <v>84</v>
      </c>
      <c r="D61" s="5" t="s">
        <v>134</v>
      </c>
      <c r="E61" s="4" t="s">
        <v>25</v>
      </c>
      <c r="F61" s="4" t="s">
        <v>26</v>
      </c>
      <c r="G61" s="4" t="s">
        <v>13</v>
      </c>
      <c r="H61" s="6">
        <v>0.5</v>
      </c>
      <c r="I61" s="7">
        <v>22000</v>
      </c>
      <c r="J61" s="7">
        <f t="shared" si="5"/>
        <v>11000</v>
      </c>
      <c r="K61" s="8" t="s">
        <v>12</v>
      </c>
      <c r="L61" s="35" t="str">
        <f>+VLOOKUP(E61,MÃ!$B$2:$F$229,2,0)</f>
        <v>NL300029</v>
      </c>
      <c r="M61" s="36">
        <f>+VLOOKUP(T61,Sheet2!$B$2:$N$305,10,0)</f>
        <v>0.5</v>
      </c>
      <c r="N61" s="37">
        <f>+VLOOKUP(L61,MÃ!$C$2:$F$226,4,0)</f>
        <v>22000</v>
      </c>
      <c r="O61" s="37">
        <f t="shared" si="6"/>
        <v>11000</v>
      </c>
      <c r="P61" s="37">
        <f t="shared" si="7"/>
        <v>0</v>
      </c>
      <c r="Q61" s="35" t="str">
        <f t="shared" si="8"/>
        <v xml:space="preserve"> </v>
      </c>
      <c r="R61" s="27">
        <f>+VLOOKUP(T61,Sheet2!$B$2:$N$305,13,0)</f>
        <v>11000</v>
      </c>
      <c r="S61" s="38">
        <f t="shared" si="9"/>
        <v>0</v>
      </c>
      <c r="T61" t="str">
        <f t="shared" si="10"/>
        <v>03/01/2026NL300029</v>
      </c>
      <c r="U61" s="29">
        <f t="shared" si="11"/>
        <v>0</v>
      </c>
      <c r="V61" s="39">
        <f t="shared" si="12"/>
        <v>0</v>
      </c>
    </row>
    <row r="62" spans="1:22" x14ac:dyDescent="0.25">
      <c r="A62" s="4" t="s">
        <v>104</v>
      </c>
      <c r="B62" s="5" t="s">
        <v>83</v>
      </c>
      <c r="C62" s="4" t="s">
        <v>84</v>
      </c>
      <c r="D62" s="5" t="s">
        <v>134</v>
      </c>
      <c r="E62" s="4" t="s">
        <v>68</v>
      </c>
      <c r="F62" s="4" t="s">
        <v>69</v>
      </c>
      <c r="G62" s="4" t="s">
        <v>13</v>
      </c>
      <c r="H62" s="6">
        <v>1.4</v>
      </c>
      <c r="I62" s="7">
        <v>13000</v>
      </c>
      <c r="J62" s="7">
        <f t="shared" si="5"/>
        <v>18200</v>
      </c>
      <c r="K62" s="8" t="s">
        <v>12</v>
      </c>
      <c r="L62" s="35" t="str">
        <f>+VLOOKUP(E62,MÃ!$B$2:$F$229,2,0)</f>
        <v>NL300033</v>
      </c>
      <c r="M62" s="36">
        <f>+VLOOKUP(T62,Sheet2!$B$2:$N$305,10,0)</f>
        <v>1.4</v>
      </c>
      <c r="N62" s="37">
        <f>+VLOOKUP(L62,MÃ!$C$2:$F$226,4,0)</f>
        <v>13000</v>
      </c>
      <c r="O62" s="37">
        <f t="shared" si="6"/>
        <v>18200</v>
      </c>
      <c r="P62" s="37">
        <f t="shared" si="7"/>
        <v>0</v>
      </c>
      <c r="Q62" s="35" t="str">
        <f t="shared" si="8"/>
        <v xml:space="preserve"> </v>
      </c>
      <c r="R62" s="27">
        <f>+VLOOKUP(T62,Sheet2!$B$2:$N$305,13,0)</f>
        <v>18200</v>
      </c>
      <c r="S62" s="38">
        <f t="shared" si="9"/>
        <v>0</v>
      </c>
      <c r="T62" t="str">
        <f t="shared" si="10"/>
        <v>03/01/2026NL300033</v>
      </c>
      <c r="U62" s="29">
        <f t="shared" si="11"/>
        <v>0</v>
      </c>
      <c r="V62" s="39">
        <f t="shared" si="12"/>
        <v>0</v>
      </c>
    </row>
    <row r="63" spans="1:22" x14ac:dyDescent="0.25">
      <c r="A63" s="4" t="s">
        <v>104</v>
      </c>
      <c r="B63" s="5" t="s">
        <v>83</v>
      </c>
      <c r="C63" s="4" t="s">
        <v>84</v>
      </c>
      <c r="D63" s="5" t="s">
        <v>134</v>
      </c>
      <c r="E63" s="4" t="s">
        <v>16</v>
      </c>
      <c r="F63" s="4" t="s">
        <v>17</v>
      </c>
      <c r="G63" s="4" t="s">
        <v>13</v>
      </c>
      <c r="H63" s="6">
        <v>0.8</v>
      </c>
      <c r="I63" s="7">
        <v>47000</v>
      </c>
      <c r="J63" s="7">
        <f t="shared" si="5"/>
        <v>37600</v>
      </c>
      <c r="K63" s="8" t="s">
        <v>12</v>
      </c>
      <c r="L63" s="35" t="str">
        <f>+VLOOKUP(E63,MÃ!$B$2:$F$229,2,0)</f>
        <v>NL300036</v>
      </c>
      <c r="M63" s="36">
        <f>+VLOOKUP(T63,Sheet2!$B$2:$N$305,10,0)</f>
        <v>0.8</v>
      </c>
      <c r="N63" s="37">
        <f>+VLOOKUP(L63,MÃ!$C$2:$F$226,4,0)</f>
        <v>47000</v>
      </c>
      <c r="O63" s="37">
        <f t="shared" si="6"/>
        <v>37600</v>
      </c>
      <c r="P63" s="37">
        <f t="shared" si="7"/>
        <v>0</v>
      </c>
      <c r="Q63" s="35" t="str">
        <f t="shared" si="8"/>
        <v xml:space="preserve"> </v>
      </c>
      <c r="R63" s="27">
        <f>+VLOOKUP(T63,Sheet2!$B$2:$N$305,13,0)</f>
        <v>37600</v>
      </c>
      <c r="S63" s="38">
        <f t="shared" si="9"/>
        <v>0</v>
      </c>
      <c r="T63" t="str">
        <f t="shared" si="10"/>
        <v>03/01/2026NL300036</v>
      </c>
      <c r="U63" s="29">
        <f t="shared" si="11"/>
        <v>0</v>
      </c>
      <c r="V63" s="39">
        <f t="shared" si="12"/>
        <v>0</v>
      </c>
    </row>
    <row r="64" spans="1:22" x14ac:dyDescent="0.25">
      <c r="A64" s="4" t="s">
        <v>104</v>
      </c>
      <c r="B64" s="5" t="s">
        <v>83</v>
      </c>
      <c r="C64" s="4" t="s">
        <v>84</v>
      </c>
      <c r="D64" s="5" t="s">
        <v>134</v>
      </c>
      <c r="E64" s="4" t="s">
        <v>50</v>
      </c>
      <c r="F64" s="4" t="s">
        <v>51</v>
      </c>
      <c r="G64" s="4" t="s">
        <v>13</v>
      </c>
      <c r="H64" s="6">
        <v>14.5</v>
      </c>
      <c r="I64" s="7">
        <v>18000</v>
      </c>
      <c r="J64" s="7">
        <f t="shared" si="5"/>
        <v>261000</v>
      </c>
      <c r="K64" s="8" t="s">
        <v>12</v>
      </c>
      <c r="L64" s="35" t="str">
        <f>+VLOOKUP(E64,MÃ!$B$2:$F$229,2,0)</f>
        <v>NL600004</v>
      </c>
      <c r="M64" s="36">
        <f>+VLOOKUP(T64,Sheet2!$B$2:$N$305,10,0)</f>
        <v>14.5</v>
      </c>
      <c r="N64" s="37">
        <f>+VLOOKUP(L64,MÃ!$C$2:$F$226,4,0)</f>
        <v>18000</v>
      </c>
      <c r="O64" s="37">
        <f t="shared" si="6"/>
        <v>261000</v>
      </c>
      <c r="P64" s="37">
        <f t="shared" si="7"/>
        <v>0</v>
      </c>
      <c r="Q64" s="35" t="str">
        <f t="shared" si="8"/>
        <v xml:space="preserve"> </v>
      </c>
      <c r="R64" s="27">
        <f>+VLOOKUP(T64,Sheet2!$B$2:$N$305,13,0)</f>
        <v>261000</v>
      </c>
      <c r="S64" s="38">
        <f t="shared" si="9"/>
        <v>0</v>
      </c>
      <c r="T64" t="str">
        <f t="shared" si="10"/>
        <v>03/01/2026NL600004</v>
      </c>
      <c r="U64" s="29">
        <f t="shared" si="11"/>
        <v>0</v>
      </c>
      <c r="V64" s="39">
        <f t="shared" si="12"/>
        <v>0</v>
      </c>
    </row>
    <row r="65" spans="1:22" x14ac:dyDescent="0.25">
      <c r="A65" s="4" t="s">
        <v>104</v>
      </c>
      <c r="B65" s="5" t="s">
        <v>83</v>
      </c>
      <c r="C65" s="4" t="s">
        <v>84</v>
      </c>
      <c r="D65" s="5" t="s">
        <v>134</v>
      </c>
      <c r="E65" s="4" t="s">
        <v>18</v>
      </c>
      <c r="F65" s="4" t="s">
        <v>19</v>
      </c>
      <c r="G65" s="4" t="s">
        <v>13</v>
      </c>
      <c r="H65" s="6">
        <v>1</v>
      </c>
      <c r="I65" s="7">
        <v>55000</v>
      </c>
      <c r="J65" s="7">
        <f t="shared" si="5"/>
        <v>55000</v>
      </c>
      <c r="K65" s="8" t="s">
        <v>12</v>
      </c>
      <c r="L65" s="35" t="str">
        <f>+VLOOKUP(E65,MÃ!$B$2:$F$229,2,0)</f>
        <v>NL300058</v>
      </c>
      <c r="M65" s="36">
        <f>+VLOOKUP(T65,Sheet2!$B$2:$N$305,10,0)</f>
        <v>1</v>
      </c>
      <c r="N65" s="37">
        <f>+VLOOKUP(L65,MÃ!$C$2:$F$226,4,0)</f>
        <v>55000</v>
      </c>
      <c r="O65" s="37">
        <f t="shared" si="6"/>
        <v>55000</v>
      </c>
      <c r="P65" s="37">
        <f t="shared" si="7"/>
        <v>0</v>
      </c>
      <c r="Q65" s="35" t="str">
        <f t="shared" si="8"/>
        <v xml:space="preserve"> </v>
      </c>
      <c r="R65" s="27">
        <f>+VLOOKUP(T65,Sheet2!$B$2:$N$305,13,0)</f>
        <v>55000</v>
      </c>
      <c r="S65" s="38">
        <f t="shared" si="9"/>
        <v>0</v>
      </c>
      <c r="T65" t="str">
        <f t="shared" si="10"/>
        <v>03/01/2026NL300058</v>
      </c>
      <c r="U65" s="29">
        <f t="shared" si="11"/>
        <v>0</v>
      </c>
      <c r="V65" s="39">
        <f t="shared" si="12"/>
        <v>0</v>
      </c>
    </row>
    <row r="66" spans="1:22" x14ac:dyDescent="0.25">
      <c r="A66" s="4" t="s">
        <v>104</v>
      </c>
      <c r="B66" s="5" t="s">
        <v>83</v>
      </c>
      <c r="C66" s="4" t="s">
        <v>84</v>
      </c>
      <c r="D66" s="5" t="s">
        <v>134</v>
      </c>
      <c r="E66" s="4" t="s">
        <v>52</v>
      </c>
      <c r="F66" s="4" t="s">
        <v>53</v>
      </c>
      <c r="G66" s="4" t="s">
        <v>13</v>
      </c>
      <c r="H66" s="6">
        <v>0.1</v>
      </c>
      <c r="I66" s="7">
        <v>65000</v>
      </c>
      <c r="J66" s="7">
        <f t="shared" si="5"/>
        <v>6500</v>
      </c>
      <c r="K66" s="8" t="s">
        <v>12</v>
      </c>
      <c r="L66" s="35" t="str">
        <f>+VLOOKUP(E66,MÃ!$B$2:$F$229,2,0)</f>
        <v>NL300062</v>
      </c>
      <c r="M66" s="36">
        <f>+VLOOKUP(T66,Sheet2!$B$2:$N$305,10,0)</f>
        <v>0.1</v>
      </c>
      <c r="N66" s="37">
        <f>+VLOOKUP(L66,MÃ!$C$2:$F$226,4,0)</f>
        <v>65000</v>
      </c>
      <c r="O66" s="37">
        <f t="shared" si="6"/>
        <v>6500</v>
      </c>
      <c r="P66" s="37">
        <f t="shared" si="7"/>
        <v>0</v>
      </c>
      <c r="Q66" s="35" t="str">
        <f t="shared" si="8"/>
        <v xml:space="preserve"> </v>
      </c>
      <c r="R66" s="27">
        <f>+VLOOKUP(T66,Sheet2!$B$2:$N$305,13,0)</f>
        <v>6500</v>
      </c>
      <c r="S66" s="38">
        <f t="shared" si="9"/>
        <v>0</v>
      </c>
      <c r="T66" t="str">
        <f t="shared" si="10"/>
        <v>03/01/2026NL300062</v>
      </c>
      <c r="U66" s="29">
        <f t="shared" si="11"/>
        <v>0</v>
      </c>
      <c r="V66" s="39">
        <f t="shared" si="12"/>
        <v>0</v>
      </c>
    </row>
    <row r="67" spans="1:22" x14ac:dyDescent="0.25">
      <c r="A67" s="4" t="s">
        <v>104</v>
      </c>
      <c r="B67" s="5" t="s">
        <v>83</v>
      </c>
      <c r="C67" s="4" t="s">
        <v>84</v>
      </c>
      <c r="D67" s="5" t="s">
        <v>134</v>
      </c>
      <c r="E67" s="4" t="s">
        <v>70</v>
      </c>
      <c r="F67" s="4" t="s">
        <v>71</v>
      </c>
      <c r="G67" s="4" t="s">
        <v>13</v>
      </c>
      <c r="H67" s="6">
        <v>2.2000000000000002</v>
      </c>
      <c r="I67" s="7">
        <v>30000</v>
      </c>
      <c r="J67" s="7">
        <f t="shared" si="5"/>
        <v>66000</v>
      </c>
      <c r="K67" s="8" t="s">
        <v>12</v>
      </c>
      <c r="L67" s="35" t="str">
        <f>+VLOOKUP(E67,MÃ!$B$2:$F$229,2,0)</f>
        <v>NL300209</v>
      </c>
      <c r="M67" s="36">
        <f>+VLOOKUP(T67,Sheet2!$B$2:$N$305,10,0)</f>
        <v>0</v>
      </c>
      <c r="N67" s="37">
        <f>+VLOOKUP(L67,MÃ!$C$2:$F$226,4,0)</f>
        <v>30000</v>
      </c>
      <c r="O67" s="37">
        <f t="shared" si="6"/>
        <v>0</v>
      </c>
      <c r="P67" s="37">
        <f t="shared" si="7"/>
        <v>66000</v>
      </c>
      <c r="Q67" s="35" t="str">
        <f t="shared" si="8"/>
        <v>SAI SL NHẬN</v>
      </c>
      <c r="R67" s="27">
        <f>+VLOOKUP(T67,Sheet2!$B$2:$N$305,13,0)</f>
        <v>0</v>
      </c>
      <c r="S67" s="38">
        <f t="shared" si="9"/>
        <v>0</v>
      </c>
      <c r="T67" t="str">
        <f t="shared" si="10"/>
        <v>03/01/2026NL300209</v>
      </c>
      <c r="U67" s="29">
        <f t="shared" si="11"/>
        <v>2.2000000000000002</v>
      </c>
      <c r="V67" s="39">
        <f t="shared" si="12"/>
        <v>0</v>
      </c>
    </row>
    <row r="68" spans="1:22" x14ac:dyDescent="0.25">
      <c r="A68" s="4" t="s">
        <v>104</v>
      </c>
      <c r="B68" s="5" t="s">
        <v>83</v>
      </c>
      <c r="C68" s="4" t="s">
        <v>84</v>
      </c>
      <c r="D68" s="5" t="s">
        <v>134</v>
      </c>
      <c r="E68" s="4" t="s">
        <v>72</v>
      </c>
      <c r="F68" s="4" t="s">
        <v>73</v>
      </c>
      <c r="G68" s="4" t="s">
        <v>13</v>
      </c>
      <c r="H68" s="6">
        <v>1.4</v>
      </c>
      <c r="I68" s="7">
        <v>18000</v>
      </c>
      <c r="J68" s="7">
        <f t="shared" si="5"/>
        <v>25200</v>
      </c>
      <c r="K68" s="8" t="s">
        <v>12</v>
      </c>
      <c r="L68" s="35" t="str">
        <f>+VLOOKUP(E68,MÃ!$B$2:$F$229,2,0)</f>
        <v>NL300074</v>
      </c>
      <c r="M68" s="36">
        <f>+VLOOKUP(T68,Sheet2!$B$2:$N$305,10,0)</f>
        <v>1.4</v>
      </c>
      <c r="N68" s="37">
        <f>+VLOOKUP(L68,MÃ!$C$2:$F$226,4,0)</f>
        <v>18000</v>
      </c>
      <c r="O68" s="37">
        <f t="shared" si="6"/>
        <v>25200</v>
      </c>
      <c r="P68" s="37">
        <f t="shared" si="7"/>
        <v>0</v>
      </c>
      <c r="Q68" s="35" t="str">
        <f t="shared" si="8"/>
        <v xml:space="preserve"> </v>
      </c>
      <c r="R68" s="27">
        <f>+VLOOKUP(T68,Sheet2!$B$2:$N$305,13,0)</f>
        <v>25200</v>
      </c>
      <c r="S68" s="38">
        <f t="shared" si="9"/>
        <v>0</v>
      </c>
      <c r="T68" t="str">
        <f t="shared" si="10"/>
        <v>03/01/2026NL300074</v>
      </c>
      <c r="U68" s="29">
        <f t="shared" si="11"/>
        <v>0</v>
      </c>
      <c r="V68" s="39">
        <f t="shared" si="12"/>
        <v>0</v>
      </c>
    </row>
    <row r="69" spans="1:22" x14ac:dyDescent="0.25">
      <c r="A69" s="4" t="s">
        <v>104</v>
      </c>
      <c r="B69" s="5" t="s">
        <v>83</v>
      </c>
      <c r="C69" s="4" t="s">
        <v>84</v>
      </c>
      <c r="D69" s="5" t="s">
        <v>134</v>
      </c>
      <c r="E69" s="4" t="s">
        <v>74</v>
      </c>
      <c r="F69" s="4" t="s">
        <v>75</v>
      </c>
      <c r="G69" s="4" t="s">
        <v>13</v>
      </c>
      <c r="H69" s="6">
        <v>3</v>
      </c>
      <c r="I69" s="7">
        <v>22000</v>
      </c>
      <c r="J69" s="7">
        <f t="shared" si="5"/>
        <v>66000</v>
      </c>
      <c r="K69" s="8" t="s">
        <v>12</v>
      </c>
      <c r="L69" s="35" t="str">
        <f>+VLOOKUP(E69,MÃ!$B$2:$F$229,2,0)</f>
        <v>NL300084</v>
      </c>
      <c r="M69" s="36">
        <f>+VLOOKUP(T69,Sheet2!$B$2:$N$305,10,0)</f>
        <v>0</v>
      </c>
      <c r="N69" s="37">
        <f>+VLOOKUP(L69,MÃ!$C$2:$F$226,4,0)</f>
        <v>22000</v>
      </c>
      <c r="O69" s="37">
        <f t="shared" si="6"/>
        <v>0</v>
      </c>
      <c r="P69" s="37">
        <f t="shared" si="7"/>
        <v>66000</v>
      </c>
      <c r="Q69" s="35" t="str">
        <f t="shared" si="8"/>
        <v>SAI SL NHẬN</v>
      </c>
      <c r="R69" s="27">
        <f>+VLOOKUP(T69,Sheet2!$B$2:$N$305,13,0)</f>
        <v>0</v>
      </c>
      <c r="S69" s="38">
        <f t="shared" si="9"/>
        <v>0</v>
      </c>
      <c r="T69" t="str">
        <f t="shared" si="10"/>
        <v>03/01/2026NL300084</v>
      </c>
      <c r="U69" s="29">
        <f t="shared" si="11"/>
        <v>3</v>
      </c>
      <c r="V69" s="39">
        <f t="shared" si="12"/>
        <v>0</v>
      </c>
    </row>
    <row r="70" spans="1:22" x14ac:dyDescent="0.25">
      <c r="A70" s="4" t="s">
        <v>104</v>
      </c>
      <c r="B70" s="5" t="s">
        <v>83</v>
      </c>
      <c r="C70" s="4" t="s">
        <v>84</v>
      </c>
      <c r="D70" s="5" t="s">
        <v>134</v>
      </c>
      <c r="E70" s="4" t="s">
        <v>36</v>
      </c>
      <c r="F70" s="4" t="s">
        <v>37</v>
      </c>
      <c r="G70" s="4" t="s">
        <v>13</v>
      </c>
      <c r="H70" s="6">
        <v>3</v>
      </c>
      <c r="I70" s="7">
        <v>145000</v>
      </c>
      <c r="J70" s="7">
        <f t="shared" si="5"/>
        <v>435000</v>
      </c>
      <c r="K70" s="8" t="s">
        <v>12</v>
      </c>
      <c r="L70" s="35" t="str">
        <f>+VLOOKUP(E70,MÃ!$B$2:$F$229,2,0)</f>
        <v>NL300090</v>
      </c>
      <c r="M70" s="36">
        <f>+VLOOKUP(T70,Sheet2!$B$2:$N$305,10,0)</f>
        <v>3</v>
      </c>
      <c r="N70" s="37">
        <f>+VLOOKUP(L70,MÃ!$C$2:$F$226,4,0)</f>
        <v>145000</v>
      </c>
      <c r="O70" s="37">
        <f t="shared" si="6"/>
        <v>435000</v>
      </c>
      <c r="P70" s="37">
        <f t="shared" si="7"/>
        <v>0</v>
      </c>
      <c r="Q70" s="35" t="str">
        <f t="shared" si="8"/>
        <v xml:space="preserve"> </v>
      </c>
      <c r="R70" s="27">
        <f>+VLOOKUP(T70,Sheet2!$B$2:$N$305,13,0)</f>
        <v>435000</v>
      </c>
      <c r="S70" s="38">
        <f t="shared" si="9"/>
        <v>0</v>
      </c>
      <c r="T70" t="str">
        <f t="shared" si="10"/>
        <v>03/01/2026NL300090</v>
      </c>
      <c r="U70" s="29">
        <f t="shared" si="11"/>
        <v>0</v>
      </c>
      <c r="V70" s="39">
        <f t="shared" si="12"/>
        <v>0</v>
      </c>
    </row>
    <row r="71" spans="1:22" x14ac:dyDescent="0.25">
      <c r="A71" s="4" t="s">
        <v>104</v>
      </c>
      <c r="B71" s="5" t="s">
        <v>83</v>
      </c>
      <c r="C71" s="4" t="s">
        <v>84</v>
      </c>
      <c r="D71" s="5" t="s">
        <v>134</v>
      </c>
      <c r="E71" s="4" t="s">
        <v>38</v>
      </c>
      <c r="F71" s="4" t="s">
        <v>39</v>
      </c>
      <c r="G71" s="4" t="s">
        <v>13</v>
      </c>
      <c r="H71" s="6">
        <v>3</v>
      </c>
      <c r="I71" s="7">
        <v>47000</v>
      </c>
      <c r="J71" s="7">
        <f t="shared" si="5"/>
        <v>141000</v>
      </c>
      <c r="K71" s="8" t="s">
        <v>12</v>
      </c>
      <c r="L71" s="35" t="str">
        <f>+VLOOKUP(E71,MÃ!$B$2:$F$229,2,0)</f>
        <v>NL300091</v>
      </c>
      <c r="M71" s="36">
        <f>+VLOOKUP(T71,Sheet2!$B$2:$N$305,10,0)</f>
        <v>3</v>
      </c>
      <c r="N71" s="37">
        <f>+VLOOKUP(L71,MÃ!$C$2:$F$226,4,0)</f>
        <v>47000</v>
      </c>
      <c r="O71" s="37">
        <f t="shared" si="6"/>
        <v>141000</v>
      </c>
      <c r="P71" s="37">
        <f t="shared" si="7"/>
        <v>0</v>
      </c>
      <c r="Q71" s="35" t="str">
        <f t="shared" si="8"/>
        <v xml:space="preserve"> </v>
      </c>
      <c r="R71" s="27">
        <f>+VLOOKUP(T71,Sheet2!$B$2:$N$305,13,0)</f>
        <v>141000</v>
      </c>
      <c r="S71" s="38">
        <f t="shared" si="9"/>
        <v>0</v>
      </c>
      <c r="T71" t="str">
        <f t="shared" si="10"/>
        <v>03/01/2026NL300091</v>
      </c>
      <c r="U71" s="29">
        <f t="shared" si="11"/>
        <v>0</v>
      </c>
      <c r="V71" s="39">
        <f t="shared" si="12"/>
        <v>0</v>
      </c>
    </row>
    <row r="72" spans="1:22" x14ac:dyDescent="0.25">
      <c r="A72" s="4" t="s">
        <v>104</v>
      </c>
      <c r="B72" s="5" t="s">
        <v>83</v>
      </c>
      <c r="C72" s="4" t="s">
        <v>84</v>
      </c>
      <c r="D72" s="5" t="s">
        <v>134</v>
      </c>
      <c r="E72" s="4" t="s">
        <v>40</v>
      </c>
      <c r="F72" s="4" t="s">
        <v>41</v>
      </c>
      <c r="G72" s="4" t="s">
        <v>13</v>
      </c>
      <c r="H72" s="6">
        <v>2.1</v>
      </c>
      <c r="I72" s="7">
        <v>80000</v>
      </c>
      <c r="J72" s="7">
        <f t="shared" si="5"/>
        <v>168000</v>
      </c>
      <c r="K72" s="8" t="s">
        <v>12</v>
      </c>
      <c r="L72" s="35" t="str">
        <f>+VLOOKUP(E72,MÃ!$B$2:$F$229,2,0)</f>
        <v>NL300094</v>
      </c>
      <c r="M72" s="36">
        <f>+VLOOKUP(T72,Sheet2!$B$2:$N$305,10,0)</f>
        <v>2.1</v>
      </c>
      <c r="N72" s="37">
        <f>+VLOOKUP(L72,MÃ!$C$2:$F$226,4,0)</f>
        <v>80000</v>
      </c>
      <c r="O72" s="37">
        <f t="shared" si="6"/>
        <v>168000</v>
      </c>
      <c r="P72" s="37">
        <f t="shared" si="7"/>
        <v>0</v>
      </c>
      <c r="Q72" s="35" t="str">
        <f t="shared" si="8"/>
        <v xml:space="preserve"> </v>
      </c>
      <c r="R72" s="27">
        <f>+VLOOKUP(T72,Sheet2!$B$2:$N$305,13,0)</f>
        <v>168000</v>
      </c>
      <c r="S72" s="38">
        <f t="shared" si="9"/>
        <v>0</v>
      </c>
      <c r="T72" t="str">
        <f t="shared" si="10"/>
        <v>03/01/2026NL300094</v>
      </c>
      <c r="U72" s="29">
        <f t="shared" si="11"/>
        <v>0</v>
      </c>
      <c r="V72" s="39">
        <f t="shared" si="12"/>
        <v>0</v>
      </c>
    </row>
    <row r="73" spans="1:22" x14ac:dyDescent="0.25">
      <c r="A73" s="4" t="s">
        <v>104</v>
      </c>
      <c r="B73" s="5" t="s">
        <v>83</v>
      </c>
      <c r="C73" s="4" t="s">
        <v>84</v>
      </c>
      <c r="D73" s="5" t="s">
        <v>134</v>
      </c>
      <c r="E73" s="4" t="s">
        <v>42</v>
      </c>
      <c r="F73" s="4" t="s">
        <v>43</v>
      </c>
      <c r="G73" s="4" t="s">
        <v>13</v>
      </c>
      <c r="H73" s="6">
        <v>4</v>
      </c>
      <c r="I73" s="7">
        <v>45000</v>
      </c>
      <c r="J73" s="7">
        <f t="shared" si="5"/>
        <v>180000</v>
      </c>
      <c r="K73" s="8" t="s">
        <v>12</v>
      </c>
      <c r="L73" s="35" t="str">
        <f>+VLOOKUP(E73,MÃ!$B$2:$F$229,2,0)</f>
        <v>NL300096</v>
      </c>
      <c r="M73" s="36">
        <f>+VLOOKUP(T73,Sheet2!$B$2:$N$305,10,0)</f>
        <v>4</v>
      </c>
      <c r="N73" s="37">
        <f>+VLOOKUP(L73,MÃ!$C$2:$F$226,4,0)</f>
        <v>45000</v>
      </c>
      <c r="O73" s="37">
        <f t="shared" si="6"/>
        <v>180000</v>
      </c>
      <c r="P73" s="37">
        <f t="shared" si="7"/>
        <v>0</v>
      </c>
      <c r="Q73" s="35" t="str">
        <f t="shared" si="8"/>
        <v xml:space="preserve"> </v>
      </c>
      <c r="R73" s="27">
        <f>+VLOOKUP(T73,Sheet2!$B$2:$N$305,13,0)</f>
        <v>180000</v>
      </c>
      <c r="S73" s="38">
        <f t="shared" si="9"/>
        <v>0</v>
      </c>
      <c r="T73" t="str">
        <f t="shared" si="10"/>
        <v>03/01/2026NL300096</v>
      </c>
      <c r="U73" s="29">
        <f t="shared" si="11"/>
        <v>0</v>
      </c>
      <c r="V73" s="39">
        <f t="shared" si="12"/>
        <v>0</v>
      </c>
    </row>
    <row r="74" spans="1:22" ht="28.5" x14ac:dyDescent="0.25">
      <c r="A74" s="4" t="s">
        <v>104</v>
      </c>
      <c r="B74" s="5" t="s">
        <v>83</v>
      </c>
      <c r="C74" s="4" t="s">
        <v>84</v>
      </c>
      <c r="D74" s="5" t="s">
        <v>134</v>
      </c>
      <c r="E74" s="4" t="s">
        <v>44</v>
      </c>
      <c r="F74" s="4" t="s">
        <v>45</v>
      </c>
      <c r="G74" s="4" t="s">
        <v>13</v>
      </c>
      <c r="H74" s="6">
        <v>3.9</v>
      </c>
      <c r="I74" s="7">
        <v>95000</v>
      </c>
      <c r="J74" s="7">
        <f t="shared" si="5"/>
        <v>370500</v>
      </c>
      <c r="K74" s="8" t="s">
        <v>12</v>
      </c>
      <c r="L74" s="35" t="str">
        <f>+VLOOKUP(E74,MÃ!$B$2:$F$229,2,0)</f>
        <v>NL300098</v>
      </c>
      <c r="M74" s="36">
        <f>+VLOOKUP(T74,Sheet2!$B$2:$N$305,10,0)</f>
        <v>3.9</v>
      </c>
      <c r="N74" s="37">
        <f>+VLOOKUP(L74,MÃ!$C$2:$F$226,4,0)</f>
        <v>95000</v>
      </c>
      <c r="O74" s="37">
        <f t="shared" si="6"/>
        <v>370500</v>
      </c>
      <c r="P74" s="37">
        <f t="shared" si="7"/>
        <v>0</v>
      </c>
      <c r="Q74" s="35" t="str">
        <f t="shared" si="8"/>
        <v xml:space="preserve"> </v>
      </c>
      <c r="R74" s="27">
        <f>+VLOOKUP(T74,Sheet2!$B$2:$N$305,13,0)</f>
        <v>370500</v>
      </c>
      <c r="S74" s="38">
        <f t="shared" si="9"/>
        <v>0</v>
      </c>
      <c r="T74" t="str">
        <f t="shared" si="10"/>
        <v>03/01/2026NL300098</v>
      </c>
      <c r="U74" s="29">
        <f t="shared" si="11"/>
        <v>0</v>
      </c>
      <c r="V74" s="39">
        <f t="shared" si="12"/>
        <v>0</v>
      </c>
    </row>
    <row r="75" spans="1:22" x14ac:dyDescent="0.25">
      <c r="A75" s="4" t="s">
        <v>104</v>
      </c>
      <c r="B75" s="5" t="s">
        <v>83</v>
      </c>
      <c r="C75" s="4" t="s">
        <v>84</v>
      </c>
      <c r="D75" s="5" t="s">
        <v>134</v>
      </c>
      <c r="E75" s="4" t="s">
        <v>20</v>
      </c>
      <c r="F75" s="4" t="s">
        <v>21</v>
      </c>
      <c r="G75" s="4" t="s">
        <v>13</v>
      </c>
      <c r="H75" s="6">
        <v>0.9</v>
      </c>
      <c r="I75" s="7">
        <v>45000</v>
      </c>
      <c r="J75" s="7">
        <f t="shared" si="5"/>
        <v>40500</v>
      </c>
      <c r="K75" s="8" t="s">
        <v>12</v>
      </c>
      <c r="L75" s="35" t="str">
        <f>+VLOOKUP(E75,MÃ!$B$2:$F$229,2,0)</f>
        <v>NL300085</v>
      </c>
      <c r="M75" s="36">
        <f>+VLOOKUP(T75,Sheet2!$B$2:$N$305,10,0)</f>
        <v>0.9</v>
      </c>
      <c r="N75" s="37">
        <f>+VLOOKUP(L75,MÃ!$C$2:$F$226,4,0)</f>
        <v>45000</v>
      </c>
      <c r="O75" s="37">
        <f t="shared" si="6"/>
        <v>40500</v>
      </c>
      <c r="P75" s="37">
        <f t="shared" si="7"/>
        <v>0</v>
      </c>
      <c r="Q75" s="35" t="str">
        <f t="shared" si="8"/>
        <v xml:space="preserve"> </v>
      </c>
      <c r="R75" s="27">
        <f>+VLOOKUP(T75,Sheet2!$B$2:$N$305,13,0)</f>
        <v>40500</v>
      </c>
      <c r="S75" s="38">
        <f t="shared" si="9"/>
        <v>0</v>
      </c>
      <c r="T75" t="str">
        <f t="shared" si="10"/>
        <v>03/01/2026NL300085</v>
      </c>
      <c r="U75" s="29">
        <f t="shared" si="11"/>
        <v>0</v>
      </c>
      <c r="V75" s="39">
        <f t="shared" si="12"/>
        <v>0</v>
      </c>
    </row>
    <row r="76" spans="1:22" x14ac:dyDescent="0.25">
      <c r="A76" s="4" t="s">
        <v>104</v>
      </c>
      <c r="B76" s="5" t="s">
        <v>83</v>
      </c>
      <c r="C76" s="4" t="s">
        <v>84</v>
      </c>
      <c r="D76" s="5" t="s">
        <v>134</v>
      </c>
      <c r="E76" s="4" t="s">
        <v>29</v>
      </c>
      <c r="F76" s="4" t="s">
        <v>30</v>
      </c>
      <c r="G76" s="4" t="s">
        <v>13</v>
      </c>
      <c r="H76" s="6">
        <v>0.9</v>
      </c>
      <c r="I76" s="7">
        <v>145000</v>
      </c>
      <c r="J76" s="7">
        <f t="shared" si="5"/>
        <v>130500</v>
      </c>
      <c r="K76" s="8" t="s">
        <v>12</v>
      </c>
      <c r="L76" s="35" t="str">
        <f>+VLOOKUP(E76,MÃ!$B$2:$F$229,2,0)</f>
        <v>NL300113</v>
      </c>
      <c r="M76" s="36">
        <f>+VLOOKUP(T76,Sheet2!$B$2:$N$305,10,0)</f>
        <v>0.9</v>
      </c>
      <c r="N76" s="37">
        <f>+VLOOKUP(L76,MÃ!$C$2:$F$226,4,0)</f>
        <v>145000</v>
      </c>
      <c r="O76" s="37">
        <f t="shared" si="6"/>
        <v>130500</v>
      </c>
      <c r="P76" s="37">
        <f t="shared" si="7"/>
        <v>0</v>
      </c>
      <c r="Q76" s="35" t="str">
        <f t="shared" si="8"/>
        <v xml:space="preserve"> </v>
      </c>
      <c r="R76" s="27">
        <f>+VLOOKUP(T76,Sheet2!$B$2:$N$305,13,0)</f>
        <v>130500</v>
      </c>
      <c r="S76" s="38">
        <f t="shared" si="9"/>
        <v>0</v>
      </c>
      <c r="T76" t="str">
        <f t="shared" si="10"/>
        <v>03/01/2026NL300113</v>
      </c>
      <c r="U76" s="29">
        <f t="shared" si="11"/>
        <v>0</v>
      </c>
      <c r="V76" s="39">
        <f t="shared" si="12"/>
        <v>0</v>
      </c>
    </row>
    <row r="77" spans="1:22" x14ac:dyDescent="0.25">
      <c r="A77" s="4" t="s">
        <v>104</v>
      </c>
      <c r="B77" s="5" t="s">
        <v>83</v>
      </c>
      <c r="C77" s="4" t="s">
        <v>84</v>
      </c>
      <c r="D77" s="5" t="s">
        <v>134</v>
      </c>
      <c r="E77" s="4" t="s">
        <v>27</v>
      </c>
      <c r="F77" s="4" t="s">
        <v>28</v>
      </c>
      <c r="G77" s="4" t="s">
        <v>13</v>
      </c>
      <c r="H77" s="6">
        <v>5</v>
      </c>
      <c r="I77" s="7">
        <v>21000</v>
      </c>
      <c r="J77" s="7">
        <f t="shared" si="5"/>
        <v>105000</v>
      </c>
      <c r="K77" s="8" t="s">
        <v>12</v>
      </c>
      <c r="L77" s="35" t="str">
        <f>+VLOOKUP(E77,MÃ!$B$2:$F$229,2,0)</f>
        <v>NL300119</v>
      </c>
      <c r="M77" s="36">
        <f>+VLOOKUP(T77,Sheet2!$B$2:$N$305,10,0)</f>
        <v>5</v>
      </c>
      <c r="N77" s="37">
        <f>+VLOOKUP(L77,MÃ!$C$2:$F$226,4,0)</f>
        <v>21000</v>
      </c>
      <c r="O77" s="37">
        <f t="shared" si="6"/>
        <v>105000</v>
      </c>
      <c r="P77" s="37">
        <f t="shared" si="7"/>
        <v>0</v>
      </c>
      <c r="Q77" s="35" t="str">
        <f t="shared" si="8"/>
        <v xml:space="preserve"> </v>
      </c>
      <c r="R77" s="27">
        <f>+VLOOKUP(T77,Sheet2!$B$2:$N$305,13,0)</f>
        <v>105000</v>
      </c>
      <c r="S77" s="38">
        <f t="shared" si="9"/>
        <v>0</v>
      </c>
      <c r="T77" t="str">
        <f t="shared" si="10"/>
        <v>03/01/2026NL300119</v>
      </c>
      <c r="U77" s="29">
        <f t="shared" si="11"/>
        <v>0</v>
      </c>
      <c r="V77" s="39">
        <f t="shared" si="12"/>
        <v>0</v>
      </c>
    </row>
    <row r="78" spans="1:22" x14ac:dyDescent="0.25">
      <c r="A78" s="4" t="s">
        <v>104</v>
      </c>
      <c r="B78" s="5" t="s">
        <v>83</v>
      </c>
      <c r="C78" s="4" t="s">
        <v>84</v>
      </c>
      <c r="D78" s="5" t="s">
        <v>134</v>
      </c>
      <c r="E78" s="4" t="s">
        <v>76</v>
      </c>
      <c r="F78" s="4" t="s">
        <v>77</v>
      </c>
      <c r="G78" s="4" t="s">
        <v>13</v>
      </c>
      <c r="H78" s="6">
        <v>3.7</v>
      </c>
      <c r="I78" s="7">
        <v>38000</v>
      </c>
      <c r="J78" s="7">
        <f t="shared" si="5"/>
        <v>140600</v>
      </c>
      <c r="K78" s="8" t="s">
        <v>12</v>
      </c>
      <c r="L78" s="35" t="str">
        <f>+VLOOKUP(E78,MÃ!$B$2:$F$229,2,0)</f>
        <v>NL300018</v>
      </c>
      <c r="M78" s="36">
        <f>+VLOOKUP(T78,Sheet2!$B$2:$N$305,10,0)</f>
        <v>3.7</v>
      </c>
      <c r="N78" s="37">
        <f>+VLOOKUP(L78,MÃ!$C$2:$F$226,4,0)</f>
        <v>38000</v>
      </c>
      <c r="O78" s="37">
        <f t="shared" si="6"/>
        <v>140600</v>
      </c>
      <c r="P78" s="37">
        <f t="shared" si="7"/>
        <v>0</v>
      </c>
      <c r="Q78" s="35" t="str">
        <f t="shared" si="8"/>
        <v xml:space="preserve"> </v>
      </c>
      <c r="R78" s="27">
        <f>+VLOOKUP(T78,Sheet2!$B$2:$N$305,13,0)</f>
        <v>140600</v>
      </c>
      <c r="S78" s="38">
        <f t="shared" si="9"/>
        <v>0</v>
      </c>
      <c r="T78" t="str">
        <f t="shared" si="10"/>
        <v>03/01/2026NL300018</v>
      </c>
      <c r="U78" s="29">
        <f t="shared" si="11"/>
        <v>0</v>
      </c>
      <c r="V78" s="39">
        <f t="shared" si="12"/>
        <v>0</v>
      </c>
    </row>
    <row r="79" spans="1:22" x14ac:dyDescent="0.25">
      <c r="A79" s="4" t="s">
        <v>104</v>
      </c>
      <c r="B79" s="5" t="s">
        <v>83</v>
      </c>
      <c r="C79" s="4" t="s">
        <v>84</v>
      </c>
      <c r="D79" s="5" t="s">
        <v>134</v>
      </c>
      <c r="E79" s="4" t="s">
        <v>14</v>
      </c>
      <c r="F79" s="4" t="s">
        <v>15</v>
      </c>
      <c r="G79" s="4" t="s">
        <v>13</v>
      </c>
      <c r="H79" s="6">
        <v>1</v>
      </c>
      <c r="I79" s="7">
        <v>50000</v>
      </c>
      <c r="J79" s="7">
        <f t="shared" si="5"/>
        <v>50000</v>
      </c>
      <c r="K79" s="8" t="s">
        <v>12</v>
      </c>
      <c r="L79" s="35" t="str">
        <f>+VLOOKUP(E79,MÃ!$B$2:$F$229,2,0)</f>
        <v>NL300142</v>
      </c>
      <c r="M79" s="36">
        <f>+VLOOKUP(T79,Sheet2!$B$2:$N$305,10,0)</f>
        <v>1</v>
      </c>
      <c r="N79" s="37">
        <f>+VLOOKUP(L79,MÃ!$C$2:$F$226,4,0)</f>
        <v>50000</v>
      </c>
      <c r="O79" s="37">
        <f t="shared" si="6"/>
        <v>50000</v>
      </c>
      <c r="P79" s="37">
        <f t="shared" si="7"/>
        <v>0</v>
      </c>
      <c r="Q79" s="35" t="str">
        <f t="shared" si="8"/>
        <v xml:space="preserve"> </v>
      </c>
      <c r="R79" s="27">
        <f>+VLOOKUP(T79,Sheet2!$B$2:$N$305,13,0)</f>
        <v>50000</v>
      </c>
      <c r="S79" s="38">
        <f t="shared" si="9"/>
        <v>0</v>
      </c>
      <c r="T79" t="str">
        <f t="shared" si="10"/>
        <v>03/01/2026NL300142</v>
      </c>
      <c r="U79" s="29">
        <f t="shared" si="11"/>
        <v>0</v>
      </c>
      <c r="V79" s="39">
        <f t="shared" si="12"/>
        <v>0</v>
      </c>
    </row>
    <row r="80" spans="1:22" x14ac:dyDescent="0.25">
      <c r="A80" s="4" t="s">
        <v>104</v>
      </c>
      <c r="B80" s="5" t="s">
        <v>83</v>
      </c>
      <c r="C80" s="4" t="s">
        <v>84</v>
      </c>
      <c r="D80" s="5" t="s">
        <v>134</v>
      </c>
      <c r="E80" s="4" t="s">
        <v>48</v>
      </c>
      <c r="F80" s="4" t="s">
        <v>49</v>
      </c>
      <c r="G80" s="4" t="s">
        <v>13</v>
      </c>
      <c r="H80" s="6">
        <v>8</v>
      </c>
      <c r="I80" s="7">
        <v>62000</v>
      </c>
      <c r="J80" s="7">
        <f t="shared" ref="J80:J143" si="13">H80*I80</f>
        <v>496000</v>
      </c>
      <c r="K80" s="8" t="s">
        <v>12</v>
      </c>
      <c r="L80" s="35" t="str">
        <f>+VLOOKUP(E80,MÃ!$B$2:$F$229,2,0)</f>
        <v>NL300147</v>
      </c>
      <c r="M80" s="36">
        <f>+VLOOKUP(T80,Sheet2!$B$2:$N$305,10,0)</f>
        <v>8</v>
      </c>
      <c r="N80" s="37">
        <f>+VLOOKUP(L80,MÃ!$C$2:$F$226,4,0)</f>
        <v>62000</v>
      </c>
      <c r="O80" s="37">
        <f t="shared" ref="O80:O143" si="14">M80*N80</f>
        <v>496000</v>
      </c>
      <c r="P80" s="37">
        <f t="shared" ref="P80:P143" si="15">J80-O80</f>
        <v>0</v>
      </c>
      <c r="Q80" s="35" t="str">
        <f t="shared" ref="Q80:Q143" si="16">IF(U80=0," ","SAI SL NHẬN")</f>
        <v xml:space="preserve"> </v>
      </c>
      <c r="R80" s="27">
        <f>+VLOOKUP(T80,Sheet2!$B$2:$N$305,13,0)</f>
        <v>496000</v>
      </c>
      <c r="S80" s="38">
        <f t="shared" ref="S80:S143" si="17">O80-R80</f>
        <v>0</v>
      </c>
      <c r="T80" t="str">
        <f t="shared" ref="T80:T143" si="18">A80&amp;L80</f>
        <v>03/01/2026NL300147</v>
      </c>
      <c r="U80" s="29">
        <f t="shared" ref="U80:U143" si="19">H80-M80</f>
        <v>0</v>
      </c>
      <c r="V80" s="39">
        <f t="shared" ref="V80:V143" si="20">I80-N80</f>
        <v>0</v>
      </c>
    </row>
    <row r="81" spans="1:22" x14ac:dyDescent="0.25">
      <c r="A81" s="4" t="s">
        <v>106</v>
      </c>
      <c r="B81" s="5" t="s">
        <v>83</v>
      </c>
      <c r="C81" s="4" t="s">
        <v>84</v>
      </c>
      <c r="D81" s="5" t="s">
        <v>135</v>
      </c>
      <c r="E81" s="4" t="s">
        <v>64</v>
      </c>
      <c r="F81" s="4" t="s">
        <v>65</v>
      </c>
      <c r="G81" s="4" t="s">
        <v>13</v>
      </c>
      <c r="H81" s="6">
        <v>1.1000000000000001</v>
      </c>
      <c r="I81" s="7">
        <v>50000</v>
      </c>
      <c r="J81" s="7">
        <f t="shared" si="13"/>
        <v>55000.000000000007</v>
      </c>
      <c r="K81" s="8" t="s">
        <v>12</v>
      </c>
      <c r="L81" s="35" t="str">
        <f>+VLOOKUP(E81,MÃ!$B$2:$F$229,2,0)</f>
        <v>NL300013</v>
      </c>
      <c r="M81" s="36">
        <f>+VLOOKUP(T81,Sheet2!$B$2:$N$305,10,0)</f>
        <v>0</v>
      </c>
      <c r="N81" s="37">
        <f>+VLOOKUP(L81,MÃ!$C$2:$F$226,4,0)</f>
        <v>50000</v>
      </c>
      <c r="O81" s="37">
        <f t="shared" si="14"/>
        <v>0</v>
      </c>
      <c r="P81" s="37">
        <f t="shared" si="15"/>
        <v>55000.000000000007</v>
      </c>
      <c r="Q81" s="35" t="str">
        <f t="shared" si="16"/>
        <v>SAI SL NHẬN</v>
      </c>
      <c r="R81" s="27">
        <f>+VLOOKUP(T81,Sheet2!$B$2:$N$305,13,0)</f>
        <v>0</v>
      </c>
      <c r="S81" s="38">
        <f t="shared" si="17"/>
        <v>0</v>
      </c>
      <c r="T81" t="str">
        <f t="shared" si="18"/>
        <v>04/01/2026NL300013</v>
      </c>
      <c r="U81" s="29">
        <f t="shared" si="19"/>
        <v>1.1000000000000001</v>
      </c>
      <c r="V81" s="39">
        <f t="shared" si="20"/>
        <v>0</v>
      </c>
    </row>
    <row r="82" spans="1:22" x14ac:dyDescent="0.25">
      <c r="A82" s="4" t="s">
        <v>106</v>
      </c>
      <c r="B82" s="5" t="s">
        <v>83</v>
      </c>
      <c r="C82" s="4" t="s">
        <v>84</v>
      </c>
      <c r="D82" s="5" t="s">
        <v>135</v>
      </c>
      <c r="E82" s="4" t="s">
        <v>66</v>
      </c>
      <c r="F82" s="4" t="s">
        <v>67</v>
      </c>
      <c r="G82" s="4" t="s">
        <v>13</v>
      </c>
      <c r="H82" s="6">
        <v>12</v>
      </c>
      <c r="I82" s="7">
        <v>18000</v>
      </c>
      <c r="J82" s="7">
        <f t="shared" si="13"/>
        <v>216000</v>
      </c>
      <c r="K82" s="8" t="s">
        <v>12</v>
      </c>
      <c r="L82" s="35" t="str">
        <f>+VLOOKUP(E82,MÃ!$B$2:$F$229,2,0)</f>
        <v>NL300022</v>
      </c>
      <c r="M82" s="36">
        <f>+VLOOKUP(T82,Sheet2!$B$2:$N$305,10,0)</f>
        <v>10</v>
      </c>
      <c r="N82" s="37">
        <f>+VLOOKUP(L82,MÃ!$C$2:$F$226,4,0)</f>
        <v>18000</v>
      </c>
      <c r="O82" s="37">
        <f t="shared" si="14"/>
        <v>180000</v>
      </c>
      <c r="P82" s="37">
        <f t="shared" si="15"/>
        <v>36000</v>
      </c>
      <c r="Q82" s="35" t="str">
        <f t="shared" si="16"/>
        <v>SAI SL NHẬN</v>
      </c>
      <c r="R82" s="27">
        <f>+VLOOKUP(T82,Sheet2!$B$2:$N$305,13,0)</f>
        <v>180000</v>
      </c>
      <c r="S82" s="38">
        <f t="shared" si="17"/>
        <v>0</v>
      </c>
      <c r="T82" t="str">
        <f t="shared" si="18"/>
        <v>04/01/2026NL300022</v>
      </c>
      <c r="U82" s="29">
        <f t="shared" si="19"/>
        <v>2</v>
      </c>
      <c r="V82" s="39">
        <f t="shared" si="20"/>
        <v>0</v>
      </c>
    </row>
    <row r="83" spans="1:22" x14ac:dyDescent="0.25">
      <c r="A83" s="4" t="s">
        <v>106</v>
      </c>
      <c r="B83" s="5" t="s">
        <v>83</v>
      </c>
      <c r="C83" s="4" t="s">
        <v>84</v>
      </c>
      <c r="D83" s="5" t="s">
        <v>135</v>
      </c>
      <c r="E83" s="4" t="s">
        <v>25</v>
      </c>
      <c r="F83" s="4" t="s">
        <v>26</v>
      </c>
      <c r="G83" s="4" t="s">
        <v>13</v>
      </c>
      <c r="H83" s="6">
        <v>0.5</v>
      </c>
      <c r="I83" s="7">
        <v>22000</v>
      </c>
      <c r="J83" s="7">
        <f t="shared" si="13"/>
        <v>11000</v>
      </c>
      <c r="K83" s="8" t="s">
        <v>12</v>
      </c>
      <c r="L83" s="35" t="str">
        <f>+VLOOKUP(E83,MÃ!$B$2:$F$229,2,0)</f>
        <v>NL300029</v>
      </c>
      <c r="M83" s="36">
        <f>+VLOOKUP(T83,Sheet2!$B$2:$N$305,10,0)</f>
        <v>0.5</v>
      </c>
      <c r="N83" s="37">
        <f>+VLOOKUP(L83,MÃ!$C$2:$F$226,4,0)</f>
        <v>22000</v>
      </c>
      <c r="O83" s="37">
        <f t="shared" si="14"/>
        <v>11000</v>
      </c>
      <c r="P83" s="37">
        <f t="shared" si="15"/>
        <v>0</v>
      </c>
      <c r="Q83" s="35" t="str">
        <f t="shared" si="16"/>
        <v xml:space="preserve"> </v>
      </c>
      <c r="R83" s="27">
        <f>+VLOOKUP(T83,Sheet2!$B$2:$N$305,13,0)</f>
        <v>11000</v>
      </c>
      <c r="S83" s="38">
        <f t="shared" si="17"/>
        <v>0</v>
      </c>
      <c r="T83" t="str">
        <f t="shared" si="18"/>
        <v>04/01/2026NL300029</v>
      </c>
      <c r="U83" s="29">
        <f t="shared" si="19"/>
        <v>0</v>
      </c>
      <c r="V83" s="39">
        <f t="shared" si="20"/>
        <v>0</v>
      </c>
    </row>
    <row r="84" spans="1:22" x14ac:dyDescent="0.25">
      <c r="A84" s="4" t="s">
        <v>106</v>
      </c>
      <c r="B84" s="5" t="s">
        <v>83</v>
      </c>
      <c r="C84" s="4" t="s">
        <v>84</v>
      </c>
      <c r="D84" s="5" t="s">
        <v>135</v>
      </c>
      <c r="E84" s="4" t="s">
        <v>58</v>
      </c>
      <c r="F84" s="4" t="s">
        <v>59</v>
      </c>
      <c r="G84" s="4" t="s">
        <v>13</v>
      </c>
      <c r="H84" s="6">
        <v>0.4</v>
      </c>
      <c r="I84" s="7">
        <v>95000</v>
      </c>
      <c r="J84" s="7">
        <f t="shared" si="13"/>
        <v>38000</v>
      </c>
      <c r="K84" s="8" t="s">
        <v>12</v>
      </c>
      <c r="L84" s="35" t="str">
        <f>+VLOOKUP(E84,MÃ!$B$2:$F$229,2,0)</f>
        <v>NL600068</v>
      </c>
      <c r="M84" s="36">
        <f>+VLOOKUP(T84,Sheet2!$B$2:$N$305,10,0)</f>
        <v>0.4</v>
      </c>
      <c r="N84" s="37">
        <f>+VLOOKUP(L84,MÃ!$C$2:$F$226,4,0)</f>
        <v>95000</v>
      </c>
      <c r="O84" s="37">
        <f t="shared" si="14"/>
        <v>38000</v>
      </c>
      <c r="P84" s="37">
        <f t="shared" si="15"/>
        <v>0</v>
      </c>
      <c r="Q84" s="35" t="str">
        <f t="shared" si="16"/>
        <v xml:space="preserve"> </v>
      </c>
      <c r="R84" s="27">
        <f>+VLOOKUP(T84,Sheet2!$B$2:$N$305,13,0)</f>
        <v>38000</v>
      </c>
      <c r="S84" s="38">
        <f t="shared" si="17"/>
        <v>0</v>
      </c>
      <c r="T84" t="str">
        <f t="shared" si="18"/>
        <v>04/01/2026NL600068</v>
      </c>
      <c r="U84" s="29">
        <f t="shared" si="19"/>
        <v>0</v>
      </c>
      <c r="V84" s="39">
        <f t="shared" si="20"/>
        <v>0</v>
      </c>
    </row>
    <row r="85" spans="1:22" x14ac:dyDescent="0.25">
      <c r="A85" s="4" t="s">
        <v>106</v>
      </c>
      <c r="B85" s="5" t="s">
        <v>83</v>
      </c>
      <c r="C85" s="4" t="s">
        <v>84</v>
      </c>
      <c r="D85" s="5" t="s">
        <v>135</v>
      </c>
      <c r="E85" s="4" t="s">
        <v>68</v>
      </c>
      <c r="F85" s="4" t="s">
        <v>69</v>
      </c>
      <c r="G85" s="4" t="s">
        <v>13</v>
      </c>
      <c r="H85" s="6">
        <v>0.9</v>
      </c>
      <c r="I85" s="7">
        <v>13000</v>
      </c>
      <c r="J85" s="7">
        <f t="shared" si="13"/>
        <v>11700</v>
      </c>
      <c r="K85" s="8" t="s">
        <v>12</v>
      </c>
      <c r="L85" s="35" t="str">
        <f>+VLOOKUP(E85,MÃ!$B$2:$F$229,2,0)</f>
        <v>NL300033</v>
      </c>
      <c r="M85" s="36">
        <f>+VLOOKUP(T85,Sheet2!$B$2:$N$305,10,0)</f>
        <v>0.9</v>
      </c>
      <c r="N85" s="37">
        <f>+VLOOKUP(L85,MÃ!$C$2:$F$226,4,0)</f>
        <v>13000</v>
      </c>
      <c r="O85" s="37">
        <f t="shared" si="14"/>
        <v>11700</v>
      </c>
      <c r="P85" s="37">
        <f t="shared" si="15"/>
        <v>0</v>
      </c>
      <c r="Q85" s="35" t="str">
        <f t="shared" si="16"/>
        <v xml:space="preserve"> </v>
      </c>
      <c r="R85" s="27">
        <f>+VLOOKUP(T85,Sheet2!$B$2:$N$305,13,0)</f>
        <v>11700</v>
      </c>
      <c r="S85" s="38">
        <f t="shared" si="17"/>
        <v>0</v>
      </c>
      <c r="T85" t="str">
        <f t="shared" si="18"/>
        <v>04/01/2026NL300033</v>
      </c>
      <c r="U85" s="29">
        <f t="shared" si="19"/>
        <v>0</v>
      </c>
      <c r="V85" s="39">
        <f t="shared" si="20"/>
        <v>0</v>
      </c>
    </row>
    <row r="86" spans="1:22" x14ac:dyDescent="0.25">
      <c r="A86" s="4" t="s">
        <v>106</v>
      </c>
      <c r="B86" s="5" t="s">
        <v>83</v>
      </c>
      <c r="C86" s="4" t="s">
        <v>84</v>
      </c>
      <c r="D86" s="5" t="s">
        <v>135</v>
      </c>
      <c r="E86" s="4" t="s">
        <v>16</v>
      </c>
      <c r="F86" s="4" t="s">
        <v>17</v>
      </c>
      <c r="G86" s="4" t="s">
        <v>13</v>
      </c>
      <c r="H86" s="6">
        <v>0.66</v>
      </c>
      <c r="I86" s="7">
        <v>47000</v>
      </c>
      <c r="J86" s="7">
        <f t="shared" si="13"/>
        <v>31020</v>
      </c>
      <c r="K86" s="8" t="s">
        <v>12</v>
      </c>
      <c r="L86" s="35" t="str">
        <f>+VLOOKUP(E86,MÃ!$B$2:$F$229,2,0)</f>
        <v>NL300036</v>
      </c>
      <c r="M86" s="36">
        <f>+VLOOKUP(T86,Sheet2!$B$2:$N$305,10,0)</f>
        <v>0.66</v>
      </c>
      <c r="N86" s="37">
        <f>+VLOOKUP(L86,MÃ!$C$2:$F$226,4,0)</f>
        <v>47000</v>
      </c>
      <c r="O86" s="37">
        <f t="shared" si="14"/>
        <v>31020</v>
      </c>
      <c r="P86" s="37">
        <f t="shared" si="15"/>
        <v>0</v>
      </c>
      <c r="Q86" s="35" t="str">
        <f t="shared" si="16"/>
        <v xml:space="preserve"> </v>
      </c>
      <c r="R86" s="27">
        <f>+VLOOKUP(T86,Sheet2!$B$2:$N$305,13,0)</f>
        <v>31020</v>
      </c>
      <c r="S86" s="38">
        <f t="shared" si="17"/>
        <v>0</v>
      </c>
      <c r="T86" t="str">
        <f t="shared" si="18"/>
        <v>04/01/2026NL300036</v>
      </c>
      <c r="U86" s="29">
        <f t="shared" si="19"/>
        <v>0</v>
      </c>
      <c r="V86" s="39">
        <f t="shared" si="20"/>
        <v>0</v>
      </c>
    </row>
    <row r="87" spans="1:22" x14ac:dyDescent="0.25">
      <c r="A87" s="4" t="s">
        <v>106</v>
      </c>
      <c r="B87" s="5" t="s">
        <v>83</v>
      </c>
      <c r="C87" s="4" t="s">
        <v>84</v>
      </c>
      <c r="D87" s="5" t="s">
        <v>135</v>
      </c>
      <c r="E87" s="4" t="s">
        <v>50</v>
      </c>
      <c r="F87" s="4" t="s">
        <v>51</v>
      </c>
      <c r="G87" s="4" t="s">
        <v>13</v>
      </c>
      <c r="H87" s="6">
        <v>21</v>
      </c>
      <c r="I87" s="7">
        <v>18000</v>
      </c>
      <c r="J87" s="7">
        <f t="shared" si="13"/>
        <v>378000</v>
      </c>
      <c r="K87" s="8" t="s">
        <v>12</v>
      </c>
      <c r="L87" s="35" t="str">
        <f>+VLOOKUP(E87,MÃ!$B$2:$F$229,2,0)</f>
        <v>NL600004</v>
      </c>
      <c r="M87" s="36">
        <f>+VLOOKUP(T87,Sheet2!$B$2:$N$305,10,0)</f>
        <v>21</v>
      </c>
      <c r="N87" s="37">
        <f>+VLOOKUP(L87,MÃ!$C$2:$F$226,4,0)</f>
        <v>18000</v>
      </c>
      <c r="O87" s="37">
        <f t="shared" si="14"/>
        <v>378000</v>
      </c>
      <c r="P87" s="37">
        <f t="shared" si="15"/>
        <v>0</v>
      </c>
      <c r="Q87" s="35" t="str">
        <f t="shared" si="16"/>
        <v xml:space="preserve"> </v>
      </c>
      <c r="R87" s="27">
        <f>+VLOOKUP(T87,Sheet2!$B$2:$N$305,13,0)</f>
        <v>378000</v>
      </c>
      <c r="S87" s="38">
        <f t="shared" si="17"/>
        <v>0</v>
      </c>
      <c r="T87" t="str">
        <f t="shared" si="18"/>
        <v>04/01/2026NL600004</v>
      </c>
      <c r="U87" s="29">
        <f t="shared" si="19"/>
        <v>0</v>
      </c>
      <c r="V87" s="39">
        <f t="shared" si="20"/>
        <v>0</v>
      </c>
    </row>
    <row r="88" spans="1:22" x14ac:dyDescent="0.25">
      <c r="A88" s="4" t="s">
        <v>106</v>
      </c>
      <c r="B88" s="5" t="s">
        <v>83</v>
      </c>
      <c r="C88" s="4" t="s">
        <v>84</v>
      </c>
      <c r="D88" s="5" t="s">
        <v>135</v>
      </c>
      <c r="E88" s="4" t="s">
        <v>18</v>
      </c>
      <c r="F88" s="4" t="s">
        <v>19</v>
      </c>
      <c r="G88" s="4" t="s">
        <v>13</v>
      </c>
      <c r="H88" s="6">
        <v>1</v>
      </c>
      <c r="I88" s="7">
        <v>55000</v>
      </c>
      <c r="J88" s="7">
        <f t="shared" si="13"/>
        <v>55000</v>
      </c>
      <c r="K88" s="8" t="s">
        <v>12</v>
      </c>
      <c r="L88" s="35" t="str">
        <f>+VLOOKUP(E88,MÃ!$B$2:$F$229,2,0)</f>
        <v>NL300058</v>
      </c>
      <c r="M88" s="36">
        <f>+VLOOKUP(T88,Sheet2!$B$2:$N$305,10,0)</f>
        <v>1</v>
      </c>
      <c r="N88" s="37">
        <f>+VLOOKUP(L88,MÃ!$C$2:$F$226,4,0)</f>
        <v>55000</v>
      </c>
      <c r="O88" s="37">
        <f t="shared" si="14"/>
        <v>55000</v>
      </c>
      <c r="P88" s="37">
        <f t="shared" si="15"/>
        <v>0</v>
      </c>
      <c r="Q88" s="35" t="str">
        <f t="shared" si="16"/>
        <v xml:space="preserve"> </v>
      </c>
      <c r="R88" s="27">
        <f>+VLOOKUP(T88,Sheet2!$B$2:$N$305,13,0)</f>
        <v>55000</v>
      </c>
      <c r="S88" s="38">
        <f t="shared" si="17"/>
        <v>0</v>
      </c>
      <c r="T88" t="str">
        <f t="shared" si="18"/>
        <v>04/01/2026NL300058</v>
      </c>
      <c r="U88" s="29">
        <f t="shared" si="19"/>
        <v>0</v>
      </c>
      <c r="V88" s="39">
        <f t="shared" si="20"/>
        <v>0</v>
      </c>
    </row>
    <row r="89" spans="1:22" x14ac:dyDescent="0.25">
      <c r="A89" s="4" t="s">
        <v>106</v>
      </c>
      <c r="B89" s="5" t="s">
        <v>83</v>
      </c>
      <c r="C89" s="4" t="s">
        <v>84</v>
      </c>
      <c r="D89" s="5" t="s">
        <v>135</v>
      </c>
      <c r="E89" s="4" t="s">
        <v>70</v>
      </c>
      <c r="F89" s="4" t="s">
        <v>71</v>
      </c>
      <c r="G89" s="4" t="s">
        <v>13</v>
      </c>
      <c r="H89" s="6">
        <v>0.8</v>
      </c>
      <c r="I89" s="7">
        <v>30000</v>
      </c>
      <c r="J89" s="7">
        <f t="shared" si="13"/>
        <v>24000</v>
      </c>
      <c r="K89" s="8" t="s">
        <v>12</v>
      </c>
      <c r="L89" s="35" t="str">
        <f>+VLOOKUP(E89,MÃ!$B$2:$F$229,2,0)</f>
        <v>NL300209</v>
      </c>
      <c r="M89" s="36">
        <f>+VLOOKUP(T89,Sheet2!$B$2:$N$305,10,0)</f>
        <v>0.8</v>
      </c>
      <c r="N89" s="37">
        <f>+VLOOKUP(L89,MÃ!$C$2:$F$226,4,0)</f>
        <v>30000</v>
      </c>
      <c r="O89" s="37">
        <f t="shared" si="14"/>
        <v>24000</v>
      </c>
      <c r="P89" s="37">
        <f t="shared" si="15"/>
        <v>0</v>
      </c>
      <c r="Q89" s="35" t="str">
        <f t="shared" si="16"/>
        <v xml:space="preserve"> </v>
      </c>
      <c r="R89" s="27">
        <f>+VLOOKUP(T89,Sheet2!$B$2:$N$305,13,0)</f>
        <v>24000</v>
      </c>
      <c r="S89" s="38">
        <f t="shared" si="17"/>
        <v>0</v>
      </c>
      <c r="T89" t="str">
        <f t="shared" si="18"/>
        <v>04/01/2026NL300209</v>
      </c>
      <c r="U89" s="29">
        <f t="shared" si="19"/>
        <v>0</v>
      </c>
      <c r="V89" s="39">
        <f t="shared" si="20"/>
        <v>0</v>
      </c>
    </row>
    <row r="90" spans="1:22" x14ac:dyDescent="0.25">
      <c r="A90" s="4" t="s">
        <v>106</v>
      </c>
      <c r="B90" s="5" t="s">
        <v>83</v>
      </c>
      <c r="C90" s="4" t="s">
        <v>84</v>
      </c>
      <c r="D90" s="5" t="s">
        <v>135</v>
      </c>
      <c r="E90" s="4" t="s">
        <v>74</v>
      </c>
      <c r="F90" s="4" t="s">
        <v>75</v>
      </c>
      <c r="G90" s="4" t="s">
        <v>13</v>
      </c>
      <c r="H90" s="6">
        <v>3</v>
      </c>
      <c r="I90" s="7">
        <v>22000</v>
      </c>
      <c r="J90" s="7">
        <f t="shared" si="13"/>
        <v>66000</v>
      </c>
      <c r="K90" s="8" t="s">
        <v>12</v>
      </c>
      <c r="L90" s="35" t="str">
        <f>+VLOOKUP(E90,MÃ!$B$2:$F$229,2,0)</f>
        <v>NL300084</v>
      </c>
      <c r="M90" s="36">
        <f>+VLOOKUP(T90,Sheet2!$B$2:$N$305,10,0)</f>
        <v>1.5</v>
      </c>
      <c r="N90" s="37">
        <f>+VLOOKUP(L90,MÃ!$C$2:$F$226,4,0)</f>
        <v>22000</v>
      </c>
      <c r="O90" s="37">
        <f t="shared" si="14"/>
        <v>33000</v>
      </c>
      <c r="P90" s="37">
        <f t="shared" si="15"/>
        <v>33000</v>
      </c>
      <c r="Q90" s="35" t="str">
        <f t="shared" si="16"/>
        <v>SAI SL NHẬN</v>
      </c>
      <c r="R90" s="27">
        <f>+VLOOKUP(T90,Sheet2!$B$2:$N$305,13,0)</f>
        <v>33000</v>
      </c>
      <c r="S90" s="38">
        <f t="shared" si="17"/>
        <v>0</v>
      </c>
      <c r="T90" t="str">
        <f t="shared" si="18"/>
        <v>04/01/2026NL300084</v>
      </c>
      <c r="U90" s="29">
        <f t="shared" si="19"/>
        <v>1.5</v>
      </c>
      <c r="V90" s="39">
        <f t="shared" si="20"/>
        <v>0</v>
      </c>
    </row>
    <row r="91" spans="1:22" x14ac:dyDescent="0.25">
      <c r="A91" s="4" t="s">
        <v>106</v>
      </c>
      <c r="B91" s="5" t="s">
        <v>83</v>
      </c>
      <c r="C91" s="4" t="s">
        <v>84</v>
      </c>
      <c r="D91" s="5" t="s">
        <v>135</v>
      </c>
      <c r="E91" s="4" t="s">
        <v>36</v>
      </c>
      <c r="F91" s="4" t="s">
        <v>37</v>
      </c>
      <c r="G91" s="4" t="s">
        <v>13</v>
      </c>
      <c r="H91" s="6">
        <v>2.1</v>
      </c>
      <c r="I91" s="7">
        <v>145000</v>
      </c>
      <c r="J91" s="7">
        <f t="shared" si="13"/>
        <v>304500</v>
      </c>
      <c r="K91" s="8" t="s">
        <v>12</v>
      </c>
      <c r="L91" s="35" t="str">
        <f>+VLOOKUP(E91,MÃ!$B$2:$F$229,2,0)</f>
        <v>NL300090</v>
      </c>
      <c r="M91" s="36">
        <f>+VLOOKUP(T91,Sheet2!$B$2:$N$305,10,0)</f>
        <v>2.1</v>
      </c>
      <c r="N91" s="37">
        <f>+VLOOKUP(L91,MÃ!$C$2:$F$226,4,0)</f>
        <v>145000</v>
      </c>
      <c r="O91" s="37">
        <f t="shared" si="14"/>
        <v>304500</v>
      </c>
      <c r="P91" s="37">
        <f t="shared" si="15"/>
        <v>0</v>
      </c>
      <c r="Q91" s="35" t="str">
        <f t="shared" si="16"/>
        <v xml:space="preserve"> </v>
      </c>
      <c r="R91" s="27">
        <f>+VLOOKUP(T91,Sheet2!$B$2:$N$305,13,0)</f>
        <v>304500</v>
      </c>
      <c r="S91" s="38">
        <f t="shared" si="17"/>
        <v>0</v>
      </c>
      <c r="T91" t="str">
        <f t="shared" si="18"/>
        <v>04/01/2026NL300090</v>
      </c>
      <c r="U91" s="29">
        <f t="shared" si="19"/>
        <v>0</v>
      </c>
      <c r="V91" s="39">
        <f t="shared" si="20"/>
        <v>0</v>
      </c>
    </row>
    <row r="92" spans="1:22" x14ac:dyDescent="0.25">
      <c r="A92" s="4" t="s">
        <v>106</v>
      </c>
      <c r="B92" s="5" t="s">
        <v>83</v>
      </c>
      <c r="C92" s="4" t="s">
        <v>84</v>
      </c>
      <c r="D92" s="5" t="s">
        <v>135</v>
      </c>
      <c r="E92" s="4" t="s">
        <v>38</v>
      </c>
      <c r="F92" s="4" t="s">
        <v>39</v>
      </c>
      <c r="G92" s="4" t="s">
        <v>13</v>
      </c>
      <c r="H92" s="6">
        <v>3</v>
      </c>
      <c r="I92" s="7">
        <v>47000</v>
      </c>
      <c r="J92" s="7">
        <f t="shared" si="13"/>
        <v>141000</v>
      </c>
      <c r="K92" s="8" t="s">
        <v>12</v>
      </c>
      <c r="L92" s="35" t="str">
        <f>+VLOOKUP(E92,MÃ!$B$2:$F$229,2,0)</f>
        <v>NL300091</v>
      </c>
      <c r="M92" s="36">
        <f>+VLOOKUP(T92,Sheet2!$B$2:$N$305,10,0)</f>
        <v>3</v>
      </c>
      <c r="N92" s="37">
        <f>+VLOOKUP(L92,MÃ!$C$2:$F$226,4,0)</f>
        <v>47000</v>
      </c>
      <c r="O92" s="37">
        <f t="shared" si="14"/>
        <v>141000</v>
      </c>
      <c r="P92" s="37">
        <f t="shared" si="15"/>
        <v>0</v>
      </c>
      <c r="Q92" s="35" t="str">
        <f t="shared" si="16"/>
        <v xml:space="preserve"> </v>
      </c>
      <c r="R92" s="27">
        <f>+VLOOKUP(T92,Sheet2!$B$2:$N$305,13,0)</f>
        <v>141000</v>
      </c>
      <c r="S92" s="38">
        <f t="shared" si="17"/>
        <v>0</v>
      </c>
      <c r="T92" t="str">
        <f t="shared" si="18"/>
        <v>04/01/2026NL300091</v>
      </c>
      <c r="U92" s="29">
        <f t="shared" si="19"/>
        <v>0</v>
      </c>
      <c r="V92" s="39">
        <f t="shared" si="20"/>
        <v>0</v>
      </c>
    </row>
    <row r="93" spans="1:22" x14ac:dyDescent="0.25">
      <c r="A93" s="4" t="s">
        <v>106</v>
      </c>
      <c r="B93" s="5" t="s">
        <v>83</v>
      </c>
      <c r="C93" s="4" t="s">
        <v>84</v>
      </c>
      <c r="D93" s="5" t="s">
        <v>135</v>
      </c>
      <c r="E93" s="4" t="s">
        <v>42</v>
      </c>
      <c r="F93" s="4" t="s">
        <v>43</v>
      </c>
      <c r="G93" s="4" t="s">
        <v>13</v>
      </c>
      <c r="H93" s="6">
        <v>2.9</v>
      </c>
      <c r="I93" s="7">
        <v>45000</v>
      </c>
      <c r="J93" s="7">
        <f t="shared" si="13"/>
        <v>130500</v>
      </c>
      <c r="K93" s="8" t="s">
        <v>12</v>
      </c>
      <c r="L93" s="35" t="str">
        <f>+VLOOKUP(E93,MÃ!$B$2:$F$229,2,0)</f>
        <v>NL300096</v>
      </c>
      <c r="M93" s="36">
        <f>+VLOOKUP(T93,Sheet2!$B$2:$N$305,10,0)</f>
        <v>2.9</v>
      </c>
      <c r="N93" s="37">
        <f>+VLOOKUP(L93,MÃ!$C$2:$F$226,4,0)</f>
        <v>45000</v>
      </c>
      <c r="O93" s="37">
        <f t="shared" si="14"/>
        <v>130500</v>
      </c>
      <c r="P93" s="37">
        <f t="shared" si="15"/>
        <v>0</v>
      </c>
      <c r="Q93" s="35" t="str">
        <f t="shared" si="16"/>
        <v xml:space="preserve"> </v>
      </c>
      <c r="R93" s="27">
        <f>+VLOOKUP(T93,Sheet2!$B$2:$N$305,13,0)</f>
        <v>130500</v>
      </c>
      <c r="S93" s="38">
        <f t="shared" si="17"/>
        <v>0</v>
      </c>
      <c r="T93" t="str">
        <f t="shared" si="18"/>
        <v>04/01/2026NL300096</v>
      </c>
      <c r="U93" s="29">
        <f t="shared" si="19"/>
        <v>0</v>
      </c>
      <c r="V93" s="39">
        <f t="shared" si="20"/>
        <v>0</v>
      </c>
    </row>
    <row r="94" spans="1:22" ht="28.5" x14ac:dyDescent="0.25">
      <c r="A94" s="4" t="s">
        <v>106</v>
      </c>
      <c r="B94" s="5" t="s">
        <v>83</v>
      </c>
      <c r="C94" s="4" t="s">
        <v>84</v>
      </c>
      <c r="D94" s="5" t="s">
        <v>135</v>
      </c>
      <c r="E94" s="4" t="s">
        <v>44</v>
      </c>
      <c r="F94" s="4" t="s">
        <v>45</v>
      </c>
      <c r="G94" s="4" t="s">
        <v>13</v>
      </c>
      <c r="H94" s="6">
        <v>3.1</v>
      </c>
      <c r="I94" s="7">
        <v>95000</v>
      </c>
      <c r="J94" s="7">
        <f t="shared" si="13"/>
        <v>294500</v>
      </c>
      <c r="K94" s="8" t="s">
        <v>12</v>
      </c>
      <c r="L94" s="35" t="str">
        <f>+VLOOKUP(E94,MÃ!$B$2:$F$229,2,0)</f>
        <v>NL300098</v>
      </c>
      <c r="M94" s="36">
        <f>+VLOOKUP(T94,Sheet2!$B$2:$N$305,10,0)</f>
        <v>3.1</v>
      </c>
      <c r="N94" s="37">
        <f>+VLOOKUP(L94,MÃ!$C$2:$F$226,4,0)</f>
        <v>95000</v>
      </c>
      <c r="O94" s="37">
        <f t="shared" si="14"/>
        <v>294500</v>
      </c>
      <c r="P94" s="37">
        <f t="shared" si="15"/>
        <v>0</v>
      </c>
      <c r="Q94" s="35" t="str">
        <f t="shared" si="16"/>
        <v xml:space="preserve"> </v>
      </c>
      <c r="R94" s="27">
        <f>+VLOOKUP(T94,Sheet2!$B$2:$N$305,13,0)</f>
        <v>294500</v>
      </c>
      <c r="S94" s="38">
        <f t="shared" si="17"/>
        <v>0</v>
      </c>
      <c r="T94" t="str">
        <f t="shared" si="18"/>
        <v>04/01/2026NL300098</v>
      </c>
      <c r="U94" s="29">
        <f t="shared" si="19"/>
        <v>0</v>
      </c>
      <c r="V94" s="39">
        <f t="shared" si="20"/>
        <v>0</v>
      </c>
    </row>
    <row r="95" spans="1:22" x14ac:dyDescent="0.25">
      <c r="A95" s="4" t="s">
        <v>106</v>
      </c>
      <c r="B95" s="5" t="s">
        <v>83</v>
      </c>
      <c r="C95" s="4" t="s">
        <v>84</v>
      </c>
      <c r="D95" s="5" t="s">
        <v>135</v>
      </c>
      <c r="E95" s="4" t="s">
        <v>20</v>
      </c>
      <c r="F95" s="4" t="s">
        <v>21</v>
      </c>
      <c r="G95" s="4" t="s">
        <v>13</v>
      </c>
      <c r="H95" s="6">
        <v>0.9</v>
      </c>
      <c r="I95" s="7">
        <v>45000</v>
      </c>
      <c r="J95" s="7">
        <f t="shared" si="13"/>
        <v>40500</v>
      </c>
      <c r="K95" s="8" t="s">
        <v>12</v>
      </c>
      <c r="L95" s="35" t="str">
        <f>+VLOOKUP(E95,MÃ!$B$2:$F$229,2,0)</f>
        <v>NL300085</v>
      </c>
      <c r="M95" s="36">
        <f>+VLOOKUP(T95,Sheet2!$B$2:$N$305,10,0)</f>
        <v>0.4</v>
      </c>
      <c r="N95" s="37">
        <f>+VLOOKUP(L95,MÃ!$C$2:$F$226,4,0)</f>
        <v>45000</v>
      </c>
      <c r="O95" s="37">
        <f t="shared" si="14"/>
        <v>18000</v>
      </c>
      <c r="P95" s="37">
        <f t="shared" si="15"/>
        <v>22500</v>
      </c>
      <c r="Q95" s="35" t="str">
        <f t="shared" si="16"/>
        <v>SAI SL NHẬN</v>
      </c>
      <c r="R95" s="27">
        <f>+VLOOKUP(T95,Sheet2!$B$2:$N$305,13,0)</f>
        <v>18000</v>
      </c>
      <c r="S95" s="38">
        <f t="shared" si="17"/>
        <v>0</v>
      </c>
      <c r="T95" t="str">
        <f t="shared" si="18"/>
        <v>04/01/2026NL300085</v>
      </c>
      <c r="U95" s="29">
        <f t="shared" si="19"/>
        <v>0.5</v>
      </c>
      <c r="V95" s="39">
        <f t="shared" si="20"/>
        <v>0</v>
      </c>
    </row>
    <row r="96" spans="1:22" x14ac:dyDescent="0.25">
      <c r="A96" s="4" t="s">
        <v>106</v>
      </c>
      <c r="B96" s="5" t="s">
        <v>83</v>
      </c>
      <c r="C96" s="4" t="s">
        <v>84</v>
      </c>
      <c r="D96" s="5" t="s">
        <v>135</v>
      </c>
      <c r="E96" s="4" t="s">
        <v>29</v>
      </c>
      <c r="F96" s="4" t="s">
        <v>30</v>
      </c>
      <c r="G96" s="4" t="s">
        <v>13</v>
      </c>
      <c r="H96" s="6">
        <v>1</v>
      </c>
      <c r="I96" s="7">
        <v>145000</v>
      </c>
      <c r="J96" s="7">
        <f t="shared" si="13"/>
        <v>145000</v>
      </c>
      <c r="K96" s="8" t="s">
        <v>12</v>
      </c>
      <c r="L96" s="35" t="str">
        <f>+VLOOKUP(E96,MÃ!$B$2:$F$229,2,0)</f>
        <v>NL300113</v>
      </c>
      <c r="M96" s="36">
        <f>+VLOOKUP(T96,Sheet2!$B$2:$N$305,10,0)</f>
        <v>1</v>
      </c>
      <c r="N96" s="37">
        <f>+VLOOKUP(L96,MÃ!$C$2:$F$226,4,0)</f>
        <v>145000</v>
      </c>
      <c r="O96" s="37">
        <f t="shared" si="14"/>
        <v>145000</v>
      </c>
      <c r="P96" s="37">
        <f t="shared" si="15"/>
        <v>0</v>
      </c>
      <c r="Q96" s="35" t="str">
        <f t="shared" si="16"/>
        <v xml:space="preserve"> </v>
      </c>
      <c r="R96" s="27">
        <f>+VLOOKUP(T96,Sheet2!$B$2:$N$305,13,0)</f>
        <v>145000</v>
      </c>
      <c r="S96" s="38">
        <f t="shared" si="17"/>
        <v>0</v>
      </c>
      <c r="T96" t="str">
        <f t="shared" si="18"/>
        <v>04/01/2026NL300113</v>
      </c>
      <c r="U96" s="29">
        <f t="shared" si="19"/>
        <v>0</v>
      </c>
      <c r="V96" s="39">
        <f t="shared" si="20"/>
        <v>0</v>
      </c>
    </row>
    <row r="97" spans="1:22" x14ac:dyDescent="0.25">
      <c r="A97" s="4" t="s">
        <v>106</v>
      </c>
      <c r="B97" s="5" t="s">
        <v>83</v>
      </c>
      <c r="C97" s="4" t="s">
        <v>84</v>
      </c>
      <c r="D97" s="5" t="s">
        <v>135</v>
      </c>
      <c r="E97" s="4" t="s">
        <v>27</v>
      </c>
      <c r="F97" s="4" t="s">
        <v>28</v>
      </c>
      <c r="G97" s="4" t="s">
        <v>13</v>
      </c>
      <c r="H97" s="6">
        <v>3.8</v>
      </c>
      <c r="I97" s="7">
        <v>21000</v>
      </c>
      <c r="J97" s="7">
        <f t="shared" si="13"/>
        <v>79800</v>
      </c>
      <c r="K97" s="8" t="s">
        <v>12</v>
      </c>
      <c r="L97" s="35" t="str">
        <f>+VLOOKUP(E97,MÃ!$B$2:$F$229,2,0)</f>
        <v>NL300119</v>
      </c>
      <c r="M97" s="36">
        <f>+VLOOKUP(T97,Sheet2!$B$2:$N$305,10,0)</f>
        <v>3.8</v>
      </c>
      <c r="N97" s="37">
        <f>+VLOOKUP(L97,MÃ!$C$2:$F$226,4,0)</f>
        <v>21000</v>
      </c>
      <c r="O97" s="37">
        <f t="shared" si="14"/>
        <v>79800</v>
      </c>
      <c r="P97" s="37">
        <f t="shared" si="15"/>
        <v>0</v>
      </c>
      <c r="Q97" s="35" t="str">
        <f t="shared" si="16"/>
        <v xml:space="preserve"> </v>
      </c>
      <c r="R97" s="27">
        <f>+VLOOKUP(T97,Sheet2!$B$2:$N$305,13,0)</f>
        <v>79800</v>
      </c>
      <c r="S97" s="38">
        <f t="shared" si="17"/>
        <v>0</v>
      </c>
      <c r="T97" t="str">
        <f t="shared" si="18"/>
        <v>04/01/2026NL300119</v>
      </c>
      <c r="U97" s="29">
        <f t="shared" si="19"/>
        <v>0</v>
      </c>
      <c r="V97" s="39">
        <f t="shared" si="20"/>
        <v>0</v>
      </c>
    </row>
    <row r="98" spans="1:22" x14ac:dyDescent="0.25">
      <c r="A98" s="4" t="s">
        <v>106</v>
      </c>
      <c r="B98" s="5" t="s">
        <v>83</v>
      </c>
      <c r="C98" s="4" t="s">
        <v>84</v>
      </c>
      <c r="D98" s="5" t="s">
        <v>135</v>
      </c>
      <c r="E98" s="4" t="s">
        <v>76</v>
      </c>
      <c r="F98" s="4" t="s">
        <v>77</v>
      </c>
      <c r="G98" s="4" t="s">
        <v>13</v>
      </c>
      <c r="H98" s="6">
        <v>2.6</v>
      </c>
      <c r="I98" s="7">
        <v>38000</v>
      </c>
      <c r="J98" s="7">
        <f t="shared" si="13"/>
        <v>98800</v>
      </c>
      <c r="K98" s="8" t="s">
        <v>12</v>
      </c>
      <c r="L98" s="35" t="str">
        <f>+VLOOKUP(E98,MÃ!$B$2:$F$229,2,0)</f>
        <v>NL300018</v>
      </c>
      <c r="M98" s="36">
        <f>+VLOOKUP(T98,Sheet2!$B$2:$N$305,10,0)</f>
        <v>2.6</v>
      </c>
      <c r="N98" s="37">
        <f>+VLOOKUP(L98,MÃ!$C$2:$F$226,4,0)</f>
        <v>38000</v>
      </c>
      <c r="O98" s="37">
        <f t="shared" si="14"/>
        <v>98800</v>
      </c>
      <c r="P98" s="37">
        <f t="shared" si="15"/>
        <v>0</v>
      </c>
      <c r="Q98" s="35" t="str">
        <f t="shared" si="16"/>
        <v xml:space="preserve"> </v>
      </c>
      <c r="R98" s="27">
        <f>+VLOOKUP(T98,Sheet2!$B$2:$N$305,13,0)</f>
        <v>98800</v>
      </c>
      <c r="S98" s="38">
        <f t="shared" si="17"/>
        <v>0</v>
      </c>
      <c r="T98" t="str">
        <f t="shared" si="18"/>
        <v>04/01/2026NL300018</v>
      </c>
      <c r="U98" s="29">
        <f t="shared" si="19"/>
        <v>0</v>
      </c>
      <c r="V98" s="39">
        <f t="shared" si="20"/>
        <v>0</v>
      </c>
    </row>
    <row r="99" spans="1:22" x14ac:dyDescent="0.25">
      <c r="A99" s="4" t="s">
        <v>106</v>
      </c>
      <c r="B99" s="5" t="s">
        <v>83</v>
      </c>
      <c r="C99" s="4" t="s">
        <v>84</v>
      </c>
      <c r="D99" s="5" t="s">
        <v>135</v>
      </c>
      <c r="E99" s="4" t="s">
        <v>14</v>
      </c>
      <c r="F99" s="4" t="s">
        <v>15</v>
      </c>
      <c r="G99" s="4" t="s">
        <v>13</v>
      </c>
      <c r="H99" s="6">
        <v>1</v>
      </c>
      <c r="I99" s="7">
        <v>50000</v>
      </c>
      <c r="J99" s="7">
        <f t="shared" si="13"/>
        <v>50000</v>
      </c>
      <c r="K99" s="8" t="s">
        <v>12</v>
      </c>
      <c r="L99" s="35" t="str">
        <f>+VLOOKUP(E99,MÃ!$B$2:$F$229,2,0)</f>
        <v>NL300142</v>
      </c>
      <c r="M99" s="36">
        <f>+VLOOKUP(T99,Sheet2!$B$2:$N$305,10,0)</f>
        <v>1</v>
      </c>
      <c r="N99" s="37">
        <f>+VLOOKUP(L99,MÃ!$C$2:$F$226,4,0)</f>
        <v>50000</v>
      </c>
      <c r="O99" s="37">
        <f t="shared" si="14"/>
        <v>50000</v>
      </c>
      <c r="P99" s="37">
        <f t="shared" si="15"/>
        <v>0</v>
      </c>
      <c r="Q99" s="35" t="str">
        <f t="shared" si="16"/>
        <v xml:space="preserve"> </v>
      </c>
      <c r="R99" s="27">
        <f>+VLOOKUP(T99,Sheet2!$B$2:$N$305,13,0)</f>
        <v>50000</v>
      </c>
      <c r="S99" s="38">
        <f t="shared" si="17"/>
        <v>0</v>
      </c>
      <c r="T99" t="str">
        <f t="shared" si="18"/>
        <v>04/01/2026NL300142</v>
      </c>
      <c r="U99" s="29">
        <f t="shared" si="19"/>
        <v>0</v>
      </c>
      <c r="V99" s="39">
        <f t="shared" si="20"/>
        <v>0</v>
      </c>
    </row>
    <row r="100" spans="1:22" x14ac:dyDescent="0.25">
      <c r="A100" s="4" t="s">
        <v>106</v>
      </c>
      <c r="B100" s="5" t="s">
        <v>83</v>
      </c>
      <c r="C100" s="4" t="s">
        <v>84</v>
      </c>
      <c r="D100" s="5" t="s">
        <v>135</v>
      </c>
      <c r="E100" s="4" t="s">
        <v>48</v>
      </c>
      <c r="F100" s="4" t="s">
        <v>49</v>
      </c>
      <c r="G100" s="4" t="s">
        <v>13</v>
      </c>
      <c r="H100" s="6">
        <v>5.7</v>
      </c>
      <c r="I100" s="7">
        <v>62000</v>
      </c>
      <c r="J100" s="7">
        <f t="shared" si="13"/>
        <v>353400</v>
      </c>
      <c r="K100" s="8" t="s">
        <v>12</v>
      </c>
      <c r="L100" s="35" t="str">
        <f>+VLOOKUP(E100,MÃ!$B$2:$F$229,2,0)</f>
        <v>NL300147</v>
      </c>
      <c r="M100" s="36">
        <f>+VLOOKUP(T100,Sheet2!$B$2:$N$305,10,0)</f>
        <v>5</v>
      </c>
      <c r="N100" s="37">
        <f>+VLOOKUP(L100,MÃ!$C$2:$F$226,4,0)</f>
        <v>62000</v>
      </c>
      <c r="O100" s="37">
        <f t="shared" si="14"/>
        <v>310000</v>
      </c>
      <c r="P100" s="37">
        <f t="shared" si="15"/>
        <v>43400</v>
      </c>
      <c r="Q100" s="35" t="str">
        <f t="shared" si="16"/>
        <v>SAI SL NHẬN</v>
      </c>
      <c r="R100" s="27">
        <f>+VLOOKUP(T100,Sheet2!$B$2:$N$305,13,0)</f>
        <v>310000</v>
      </c>
      <c r="S100" s="38">
        <f t="shared" si="17"/>
        <v>0</v>
      </c>
      <c r="T100" t="str">
        <f t="shared" si="18"/>
        <v>04/01/2026NL300147</v>
      </c>
      <c r="U100" s="29">
        <f t="shared" si="19"/>
        <v>0.70000000000000018</v>
      </c>
      <c r="V100" s="39">
        <f t="shared" si="20"/>
        <v>0</v>
      </c>
    </row>
    <row r="101" spans="1:22" x14ac:dyDescent="0.25">
      <c r="A101" s="4" t="s">
        <v>108</v>
      </c>
      <c r="B101" s="5" t="s">
        <v>83</v>
      </c>
      <c r="C101" s="4" t="s">
        <v>84</v>
      </c>
      <c r="D101" s="5" t="s">
        <v>136</v>
      </c>
      <c r="E101" s="4" t="s">
        <v>31</v>
      </c>
      <c r="F101" s="4" t="s">
        <v>32</v>
      </c>
      <c r="G101" s="4" t="s">
        <v>33</v>
      </c>
      <c r="H101" s="6">
        <v>4</v>
      </c>
      <c r="I101" s="7">
        <v>8500</v>
      </c>
      <c r="J101" s="7">
        <f t="shared" si="13"/>
        <v>34000</v>
      </c>
      <c r="K101" s="8" t="s">
        <v>12</v>
      </c>
      <c r="L101" s="35" t="str">
        <f>+VLOOKUP(E101,MÃ!$B$2:$F$229,2,0)</f>
        <v>NL300107</v>
      </c>
      <c r="M101" s="36">
        <f>+VLOOKUP(T101,Sheet2!$B$2:$N$305,10,0)</f>
        <v>4</v>
      </c>
      <c r="N101" s="37">
        <f>+VLOOKUP(L101,MÃ!$C$2:$F$226,4,0)</f>
        <v>8500</v>
      </c>
      <c r="O101" s="37">
        <f t="shared" si="14"/>
        <v>34000</v>
      </c>
      <c r="P101" s="37">
        <f t="shared" si="15"/>
        <v>0</v>
      </c>
      <c r="Q101" s="35" t="str">
        <f t="shared" si="16"/>
        <v xml:space="preserve"> </v>
      </c>
      <c r="R101" s="27">
        <f>+VLOOKUP(T101,Sheet2!$B$2:$N$305,13,0)</f>
        <v>34000</v>
      </c>
      <c r="S101" s="38">
        <f t="shared" si="17"/>
        <v>0</v>
      </c>
      <c r="T101" t="str">
        <f t="shared" si="18"/>
        <v>05/01/2026NL300107</v>
      </c>
      <c r="U101" s="29">
        <f t="shared" si="19"/>
        <v>0</v>
      </c>
      <c r="V101" s="39">
        <f t="shared" si="20"/>
        <v>0</v>
      </c>
    </row>
    <row r="102" spans="1:22" x14ac:dyDescent="0.25">
      <c r="A102" s="4" t="s">
        <v>108</v>
      </c>
      <c r="B102" s="5" t="s">
        <v>83</v>
      </c>
      <c r="C102" s="4" t="s">
        <v>84</v>
      </c>
      <c r="D102" s="5" t="s">
        <v>136</v>
      </c>
      <c r="E102" s="4" t="s">
        <v>62</v>
      </c>
      <c r="F102" s="4" t="s">
        <v>63</v>
      </c>
      <c r="G102" s="4" t="s">
        <v>13</v>
      </c>
      <c r="H102" s="6">
        <v>1.3</v>
      </c>
      <c r="I102" s="7">
        <v>45000</v>
      </c>
      <c r="J102" s="7">
        <f t="shared" si="13"/>
        <v>58500</v>
      </c>
      <c r="K102" s="8" t="s">
        <v>12</v>
      </c>
      <c r="L102" s="35" t="str">
        <f>+VLOOKUP(E102,MÃ!$B$2:$F$229,2,0)</f>
        <v>NL300203</v>
      </c>
      <c r="M102" s="36">
        <f>+VLOOKUP(T102,Sheet2!$B$2:$N$305,10,0)</f>
        <v>0</v>
      </c>
      <c r="N102" s="37">
        <f>+VLOOKUP(L102,MÃ!$C$2:$F$226,4,0)</f>
        <v>45000</v>
      </c>
      <c r="O102" s="37">
        <f t="shared" si="14"/>
        <v>0</v>
      </c>
      <c r="P102" s="37">
        <f t="shared" si="15"/>
        <v>58500</v>
      </c>
      <c r="Q102" s="35" t="str">
        <f t="shared" si="16"/>
        <v>SAI SL NHẬN</v>
      </c>
      <c r="R102" s="27">
        <f>+VLOOKUP(T102,Sheet2!$B$2:$N$305,13,0)</f>
        <v>0</v>
      </c>
      <c r="S102" s="38">
        <f t="shared" si="17"/>
        <v>0</v>
      </c>
      <c r="T102" t="str">
        <f t="shared" si="18"/>
        <v>05/01/2026NL300203</v>
      </c>
      <c r="U102" s="29">
        <f t="shared" si="19"/>
        <v>1.3</v>
      </c>
      <c r="V102" s="39">
        <f t="shared" si="20"/>
        <v>0</v>
      </c>
    </row>
    <row r="103" spans="1:22" x14ac:dyDescent="0.25">
      <c r="A103" s="4" t="s">
        <v>108</v>
      </c>
      <c r="B103" s="5" t="s">
        <v>83</v>
      </c>
      <c r="C103" s="4" t="s">
        <v>84</v>
      </c>
      <c r="D103" s="5" t="s">
        <v>136</v>
      </c>
      <c r="E103" s="4" t="s">
        <v>64</v>
      </c>
      <c r="F103" s="4" t="s">
        <v>65</v>
      </c>
      <c r="G103" s="4" t="s">
        <v>13</v>
      </c>
      <c r="H103" s="6">
        <v>1</v>
      </c>
      <c r="I103" s="7">
        <v>50000</v>
      </c>
      <c r="J103" s="7">
        <f t="shared" si="13"/>
        <v>50000</v>
      </c>
      <c r="K103" s="8" t="s">
        <v>12</v>
      </c>
      <c r="L103" s="35" t="str">
        <f>+VLOOKUP(E103,MÃ!$B$2:$F$229,2,0)</f>
        <v>NL300013</v>
      </c>
      <c r="M103" s="36">
        <f>+VLOOKUP(T103,Sheet2!$B$2:$N$305,10,0)</f>
        <v>1</v>
      </c>
      <c r="N103" s="37">
        <f>+VLOOKUP(L103,MÃ!$C$2:$F$226,4,0)</f>
        <v>50000</v>
      </c>
      <c r="O103" s="37">
        <f t="shared" si="14"/>
        <v>50000</v>
      </c>
      <c r="P103" s="37">
        <f t="shared" si="15"/>
        <v>0</v>
      </c>
      <c r="Q103" s="35" t="str">
        <f t="shared" si="16"/>
        <v xml:space="preserve"> </v>
      </c>
      <c r="R103" s="27">
        <f>+VLOOKUP(T103,Sheet2!$B$2:$N$305,13,0)</f>
        <v>50000</v>
      </c>
      <c r="S103" s="38">
        <f t="shared" si="17"/>
        <v>0</v>
      </c>
      <c r="T103" t="str">
        <f t="shared" si="18"/>
        <v>05/01/2026NL300013</v>
      </c>
      <c r="U103" s="29">
        <f t="shared" si="19"/>
        <v>0</v>
      </c>
      <c r="V103" s="39">
        <f t="shared" si="20"/>
        <v>0</v>
      </c>
    </row>
    <row r="104" spans="1:22" x14ac:dyDescent="0.25">
      <c r="A104" s="4" t="s">
        <v>108</v>
      </c>
      <c r="B104" s="5" t="s">
        <v>83</v>
      </c>
      <c r="C104" s="4" t="s">
        <v>84</v>
      </c>
      <c r="D104" s="5" t="s">
        <v>136</v>
      </c>
      <c r="E104" s="4" t="s">
        <v>66</v>
      </c>
      <c r="F104" s="4" t="s">
        <v>67</v>
      </c>
      <c r="G104" s="4" t="s">
        <v>13</v>
      </c>
      <c r="H104" s="6">
        <v>9.5</v>
      </c>
      <c r="I104" s="7">
        <v>18000</v>
      </c>
      <c r="J104" s="7">
        <f t="shared" si="13"/>
        <v>171000</v>
      </c>
      <c r="K104" s="8" t="s">
        <v>12</v>
      </c>
      <c r="L104" s="35" t="str">
        <f>+VLOOKUP(E104,MÃ!$B$2:$F$229,2,0)</f>
        <v>NL300022</v>
      </c>
      <c r="M104" s="36">
        <f>+VLOOKUP(T104,Sheet2!$B$2:$N$305,10,0)</f>
        <v>8</v>
      </c>
      <c r="N104" s="37">
        <f>+VLOOKUP(L104,MÃ!$C$2:$F$226,4,0)</f>
        <v>18000</v>
      </c>
      <c r="O104" s="37">
        <f t="shared" si="14"/>
        <v>144000</v>
      </c>
      <c r="P104" s="37">
        <f t="shared" si="15"/>
        <v>27000</v>
      </c>
      <c r="Q104" s="35" t="str">
        <f t="shared" si="16"/>
        <v>SAI SL NHẬN</v>
      </c>
      <c r="R104" s="27">
        <f>+VLOOKUP(T104,Sheet2!$B$2:$N$305,13,0)</f>
        <v>144000</v>
      </c>
      <c r="S104" s="38">
        <f t="shared" si="17"/>
        <v>0</v>
      </c>
      <c r="T104" t="str">
        <f t="shared" si="18"/>
        <v>05/01/2026NL300022</v>
      </c>
      <c r="U104" s="29">
        <f t="shared" si="19"/>
        <v>1.5</v>
      </c>
      <c r="V104" s="39">
        <f t="shared" si="20"/>
        <v>0</v>
      </c>
    </row>
    <row r="105" spans="1:22" x14ac:dyDescent="0.25">
      <c r="A105" s="4" t="s">
        <v>108</v>
      </c>
      <c r="B105" s="5" t="s">
        <v>83</v>
      </c>
      <c r="C105" s="4" t="s">
        <v>84</v>
      </c>
      <c r="D105" s="5" t="s">
        <v>136</v>
      </c>
      <c r="E105" s="4" t="s">
        <v>54</v>
      </c>
      <c r="F105" s="4" t="s">
        <v>55</v>
      </c>
      <c r="G105" s="4" t="s">
        <v>13</v>
      </c>
      <c r="H105" s="6">
        <v>0.59</v>
      </c>
      <c r="I105" s="7">
        <v>75000</v>
      </c>
      <c r="J105" s="7">
        <f t="shared" si="13"/>
        <v>44250</v>
      </c>
      <c r="K105" s="8" t="s">
        <v>12</v>
      </c>
      <c r="L105" s="35" t="str">
        <f>+VLOOKUP(E105,MÃ!$B$2:$F$229,2,0)</f>
        <v>NL600067</v>
      </c>
      <c r="M105" s="36">
        <f>+VLOOKUP(T105,Sheet2!$B$2:$N$305,10,0)</f>
        <v>0.59</v>
      </c>
      <c r="N105" s="37">
        <f>+VLOOKUP(L105,MÃ!$C$2:$F$226,4,0)</f>
        <v>75000</v>
      </c>
      <c r="O105" s="37">
        <f t="shared" si="14"/>
        <v>44250</v>
      </c>
      <c r="P105" s="37">
        <f t="shared" si="15"/>
        <v>0</v>
      </c>
      <c r="Q105" s="35" t="str">
        <f t="shared" si="16"/>
        <v xml:space="preserve"> </v>
      </c>
      <c r="R105" s="27">
        <f>+VLOOKUP(T105,Sheet2!$B$2:$N$305,13,0)</f>
        <v>44250</v>
      </c>
      <c r="S105" s="38">
        <f t="shared" si="17"/>
        <v>0</v>
      </c>
      <c r="T105" t="str">
        <f t="shared" si="18"/>
        <v>05/01/2026NL600067</v>
      </c>
      <c r="U105" s="29">
        <f t="shared" si="19"/>
        <v>0</v>
      </c>
      <c r="V105" s="39">
        <f t="shared" si="20"/>
        <v>0</v>
      </c>
    </row>
    <row r="106" spans="1:22" x14ac:dyDescent="0.25">
      <c r="A106" s="4" t="s">
        <v>108</v>
      </c>
      <c r="B106" s="5" t="s">
        <v>83</v>
      </c>
      <c r="C106" s="4" t="s">
        <v>84</v>
      </c>
      <c r="D106" s="5" t="s">
        <v>136</v>
      </c>
      <c r="E106" s="4" t="s">
        <v>92</v>
      </c>
      <c r="F106" s="4" t="s">
        <v>93</v>
      </c>
      <c r="G106" s="4" t="s">
        <v>13</v>
      </c>
      <c r="H106" s="6">
        <v>0.4</v>
      </c>
      <c r="I106" s="7">
        <v>38000</v>
      </c>
      <c r="J106" s="7">
        <f t="shared" si="13"/>
        <v>15200</v>
      </c>
      <c r="K106" s="8" t="s">
        <v>12</v>
      </c>
      <c r="L106" s="35" t="str">
        <f>+VLOOKUP(E106,MÃ!$B$2:$F$229,2,0)</f>
        <v>NL300054</v>
      </c>
      <c r="M106" s="36">
        <f>+VLOOKUP(T106,Sheet2!$B$2:$N$305,10,0)</f>
        <v>0.4</v>
      </c>
      <c r="N106" s="37">
        <f>+VLOOKUP(L106,MÃ!$C$2:$F$226,4,0)</f>
        <v>38000</v>
      </c>
      <c r="O106" s="37">
        <f t="shared" si="14"/>
        <v>15200</v>
      </c>
      <c r="P106" s="37">
        <f t="shared" si="15"/>
        <v>0</v>
      </c>
      <c r="Q106" s="35" t="str">
        <f t="shared" si="16"/>
        <v xml:space="preserve"> </v>
      </c>
      <c r="R106" s="27">
        <f>+VLOOKUP(T106,Sheet2!$B$2:$N$305,13,0)</f>
        <v>15200</v>
      </c>
      <c r="S106" s="38">
        <f t="shared" si="17"/>
        <v>0</v>
      </c>
      <c r="T106" t="str">
        <f t="shared" si="18"/>
        <v>05/01/2026NL300054</v>
      </c>
      <c r="U106" s="29">
        <f t="shared" si="19"/>
        <v>0</v>
      </c>
      <c r="V106" s="39">
        <f t="shared" si="20"/>
        <v>0</v>
      </c>
    </row>
    <row r="107" spans="1:22" x14ac:dyDescent="0.25">
      <c r="A107" s="4" t="s">
        <v>108</v>
      </c>
      <c r="B107" s="5" t="s">
        <v>83</v>
      </c>
      <c r="C107" s="4" t="s">
        <v>84</v>
      </c>
      <c r="D107" s="5" t="s">
        <v>136</v>
      </c>
      <c r="E107" s="4" t="s">
        <v>50</v>
      </c>
      <c r="F107" s="4" t="s">
        <v>51</v>
      </c>
      <c r="G107" s="4" t="s">
        <v>13</v>
      </c>
      <c r="H107" s="6">
        <v>13</v>
      </c>
      <c r="I107" s="7">
        <v>18000</v>
      </c>
      <c r="J107" s="7">
        <f t="shared" si="13"/>
        <v>234000</v>
      </c>
      <c r="K107" s="8" t="s">
        <v>12</v>
      </c>
      <c r="L107" s="35" t="str">
        <f>+VLOOKUP(E107,MÃ!$B$2:$F$229,2,0)</f>
        <v>NL600004</v>
      </c>
      <c r="M107" s="36">
        <f>+VLOOKUP(T107,Sheet2!$B$2:$N$305,10,0)</f>
        <v>13</v>
      </c>
      <c r="N107" s="37">
        <f>+VLOOKUP(L107,MÃ!$C$2:$F$226,4,0)</f>
        <v>18000</v>
      </c>
      <c r="O107" s="37">
        <f t="shared" si="14"/>
        <v>234000</v>
      </c>
      <c r="P107" s="37">
        <f t="shared" si="15"/>
        <v>0</v>
      </c>
      <c r="Q107" s="35" t="str">
        <f t="shared" si="16"/>
        <v xml:space="preserve"> </v>
      </c>
      <c r="R107" s="27">
        <f>+VLOOKUP(T107,Sheet2!$B$2:$N$305,13,0)</f>
        <v>234000</v>
      </c>
      <c r="S107" s="38">
        <f t="shared" si="17"/>
        <v>0</v>
      </c>
      <c r="T107" t="str">
        <f t="shared" si="18"/>
        <v>05/01/2026NL600004</v>
      </c>
      <c r="U107" s="29">
        <f t="shared" si="19"/>
        <v>0</v>
      </c>
      <c r="V107" s="39">
        <f t="shared" si="20"/>
        <v>0</v>
      </c>
    </row>
    <row r="108" spans="1:22" x14ac:dyDescent="0.25">
      <c r="A108" s="4" t="s">
        <v>108</v>
      </c>
      <c r="B108" s="5" t="s">
        <v>83</v>
      </c>
      <c r="C108" s="4" t="s">
        <v>84</v>
      </c>
      <c r="D108" s="5" t="s">
        <v>136</v>
      </c>
      <c r="E108" s="4" t="s">
        <v>18</v>
      </c>
      <c r="F108" s="4" t="s">
        <v>19</v>
      </c>
      <c r="G108" s="4" t="s">
        <v>13</v>
      </c>
      <c r="H108" s="6">
        <v>0.5</v>
      </c>
      <c r="I108" s="7">
        <v>55000</v>
      </c>
      <c r="J108" s="7">
        <f t="shared" si="13"/>
        <v>27500</v>
      </c>
      <c r="K108" s="8" t="s">
        <v>12</v>
      </c>
      <c r="L108" s="35" t="str">
        <f>+VLOOKUP(E108,MÃ!$B$2:$F$229,2,0)</f>
        <v>NL300058</v>
      </c>
      <c r="M108" s="36">
        <f>+VLOOKUP(T108,Sheet2!$B$2:$N$305,10,0)</f>
        <v>0.5</v>
      </c>
      <c r="N108" s="37">
        <f>+VLOOKUP(L108,MÃ!$C$2:$F$226,4,0)</f>
        <v>55000</v>
      </c>
      <c r="O108" s="37">
        <f t="shared" si="14"/>
        <v>27500</v>
      </c>
      <c r="P108" s="37">
        <f t="shared" si="15"/>
        <v>0</v>
      </c>
      <c r="Q108" s="35" t="str">
        <f t="shared" si="16"/>
        <v xml:space="preserve"> </v>
      </c>
      <c r="R108" s="27">
        <f>+VLOOKUP(T108,Sheet2!$B$2:$N$305,13,0)</f>
        <v>27500</v>
      </c>
      <c r="S108" s="38">
        <f t="shared" si="17"/>
        <v>0</v>
      </c>
      <c r="T108" t="str">
        <f t="shared" si="18"/>
        <v>05/01/2026NL300058</v>
      </c>
      <c r="U108" s="29">
        <f t="shared" si="19"/>
        <v>0</v>
      </c>
      <c r="V108" s="39">
        <f t="shared" si="20"/>
        <v>0</v>
      </c>
    </row>
    <row r="109" spans="1:22" x14ac:dyDescent="0.25">
      <c r="A109" s="4" t="s">
        <v>108</v>
      </c>
      <c r="B109" s="5" t="s">
        <v>83</v>
      </c>
      <c r="C109" s="4" t="s">
        <v>84</v>
      </c>
      <c r="D109" s="5" t="s">
        <v>136</v>
      </c>
      <c r="E109" s="4" t="s">
        <v>52</v>
      </c>
      <c r="F109" s="4" t="s">
        <v>53</v>
      </c>
      <c r="G109" s="4" t="s">
        <v>13</v>
      </c>
      <c r="H109" s="6">
        <v>0.1</v>
      </c>
      <c r="I109" s="7">
        <v>65000</v>
      </c>
      <c r="J109" s="7">
        <f t="shared" si="13"/>
        <v>6500</v>
      </c>
      <c r="K109" s="8" t="s">
        <v>12</v>
      </c>
      <c r="L109" s="35" t="str">
        <f>+VLOOKUP(E109,MÃ!$B$2:$F$229,2,0)</f>
        <v>NL300062</v>
      </c>
      <c r="M109" s="36">
        <f>+VLOOKUP(T109,Sheet2!$B$2:$N$305,10,0)</f>
        <v>0</v>
      </c>
      <c r="N109" s="37">
        <f>+VLOOKUP(L109,MÃ!$C$2:$F$226,4,0)</f>
        <v>65000</v>
      </c>
      <c r="O109" s="37">
        <f t="shared" si="14"/>
        <v>0</v>
      </c>
      <c r="P109" s="37">
        <f t="shared" si="15"/>
        <v>6500</v>
      </c>
      <c r="Q109" s="35" t="str">
        <f t="shared" si="16"/>
        <v>SAI SL NHẬN</v>
      </c>
      <c r="R109" s="27">
        <f>+VLOOKUP(T109,Sheet2!$B$2:$N$305,13,0)</f>
        <v>0</v>
      </c>
      <c r="S109" s="38">
        <f t="shared" si="17"/>
        <v>0</v>
      </c>
      <c r="T109" t="str">
        <f t="shared" si="18"/>
        <v>05/01/2026NL300062</v>
      </c>
      <c r="U109" s="29">
        <f t="shared" si="19"/>
        <v>0.1</v>
      </c>
      <c r="V109" s="39">
        <f t="shared" si="20"/>
        <v>0</v>
      </c>
    </row>
    <row r="110" spans="1:22" x14ac:dyDescent="0.25">
      <c r="A110" s="4" t="s">
        <v>108</v>
      </c>
      <c r="B110" s="5" t="s">
        <v>83</v>
      </c>
      <c r="C110" s="4" t="s">
        <v>84</v>
      </c>
      <c r="D110" s="5" t="s">
        <v>136</v>
      </c>
      <c r="E110" s="4" t="s">
        <v>74</v>
      </c>
      <c r="F110" s="4" t="s">
        <v>75</v>
      </c>
      <c r="G110" s="4" t="s">
        <v>13</v>
      </c>
      <c r="H110" s="6">
        <v>2</v>
      </c>
      <c r="I110" s="7">
        <v>22000</v>
      </c>
      <c r="J110" s="7">
        <f t="shared" si="13"/>
        <v>44000</v>
      </c>
      <c r="K110" s="8" t="s">
        <v>12</v>
      </c>
      <c r="L110" s="35" t="str">
        <f>+VLOOKUP(E110,MÃ!$B$2:$F$229,2,0)</f>
        <v>NL300084</v>
      </c>
      <c r="M110" s="36">
        <f>+VLOOKUP(T110,Sheet2!$B$2:$N$305,10,0)</f>
        <v>1</v>
      </c>
      <c r="N110" s="37">
        <f>+VLOOKUP(L110,MÃ!$C$2:$F$226,4,0)</f>
        <v>22000</v>
      </c>
      <c r="O110" s="37">
        <f t="shared" si="14"/>
        <v>22000</v>
      </c>
      <c r="P110" s="37">
        <f t="shared" si="15"/>
        <v>22000</v>
      </c>
      <c r="Q110" s="35" t="str">
        <f t="shared" si="16"/>
        <v>SAI SL NHẬN</v>
      </c>
      <c r="R110" s="27">
        <f>+VLOOKUP(T110,Sheet2!$B$2:$N$305,13,0)</f>
        <v>22000</v>
      </c>
      <c r="S110" s="38">
        <f t="shared" si="17"/>
        <v>0</v>
      </c>
      <c r="T110" t="str">
        <f t="shared" si="18"/>
        <v>05/01/2026NL300084</v>
      </c>
      <c r="U110" s="29">
        <f t="shared" si="19"/>
        <v>1</v>
      </c>
      <c r="V110" s="39">
        <f t="shared" si="20"/>
        <v>0</v>
      </c>
    </row>
    <row r="111" spans="1:22" x14ac:dyDescent="0.25">
      <c r="A111" s="4" t="s">
        <v>108</v>
      </c>
      <c r="B111" s="5" t="s">
        <v>83</v>
      </c>
      <c r="C111" s="4" t="s">
        <v>84</v>
      </c>
      <c r="D111" s="5" t="s">
        <v>136</v>
      </c>
      <c r="E111" s="4" t="s">
        <v>36</v>
      </c>
      <c r="F111" s="4" t="s">
        <v>37</v>
      </c>
      <c r="G111" s="4" t="s">
        <v>13</v>
      </c>
      <c r="H111" s="6">
        <v>2</v>
      </c>
      <c r="I111" s="7">
        <v>145000</v>
      </c>
      <c r="J111" s="7">
        <f t="shared" si="13"/>
        <v>290000</v>
      </c>
      <c r="K111" s="8" t="s">
        <v>12</v>
      </c>
      <c r="L111" s="35" t="str">
        <f>+VLOOKUP(E111,MÃ!$B$2:$F$229,2,0)</f>
        <v>NL300090</v>
      </c>
      <c r="M111" s="36">
        <f>+VLOOKUP(T111,Sheet2!$B$2:$N$305,10,0)</f>
        <v>2</v>
      </c>
      <c r="N111" s="37">
        <f>+VLOOKUP(L111,MÃ!$C$2:$F$226,4,0)</f>
        <v>145000</v>
      </c>
      <c r="O111" s="37">
        <f t="shared" si="14"/>
        <v>290000</v>
      </c>
      <c r="P111" s="37">
        <f t="shared" si="15"/>
        <v>0</v>
      </c>
      <c r="Q111" s="35" t="str">
        <f t="shared" si="16"/>
        <v xml:space="preserve"> </v>
      </c>
      <c r="R111" s="27">
        <f>+VLOOKUP(T111,Sheet2!$B$2:$N$305,13,0)</f>
        <v>290000</v>
      </c>
      <c r="S111" s="38">
        <f t="shared" si="17"/>
        <v>0</v>
      </c>
      <c r="T111" t="str">
        <f t="shared" si="18"/>
        <v>05/01/2026NL300090</v>
      </c>
      <c r="U111" s="29">
        <f t="shared" si="19"/>
        <v>0</v>
      </c>
      <c r="V111" s="39">
        <f t="shared" si="20"/>
        <v>0</v>
      </c>
    </row>
    <row r="112" spans="1:22" x14ac:dyDescent="0.25">
      <c r="A112" s="4" t="s">
        <v>108</v>
      </c>
      <c r="B112" s="5" t="s">
        <v>83</v>
      </c>
      <c r="C112" s="4" t="s">
        <v>84</v>
      </c>
      <c r="D112" s="5" t="s">
        <v>136</v>
      </c>
      <c r="E112" s="4" t="s">
        <v>38</v>
      </c>
      <c r="F112" s="4" t="s">
        <v>39</v>
      </c>
      <c r="G112" s="4" t="s">
        <v>13</v>
      </c>
      <c r="H112" s="6">
        <v>5</v>
      </c>
      <c r="I112" s="7">
        <v>47000</v>
      </c>
      <c r="J112" s="7">
        <f t="shared" si="13"/>
        <v>235000</v>
      </c>
      <c r="K112" s="8" t="s">
        <v>12</v>
      </c>
      <c r="L112" s="35" t="str">
        <f>+VLOOKUP(E112,MÃ!$B$2:$F$229,2,0)</f>
        <v>NL300091</v>
      </c>
      <c r="M112" s="36">
        <f>+VLOOKUP(T112,Sheet2!$B$2:$N$305,10,0)</f>
        <v>5</v>
      </c>
      <c r="N112" s="37">
        <f>+VLOOKUP(L112,MÃ!$C$2:$F$226,4,0)</f>
        <v>47000</v>
      </c>
      <c r="O112" s="37">
        <f t="shared" si="14"/>
        <v>235000</v>
      </c>
      <c r="P112" s="37">
        <f t="shared" si="15"/>
        <v>0</v>
      </c>
      <c r="Q112" s="35" t="str">
        <f t="shared" si="16"/>
        <v xml:space="preserve"> </v>
      </c>
      <c r="R112" s="27">
        <f>+VLOOKUP(T112,Sheet2!$B$2:$N$305,13,0)</f>
        <v>235000</v>
      </c>
      <c r="S112" s="38">
        <f t="shared" si="17"/>
        <v>0</v>
      </c>
      <c r="T112" t="str">
        <f t="shared" si="18"/>
        <v>05/01/2026NL300091</v>
      </c>
      <c r="U112" s="29">
        <f t="shared" si="19"/>
        <v>0</v>
      </c>
      <c r="V112" s="39">
        <f t="shared" si="20"/>
        <v>0</v>
      </c>
    </row>
    <row r="113" spans="1:22" x14ac:dyDescent="0.25">
      <c r="A113" s="4" t="s">
        <v>108</v>
      </c>
      <c r="B113" s="5" t="s">
        <v>83</v>
      </c>
      <c r="C113" s="4" t="s">
        <v>84</v>
      </c>
      <c r="D113" s="5" t="s">
        <v>136</v>
      </c>
      <c r="E113" s="4" t="s">
        <v>40</v>
      </c>
      <c r="F113" s="4" t="s">
        <v>41</v>
      </c>
      <c r="G113" s="4" t="s">
        <v>13</v>
      </c>
      <c r="H113" s="6">
        <v>2</v>
      </c>
      <c r="I113" s="7">
        <v>80000</v>
      </c>
      <c r="J113" s="7">
        <f t="shared" si="13"/>
        <v>160000</v>
      </c>
      <c r="K113" s="8" t="s">
        <v>12</v>
      </c>
      <c r="L113" s="35" t="str">
        <f>+VLOOKUP(E113,MÃ!$B$2:$F$229,2,0)</f>
        <v>NL300094</v>
      </c>
      <c r="M113" s="36">
        <f>+VLOOKUP(T113,Sheet2!$B$2:$N$305,10,0)</f>
        <v>2</v>
      </c>
      <c r="N113" s="37">
        <f>+VLOOKUP(L113,MÃ!$C$2:$F$226,4,0)</f>
        <v>80000</v>
      </c>
      <c r="O113" s="37">
        <f t="shared" si="14"/>
        <v>160000</v>
      </c>
      <c r="P113" s="37">
        <f t="shared" si="15"/>
        <v>0</v>
      </c>
      <c r="Q113" s="35" t="str">
        <f t="shared" si="16"/>
        <v xml:space="preserve"> </v>
      </c>
      <c r="R113" s="27">
        <f>+VLOOKUP(T113,Sheet2!$B$2:$N$305,13,0)</f>
        <v>160000</v>
      </c>
      <c r="S113" s="38">
        <f t="shared" si="17"/>
        <v>0</v>
      </c>
      <c r="T113" t="str">
        <f t="shared" si="18"/>
        <v>05/01/2026NL300094</v>
      </c>
      <c r="U113" s="29">
        <f t="shared" si="19"/>
        <v>0</v>
      </c>
      <c r="V113" s="39">
        <f t="shared" si="20"/>
        <v>0</v>
      </c>
    </row>
    <row r="114" spans="1:22" x14ac:dyDescent="0.25">
      <c r="A114" s="4" t="s">
        <v>108</v>
      </c>
      <c r="B114" s="5" t="s">
        <v>83</v>
      </c>
      <c r="C114" s="4" t="s">
        <v>84</v>
      </c>
      <c r="D114" s="5" t="s">
        <v>136</v>
      </c>
      <c r="E114" s="4" t="s">
        <v>42</v>
      </c>
      <c r="F114" s="4" t="s">
        <v>43</v>
      </c>
      <c r="G114" s="4" t="s">
        <v>13</v>
      </c>
      <c r="H114" s="6">
        <v>4</v>
      </c>
      <c r="I114" s="7">
        <v>45000</v>
      </c>
      <c r="J114" s="7">
        <f t="shared" si="13"/>
        <v>180000</v>
      </c>
      <c r="K114" s="8" t="s">
        <v>12</v>
      </c>
      <c r="L114" s="35" t="str">
        <f>+VLOOKUP(E114,MÃ!$B$2:$F$229,2,0)</f>
        <v>NL300096</v>
      </c>
      <c r="M114" s="36">
        <f>+VLOOKUP(T114,Sheet2!$B$2:$N$305,10,0)</f>
        <v>4</v>
      </c>
      <c r="N114" s="37">
        <f>+VLOOKUP(L114,MÃ!$C$2:$F$226,4,0)</f>
        <v>45000</v>
      </c>
      <c r="O114" s="37">
        <f t="shared" si="14"/>
        <v>180000</v>
      </c>
      <c r="P114" s="37">
        <f t="shared" si="15"/>
        <v>0</v>
      </c>
      <c r="Q114" s="35" t="str">
        <f t="shared" si="16"/>
        <v xml:space="preserve"> </v>
      </c>
      <c r="R114" s="27">
        <f>+VLOOKUP(T114,Sheet2!$B$2:$N$305,13,0)</f>
        <v>180000</v>
      </c>
      <c r="S114" s="38">
        <f t="shared" si="17"/>
        <v>0</v>
      </c>
      <c r="T114" t="str">
        <f t="shared" si="18"/>
        <v>05/01/2026NL300096</v>
      </c>
      <c r="U114" s="29">
        <f t="shared" si="19"/>
        <v>0</v>
      </c>
      <c r="V114" s="39">
        <f t="shared" si="20"/>
        <v>0</v>
      </c>
    </row>
    <row r="115" spans="1:22" ht="28.5" x14ac:dyDescent="0.25">
      <c r="A115" s="4" t="s">
        <v>108</v>
      </c>
      <c r="B115" s="5" t="s">
        <v>83</v>
      </c>
      <c r="C115" s="4" t="s">
        <v>84</v>
      </c>
      <c r="D115" s="5" t="s">
        <v>136</v>
      </c>
      <c r="E115" s="4" t="s">
        <v>44</v>
      </c>
      <c r="F115" s="4" t="s">
        <v>45</v>
      </c>
      <c r="G115" s="4" t="s">
        <v>13</v>
      </c>
      <c r="H115" s="6">
        <v>3</v>
      </c>
      <c r="I115" s="7">
        <v>95000</v>
      </c>
      <c r="J115" s="7">
        <f t="shared" si="13"/>
        <v>285000</v>
      </c>
      <c r="K115" s="8" t="s">
        <v>12</v>
      </c>
      <c r="L115" s="35" t="str">
        <f>+VLOOKUP(E115,MÃ!$B$2:$F$229,2,0)</f>
        <v>NL300098</v>
      </c>
      <c r="M115" s="36">
        <f>+VLOOKUP(T115,Sheet2!$B$2:$N$305,10,0)</f>
        <v>3</v>
      </c>
      <c r="N115" s="37">
        <f>+VLOOKUP(L115,MÃ!$C$2:$F$226,4,0)</f>
        <v>95000</v>
      </c>
      <c r="O115" s="37">
        <f t="shared" si="14"/>
        <v>285000</v>
      </c>
      <c r="P115" s="37">
        <f t="shared" si="15"/>
        <v>0</v>
      </c>
      <c r="Q115" s="35" t="str">
        <f t="shared" si="16"/>
        <v xml:space="preserve"> </v>
      </c>
      <c r="R115" s="27">
        <f>+VLOOKUP(T115,Sheet2!$B$2:$N$305,13,0)</f>
        <v>285000</v>
      </c>
      <c r="S115" s="38">
        <f t="shared" si="17"/>
        <v>0</v>
      </c>
      <c r="T115" t="str">
        <f t="shared" si="18"/>
        <v>05/01/2026NL300098</v>
      </c>
      <c r="U115" s="29">
        <f t="shared" si="19"/>
        <v>0</v>
      </c>
      <c r="V115" s="39">
        <f t="shared" si="20"/>
        <v>0</v>
      </c>
    </row>
    <row r="116" spans="1:22" x14ac:dyDescent="0.25">
      <c r="A116" s="4" t="s">
        <v>108</v>
      </c>
      <c r="B116" s="5" t="s">
        <v>83</v>
      </c>
      <c r="C116" s="4" t="s">
        <v>84</v>
      </c>
      <c r="D116" s="5" t="s">
        <v>136</v>
      </c>
      <c r="E116" s="4" t="s">
        <v>20</v>
      </c>
      <c r="F116" s="4" t="s">
        <v>21</v>
      </c>
      <c r="G116" s="4" t="s">
        <v>13</v>
      </c>
      <c r="H116" s="6">
        <v>0.6</v>
      </c>
      <c r="I116" s="7">
        <v>45000</v>
      </c>
      <c r="J116" s="7">
        <f t="shared" si="13"/>
        <v>27000</v>
      </c>
      <c r="K116" s="8" t="s">
        <v>12</v>
      </c>
      <c r="L116" s="35" t="str">
        <f>+VLOOKUP(E116,MÃ!$B$2:$F$229,2,0)</f>
        <v>NL300085</v>
      </c>
      <c r="M116" s="36">
        <f>+VLOOKUP(T116,Sheet2!$B$2:$N$305,10,0)</f>
        <v>0.3</v>
      </c>
      <c r="N116" s="37">
        <f>+VLOOKUP(L116,MÃ!$C$2:$F$226,4,0)</f>
        <v>45000</v>
      </c>
      <c r="O116" s="37">
        <f t="shared" si="14"/>
        <v>13500</v>
      </c>
      <c r="P116" s="37">
        <f t="shared" si="15"/>
        <v>13500</v>
      </c>
      <c r="Q116" s="35" t="str">
        <f t="shared" si="16"/>
        <v>SAI SL NHẬN</v>
      </c>
      <c r="R116" s="27">
        <f>+VLOOKUP(T116,Sheet2!$B$2:$N$305,13,0)</f>
        <v>13500</v>
      </c>
      <c r="S116" s="38">
        <f t="shared" si="17"/>
        <v>0</v>
      </c>
      <c r="T116" t="str">
        <f t="shared" si="18"/>
        <v>05/01/2026NL300085</v>
      </c>
      <c r="U116" s="29">
        <f t="shared" si="19"/>
        <v>0.3</v>
      </c>
      <c r="V116" s="39">
        <f t="shared" si="20"/>
        <v>0</v>
      </c>
    </row>
    <row r="117" spans="1:22" x14ac:dyDescent="0.25">
      <c r="A117" s="4" t="s">
        <v>108</v>
      </c>
      <c r="B117" s="5" t="s">
        <v>83</v>
      </c>
      <c r="C117" s="4" t="s">
        <v>84</v>
      </c>
      <c r="D117" s="5" t="s">
        <v>136</v>
      </c>
      <c r="E117" s="4" t="s">
        <v>27</v>
      </c>
      <c r="F117" s="4" t="s">
        <v>28</v>
      </c>
      <c r="G117" s="4" t="s">
        <v>13</v>
      </c>
      <c r="H117" s="6">
        <v>3</v>
      </c>
      <c r="I117" s="7">
        <v>21000</v>
      </c>
      <c r="J117" s="7">
        <f t="shared" si="13"/>
        <v>63000</v>
      </c>
      <c r="K117" s="8" t="s">
        <v>12</v>
      </c>
      <c r="L117" s="35" t="str">
        <f>+VLOOKUP(E117,MÃ!$B$2:$F$229,2,0)</f>
        <v>NL300119</v>
      </c>
      <c r="M117" s="36">
        <f>+VLOOKUP(T117,Sheet2!$B$2:$N$305,10,0)</f>
        <v>2.5</v>
      </c>
      <c r="N117" s="37">
        <f>+VLOOKUP(L117,MÃ!$C$2:$F$226,4,0)</f>
        <v>21000</v>
      </c>
      <c r="O117" s="37">
        <f t="shared" si="14"/>
        <v>52500</v>
      </c>
      <c r="P117" s="37">
        <f t="shared" si="15"/>
        <v>10500</v>
      </c>
      <c r="Q117" s="35" t="str">
        <f t="shared" si="16"/>
        <v>SAI SL NHẬN</v>
      </c>
      <c r="R117" s="27">
        <f>+VLOOKUP(T117,Sheet2!$B$2:$N$305,13,0)</f>
        <v>52500</v>
      </c>
      <c r="S117" s="38">
        <f t="shared" si="17"/>
        <v>0</v>
      </c>
      <c r="T117" t="str">
        <f t="shared" si="18"/>
        <v>05/01/2026NL300119</v>
      </c>
      <c r="U117" s="29">
        <f t="shared" si="19"/>
        <v>0.5</v>
      </c>
      <c r="V117" s="39">
        <f t="shared" si="20"/>
        <v>0</v>
      </c>
    </row>
    <row r="118" spans="1:22" x14ac:dyDescent="0.25">
      <c r="A118" s="4" t="s">
        <v>108</v>
      </c>
      <c r="B118" s="5" t="s">
        <v>83</v>
      </c>
      <c r="C118" s="4" t="s">
        <v>84</v>
      </c>
      <c r="D118" s="5" t="s">
        <v>136</v>
      </c>
      <c r="E118" s="4" t="s">
        <v>76</v>
      </c>
      <c r="F118" s="4" t="s">
        <v>77</v>
      </c>
      <c r="G118" s="4" t="s">
        <v>13</v>
      </c>
      <c r="H118" s="6">
        <v>2.4</v>
      </c>
      <c r="I118" s="7">
        <v>38000</v>
      </c>
      <c r="J118" s="7">
        <f t="shared" si="13"/>
        <v>91200</v>
      </c>
      <c r="K118" s="8" t="s">
        <v>12</v>
      </c>
      <c r="L118" s="35" t="str">
        <f>+VLOOKUP(E118,MÃ!$B$2:$F$229,2,0)</f>
        <v>NL300018</v>
      </c>
      <c r="M118" s="36">
        <f>+VLOOKUP(T118,Sheet2!$B$2:$N$305,10,0)</f>
        <v>2</v>
      </c>
      <c r="N118" s="37">
        <f>+VLOOKUP(L118,MÃ!$C$2:$F$226,4,0)</f>
        <v>38000</v>
      </c>
      <c r="O118" s="37">
        <f t="shared" si="14"/>
        <v>76000</v>
      </c>
      <c r="P118" s="37">
        <f t="shared" si="15"/>
        <v>15200</v>
      </c>
      <c r="Q118" s="35" t="str">
        <f t="shared" si="16"/>
        <v>SAI SL NHẬN</v>
      </c>
      <c r="R118" s="27">
        <f>+VLOOKUP(T118,Sheet2!$B$2:$N$305,13,0)</f>
        <v>76000</v>
      </c>
      <c r="S118" s="38">
        <f t="shared" si="17"/>
        <v>0</v>
      </c>
      <c r="T118" t="str">
        <f t="shared" si="18"/>
        <v>05/01/2026NL300018</v>
      </c>
      <c r="U118" s="29">
        <f t="shared" si="19"/>
        <v>0.39999999999999991</v>
      </c>
      <c r="V118" s="39">
        <f t="shared" si="20"/>
        <v>0</v>
      </c>
    </row>
    <row r="119" spans="1:22" x14ac:dyDescent="0.25">
      <c r="A119" s="4" t="s">
        <v>108</v>
      </c>
      <c r="B119" s="5" t="s">
        <v>83</v>
      </c>
      <c r="C119" s="4" t="s">
        <v>84</v>
      </c>
      <c r="D119" s="5" t="s">
        <v>136</v>
      </c>
      <c r="E119" s="4" t="s">
        <v>14</v>
      </c>
      <c r="F119" s="4" t="s">
        <v>15</v>
      </c>
      <c r="G119" s="4" t="s">
        <v>13</v>
      </c>
      <c r="H119" s="6">
        <v>1</v>
      </c>
      <c r="I119" s="7">
        <v>50000</v>
      </c>
      <c r="J119" s="7">
        <f t="shared" si="13"/>
        <v>50000</v>
      </c>
      <c r="K119" s="8" t="s">
        <v>12</v>
      </c>
      <c r="L119" s="35" t="str">
        <f>+VLOOKUP(E119,MÃ!$B$2:$F$229,2,0)</f>
        <v>NL300142</v>
      </c>
      <c r="M119" s="36">
        <f>+VLOOKUP(T119,Sheet2!$B$2:$N$305,10,0)</f>
        <v>1</v>
      </c>
      <c r="N119" s="37">
        <f>+VLOOKUP(L119,MÃ!$C$2:$F$226,4,0)</f>
        <v>50000</v>
      </c>
      <c r="O119" s="37">
        <f t="shared" si="14"/>
        <v>50000</v>
      </c>
      <c r="P119" s="37">
        <f t="shared" si="15"/>
        <v>0</v>
      </c>
      <c r="Q119" s="35" t="str">
        <f t="shared" si="16"/>
        <v xml:space="preserve"> </v>
      </c>
      <c r="R119" s="27">
        <f>+VLOOKUP(T119,Sheet2!$B$2:$N$305,13,0)</f>
        <v>50000</v>
      </c>
      <c r="S119" s="38">
        <f t="shared" si="17"/>
        <v>0</v>
      </c>
      <c r="T119" t="str">
        <f t="shared" si="18"/>
        <v>05/01/2026NL300142</v>
      </c>
      <c r="U119" s="29">
        <f t="shared" si="19"/>
        <v>0</v>
      </c>
      <c r="V119" s="39">
        <f t="shared" si="20"/>
        <v>0</v>
      </c>
    </row>
    <row r="120" spans="1:22" x14ac:dyDescent="0.25">
      <c r="A120" s="4" t="s">
        <v>108</v>
      </c>
      <c r="B120" s="5" t="s">
        <v>83</v>
      </c>
      <c r="C120" s="4" t="s">
        <v>84</v>
      </c>
      <c r="D120" s="5" t="s">
        <v>136</v>
      </c>
      <c r="E120" s="4" t="s">
        <v>48</v>
      </c>
      <c r="F120" s="4" t="s">
        <v>49</v>
      </c>
      <c r="G120" s="4" t="s">
        <v>13</v>
      </c>
      <c r="H120" s="6">
        <v>5.5</v>
      </c>
      <c r="I120" s="7">
        <v>62000</v>
      </c>
      <c r="J120" s="7">
        <f t="shared" si="13"/>
        <v>341000</v>
      </c>
      <c r="K120" s="8" t="s">
        <v>12</v>
      </c>
      <c r="L120" s="35" t="str">
        <f>+VLOOKUP(E120,MÃ!$B$2:$F$229,2,0)</f>
        <v>NL300147</v>
      </c>
      <c r="M120" s="36">
        <f>+VLOOKUP(T120,Sheet2!$B$2:$N$305,10,0)</f>
        <v>5.5</v>
      </c>
      <c r="N120" s="37">
        <f>+VLOOKUP(L120,MÃ!$C$2:$F$226,4,0)</f>
        <v>62000</v>
      </c>
      <c r="O120" s="37">
        <f t="shared" si="14"/>
        <v>341000</v>
      </c>
      <c r="P120" s="37">
        <f t="shared" si="15"/>
        <v>0</v>
      </c>
      <c r="Q120" s="35" t="str">
        <f t="shared" si="16"/>
        <v xml:space="preserve"> </v>
      </c>
      <c r="R120" s="27">
        <f>+VLOOKUP(T120,Sheet2!$B$2:$N$305,13,0)</f>
        <v>341000</v>
      </c>
      <c r="S120" s="38">
        <f t="shared" si="17"/>
        <v>0</v>
      </c>
      <c r="T120" t="str">
        <f t="shared" si="18"/>
        <v>05/01/2026NL300147</v>
      </c>
      <c r="U120" s="29">
        <f t="shared" si="19"/>
        <v>0</v>
      </c>
      <c r="V120" s="39">
        <f t="shared" si="20"/>
        <v>0</v>
      </c>
    </row>
    <row r="121" spans="1:22" x14ac:dyDescent="0.25">
      <c r="A121" s="4" t="s">
        <v>110</v>
      </c>
      <c r="B121" s="5" t="s">
        <v>83</v>
      </c>
      <c r="C121" s="4" t="s">
        <v>84</v>
      </c>
      <c r="D121" s="5" t="s">
        <v>137</v>
      </c>
      <c r="E121" s="4" t="s">
        <v>31</v>
      </c>
      <c r="F121" s="4" t="s">
        <v>32</v>
      </c>
      <c r="G121" s="4" t="s">
        <v>33</v>
      </c>
      <c r="H121" s="6">
        <v>3</v>
      </c>
      <c r="I121" s="7">
        <v>8500</v>
      </c>
      <c r="J121" s="7">
        <f t="shared" si="13"/>
        <v>25500</v>
      </c>
      <c r="K121" s="8" t="s">
        <v>12</v>
      </c>
      <c r="L121" s="35" t="str">
        <f>+VLOOKUP(E121,MÃ!$B$2:$F$229,2,0)</f>
        <v>NL300107</v>
      </c>
      <c r="M121" s="36">
        <f>+VLOOKUP(T121,Sheet2!$B$2:$N$305,10,0)</f>
        <v>3</v>
      </c>
      <c r="N121" s="37">
        <f>+VLOOKUP(L121,MÃ!$C$2:$F$226,4,0)</f>
        <v>8500</v>
      </c>
      <c r="O121" s="37">
        <f t="shared" si="14"/>
        <v>25500</v>
      </c>
      <c r="P121" s="37">
        <f t="shared" si="15"/>
        <v>0</v>
      </c>
      <c r="Q121" s="35" t="str">
        <f t="shared" si="16"/>
        <v xml:space="preserve"> </v>
      </c>
      <c r="R121" s="27">
        <f>+VLOOKUP(T121,Sheet2!$B$2:$N$305,13,0)</f>
        <v>25500</v>
      </c>
      <c r="S121" s="38">
        <f t="shared" si="17"/>
        <v>0</v>
      </c>
      <c r="T121" t="str">
        <f t="shared" si="18"/>
        <v>06/01/2026NL300107</v>
      </c>
      <c r="U121" s="29">
        <f t="shared" si="19"/>
        <v>0</v>
      </c>
      <c r="V121" s="39">
        <f t="shared" si="20"/>
        <v>0</v>
      </c>
    </row>
    <row r="122" spans="1:22" x14ac:dyDescent="0.25">
      <c r="A122" s="4" t="s">
        <v>110</v>
      </c>
      <c r="B122" s="5" t="s">
        <v>83</v>
      </c>
      <c r="C122" s="4" t="s">
        <v>84</v>
      </c>
      <c r="D122" s="5" t="s">
        <v>137</v>
      </c>
      <c r="E122" s="4" t="s">
        <v>66</v>
      </c>
      <c r="F122" s="4" t="s">
        <v>67</v>
      </c>
      <c r="G122" s="4" t="s">
        <v>13</v>
      </c>
      <c r="H122" s="6">
        <v>9</v>
      </c>
      <c r="I122" s="7">
        <v>18000</v>
      </c>
      <c r="J122" s="7">
        <f t="shared" si="13"/>
        <v>162000</v>
      </c>
      <c r="K122" s="8" t="s">
        <v>12</v>
      </c>
      <c r="L122" s="35" t="str">
        <f>+VLOOKUP(E122,MÃ!$B$2:$F$229,2,0)</f>
        <v>NL300022</v>
      </c>
      <c r="M122" s="36">
        <f>+VLOOKUP(T122,Sheet2!$B$2:$N$305,10,0)</f>
        <v>6</v>
      </c>
      <c r="N122" s="37">
        <f>+VLOOKUP(L122,MÃ!$C$2:$F$226,4,0)</f>
        <v>18000</v>
      </c>
      <c r="O122" s="37">
        <f t="shared" si="14"/>
        <v>108000</v>
      </c>
      <c r="P122" s="37">
        <f t="shared" si="15"/>
        <v>54000</v>
      </c>
      <c r="Q122" s="35" t="str">
        <f t="shared" si="16"/>
        <v>SAI SL NHẬN</v>
      </c>
      <c r="R122" s="27">
        <f>+VLOOKUP(T122,Sheet2!$B$2:$N$305,13,0)</f>
        <v>108000</v>
      </c>
      <c r="S122" s="38">
        <f t="shared" si="17"/>
        <v>0</v>
      </c>
      <c r="T122" t="str">
        <f t="shared" si="18"/>
        <v>06/01/2026NL300022</v>
      </c>
      <c r="U122" s="29">
        <f t="shared" si="19"/>
        <v>3</v>
      </c>
      <c r="V122" s="39">
        <f t="shared" si="20"/>
        <v>0</v>
      </c>
    </row>
    <row r="123" spans="1:22" x14ac:dyDescent="0.25">
      <c r="A123" s="4" t="s">
        <v>110</v>
      </c>
      <c r="B123" s="5" t="s">
        <v>83</v>
      </c>
      <c r="C123" s="4" t="s">
        <v>84</v>
      </c>
      <c r="D123" s="5" t="s">
        <v>137</v>
      </c>
      <c r="E123" s="4" t="s">
        <v>50</v>
      </c>
      <c r="F123" s="4" t="s">
        <v>51</v>
      </c>
      <c r="G123" s="4" t="s">
        <v>13</v>
      </c>
      <c r="H123" s="6">
        <v>13</v>
      </c>
      <c r="I123" s="7">
        <v>18000</v>
      </c>
      <c r="J123" s="7">
        <f t="shared" si="13"/>
        <v>234000</v>
      </c>
      <c r="K123" s="8" t="s">
        <v>12</v>
      </c>
      <c r="L123" s="35" t="str">
        <f>+VLOOKUP(E123,MÃ!$B$2:$F$229,2,0)</f>
        <v>NL600004</v>
      </c>
      <c r="M123" s="36">
        <f>+VLOOKUP(T123,Sheet2!$B$2:$N$305,10,0)</f>
        <v>13</v>
      </c>
      <c r="N123" s="37">
        <f>+VLOOKUP(L123,MÃ!$C$2:$F$226,4,0)</f>
        <v>18000</v>
      </c>
      <c r="O123" s="37">
        <f t="shared" si="14"/>
        <v>234000</v>
      </c>
      <c r="P123" s="37">
        <f t="shared" si="15"/>
        <v>0</v>
      </c>
      <c r="Q123" s="35" t="str">
        <f t="shared" si="16"/>
        <v xml:space="preserve"> </v>
      </c>
      <c r="R123" s="27">
        <f>+VLOOKUP(T123,Sheet2!$B$2:$N$305,13,0)</f>
        <v>234000</v>
      </c>
      <c r="S123" s="38">
        <f t="shared" si="17"/>
        <v>0</v>
      </c>
      <c r="T123" t="str">
        <f t="shared" si="18"/>
        <v>06/01/2026NL600004</v>
      </c>
      <c r="U123" s="29">
        <f t="shared" si="19"/>
        <v>0</v>
      </c>
      <c r="V123" s="39">
        <f t="shared" si="20"/>
        <v>0</v>
      </c>
    </row>
    <row r="124" spans="1:22" x14ac:dyDescent="0.25">
      <c r="A124" s="4" t="s">
        <v>110</v>
      </c>
      <c r="B124" s="5" t="s">
        <v>83</v>
      </c>
      <c r="C124" s="4" t="s">
        <v>84</v>
      </c>
      <c r="D124" s="5" t="s">
        <v>137</v>
      </c>
      <c r="E124" s="4" t="s">
        <v>52</v>
      </c>
      <c r="F124" s="4" t="s">
        <v>53</v>
      </c>
      <c r="G124" s="4" t="s">
        <v>13</v>
      </c>
      <c r="H124" s="6">
        <v>0.1</v>
      </c>
      <c r="I124" s="7">
        <v>65000</v>
      </c>
      <c r="J124" s="7">
        <f t="shared" si="13"/>
        <v>6500</v>
      </c>
      <c r="K124" s="8" t="s">
        <v>12</v>
      </c>
      <c r="L124" s="35" t="str">
        <f>+VLOOKUP(E124,MÃ!$B$2:$F$229,2,0)</f>
        <v>NL300062</v>
      </c>
      <c r="M124" s="36">
        <f>+VLOOKUP(T124,Sheet2!$B$2:$N$305,10,0)</f>
        <v>0.1</v>
      </c>
      <c r="N124" s="37">
        <f>+VLOOKUP(L124,MÃ!$C$2:$F$226,4,0)</f>
        <v>65000</v>
      </c>
      <c r="O124" s="37">
        <f t="shared" si="14"/>
        <v>6500</v>
      </c>
      <c r="P124" s="37">
        <f t="shared" si="15"/>
        <v>0</v>
      </c>
      <c r="Q124" s="35" t="str">
        <f t="shared" si="16"/>
        <v xml:space="preserve"> </v>
      </c>
      <c r="R124" s="27">
        <f>+VLOOKUP(T124,Sheet2!$B$2:$N$305,13,0)</f>
        <v>6500</v>
      </c>
      <c r="S124" s="38">
        <f t="shared" si="17"/>
        <v>0</v>
      </c>
      <c r="T124" t="str">
        <f t="shared" si="18"/>
        <v>06/01/2026NL300062</v>
      </c>
      <c r="U124" s="29">
        <f t="shared" si="19"/>
        <v>0</v>
      </c>
      <c r="V124" s="39">
        <f t="shared" si="20"/>
        <v>0</v>
      </c>
    </row>
    <row r="125" spans="1:22" x14ac:dyDescent="0.25">
      <c r="A125" s="4" t="s">
        <v>110</v>
      </c>
      <c r="B125" s="5" t="s">
        <v>83</v>
      </c>
      <c r="C125" s="4" t="s">
        <v>84</v>
      </c>
      <c r="D125" s="5" t="s">
        <v>137</v>
      </c>
      <c r="E125" s="4" t="s">
        <v>74</v>
      </c>
      <c r="F125" s="4" t="s">
        <v>75</v>
      </c>
      <c r="G125" s="4" t="s">
        <v>13</v>
      </c>
      <c r="H125" s="6">
        <v>1</v>
      </c>
      <c r="I125" s="7">
        <v>22000</v>
      </c>
      <c r="J125" s="7">
        <f t="shared" si="13"/>
        <v>22000</v>
      </c>
      <c r="K125" s="8" t="s">
        <v>12</v>
      </c>
      <c r="L125" s="35" t="str">
        <f>+VLOOKUP(E125,MÃ!$B$2:$F$229,2,0)</f>
        <v>NL300084</v>
      </c>
      <c r="M125" s="36">
        <f>+VLOOKUP(T125,Sheet2!$B$2:$N$305,10,0)</f>
        <v>1</v>
      </c>
      <c r="N125" s="37">
        <f>+VLOOKUP(L125,MÃ!$C$2:$F$226,4,0)</f>
        <v>22000</v>
      </c>
      <c r="O125" s="37">
        <f t="shared" si="14"/>
        <v>22000</v>
      </c>
      <c r="P125" s="37">
        <f t="shared" si="15"/>
        <v>0</v>
      </c>
      <c r="Q125" s="35" t="str">
        <f t="shared" si="16"/>
        <v xml:space="preserve"> </v>
      </c>
      <c r="R125" s="27">
        <f>+VLOOKUP(T125,Sheet2!$B$2:$N$305,13,0)</f>
        <v>22000</v>
      </c>
      <c r="S125" s="38">
        <f t="shared" si="17"/>
        <v>0</v>
      </c>
      <c r="T125" t="str">
        <f t="shared" si="18"/>
        <v>06/01/2026NL300084</v>
      </c>
      <c r="U125" s="29">
        <f t="shared" si="19"/>
        <v>0</v>
      </c>
      <c r="V125" s="39">
        <f t="shared" si="20"/>
        <v>0</v>
      </c>
    </row>
    <row r="126" spans="1:22" x14ac:dyDescent="0.25">
      <c r="A126" s="4" t="s">
        <v>110</v>
      </c>
      <c r="B126" s="5" t="s">
        <v>83</v>
      </c>
      <c r="C126" s="4" t="s">
        <v>84</v>
      </c>
      <c r="D126" s="5" t="s">
        <v>137</v>
      </c>
      <c r="E126" s="4" t="s">
        <v>36</v>
      </c>
      <c r="F126" s="4" t="s">
        <v>37</v>
      </c>
      <c r="G126" s="4" t="s">
        <v>13</v>
      </c>
      <c r="H126" s="6">
        <v>2</v>
      </c>
      <c r="I126" s="7">
        <v>145000</v>
      </c>
      <c r="J126" s="7">
        <f t="shared" si="13"/>
        <v>290000</v>
      </c>
      <c r="K126" s="8" t="s">
        <v>12</v>
      </c>
      <c r="L126" s="35" t="str">
        <f>+VLOOKUP(E126,MÃ!$B$2:$F$229,2,0)</f>
        <v>NL300090</v>
      </c>
      <c r="M126" s="36">
        <f>+VLOOKUP(T126,Sheet2!$B$2:$N$305,10,0)</f>
        <v>2</v>
      </c>
      <c r="N126" s="37">
        <f>+VLOOKUP(L126,MÃ!$C$2:$F$226,4,0)</f>
        <v>145000</v>
      </c>
      <c r="O126" s="37">
        <f t="shared" si="14"/>
        <v>290000</v>
      </c>
      <c r="P126" s="37">
        <f t="shared" si="15"/>
        <v>0</v>
      </c>
      <c r="Q126" s="35" t="str">
        <f t="shared" si="16"/>
        <v xml:space="preserve"> </v>
      </c>
      <c r="R126" s="27">
        <f>+VLOOKUP(T126,Sheet2!$B$2:$N$305,13,0)</f>
        <v>290000</v>
      </c>
      <c r="S126" s="38">
        <f t="shared" si="17"/>
        <v>0</v>
      </c>
      <c r="T126" t="str">
        <f t="shared" si="18"/>
        <v>06/01/2026NL300090</v>
      </c>
      <c r="U126" s="29">
        <f t="shared" si="19"/>
        <v>0</v>
      </c>
      <c r="V126" s="39">
        <f t="shared" si="20"/>
        <v>0</v>
      </c>
    </row>
    <row r="127" spans="1:22" x14ac:dyDescent="0.25">
      <c r="A127" s="4" t="s">
        <v>110</v>
      </c>
      <c r="B127" s="5" t="s">
        <v>83</v>
      </c>
      <c r="C127" s="4" t="s">
        <v>84</v>
      </c>
      <c r="D127" s="5" t="s">
        <v>137</v>
      </c>
      <c r="E127" s="4" t="s">
        <v>42</v>
      </c>
      <c r="F127" s="4" t="s">
        <v>43</v>
      </c>
      <c r="G127" s="4" t="s">
        <v>13</v>
      </c>
      <c r="H127" s="6">
        <v>2</v>
      </c>
      <c r="I127" s="7">
        <v>45000</v>
      </c>
      <c r="J127" s="7">
        <f t="shared" si="13"/>
        <v>90000</v>
      </c>
      <c r="K127" s="8" t="s">
        <v>12</v>
      </c>
      <c r="L127" s="35" t="str">
        <f>+VLOOKUP(E127,MÃ!$B$2:$F$229,2,0)</f>
        <v>NL300096</v>
      </c>
      <c r="M127" s="36">
        <f>+VLOOKUP(T127,Sheet2!$B$2:$N$305,10,0)</f>
        <v>2</v>
      </c>
      <c r="N127" s="37">
        <f>+VLOOKUP(L127,MÃ!$C$2:$F$226,4,0)</f>
        <v>45000</v>
      </c>
      <c r="O127" s="37">
        <f t="shared" si="14"/>
        <v>90000</v>
      </c>
      <c r="P127" s="37">
        <f t="shared" si="15"/>
        <v>0</v>
      </c>
      <c r="Q127" s="35" t="str">
        <f t="shared" si="16"/>
        <v xml:space="preserve"> </v>
      </c>
      <c r="R127" s="27">
        <f>+VLOOKUP(T127,Sheet2!$B$2:$N$305,13,0)</f>
        <v>90000</v>
      </c>
      <c r="S127" s="38">
        <f t="shared" si="17"/>
        <v>0</v>
      </c>
      <c r="T127" t="str">
        <f t="shared" si="18"/>
        <v>06/01/2026NL300096</v>
      </c>
      <c r="U127" s="29">
        <f t="shared" si="19"/>
        <v>0</v>
      </c>
      <c r="V127" s="39">
        <f t="shared" si="20"/>
        <v>0</v>
      </c>
    </row>
    <row r="128" spans="1:22" ht="28.5" x14ac:dyDescent="0.25">
      <c r="A128" s="4" t="s">
        <v>110</v>
      </c>
      <c r="B128" s="5" t="s">
        <v>83</v>
      </c>
      <c r="C128" s="4" t="s">
        <v>84</v>
      </c>
      <c r="D128" s="5" t="s">
        <v>137</v>
      </c>
      <c r="E128" s="4" t="s">
        <v>44</v>
      </c>
      <c r="F128" s="4" t="s">
        <v>45</v>
      </c>
      <c r="G128" s="4" t="s">
        <v>13</v>
      </c>
      <c r="H128" s="6">
        <v>2</v>
      </c>
      <c r="I128" s="7">
        <v>95000</v>
      </c>
      <c r="J128" s="7">
        <f t="shared" si="13"/>
        <v>190000</v>
      </c>
      <c r="K128" s="8" t="s">
        <v>12</v>
      </c>
      <c r="L128" s="35" t="str">
        <f>+VLOOKUP(E128,MÃ!$B$2:$F$229,2,0)</f>
        <v>NL300098</v>
      </c>
      <c r="M128" s="36">
        <f>+VLOOKUP(T128,Sheet2!$B$2:$N$305,10,0)</f>
        <v>2</v>
      </c>
      <c r="N128" s="37">
        <f>+VLOOKUP(L128,MÃ!$C$2:$F$226,4,0)</f>
        <v>95000</v>
      </c>
      <c r="O128" s="37">
        <f t="shared" si="14"/>
        <v>190000</v>
      </c>
      <c r="P128" s="37">
        <f t="shared" si="15"/>
        <v>0</v>
      </c>
      <c r="Q128" s="35" t="str">
        <f t="shared" si="16"/>
        <v xml:space="preserve"> </v>
      </c>
      <c r="R128" s="27">
        <f>+VLOOKUP(T128,Sheet2!$B$2:$N$305,13,0)</f>
        <v>190000</v>
      </c>
      <c r="S128" s="38">
        <f t="shared" si="17"/>
        <v>0</v>
      </c>
      <c r="T128" t="str">
        <f t="shared" si="18"/>
        <v>06/01/2026NL300098</v>
      </c>
      <c r="U128" s="29">
        <f t="shared" si="19"/>
        <v>0</v>
      </c>
      <c r="V128" s="39">
        <f t="shared" si="20"/>
        <v>0</v>
      </c>
    </row>
    <row r="129" spans="1:22" x14ac:dyDescent="0.25">
      <c r="A129" s="4" t="s">
        <v>110</v>
      </c>
      <c r="B129" s="5" t="s">
        <v>83</v>
      </c>
      <c r="C129" s="4" t="s">
        <v>84</v>
      </c>
      <c r="D129" s="5" t="s">
        <v>137</v>
      </c>
      <c r="E129" s="4" t="s">
        <v>27</v>
      </c>
      <c r="F129" s="4" t="s">
        <v>28</v>
      </c>
      <c r="G129" s="4" t="s">
        <v>13</v>
      </c>
      <c r="H129" s="6">
        <v>2.4</v>
      </c>
      <c r="I129" s="7">
        <v>21000</v>
      </c>
      <c r="J129" s="7">
        <f t="shared" si="13"/>
        <v>50400</v>
      </c>
      <c r="K129" s="8" t="s">
        <v>12</v>
      </c>
      <c r="L129" s="35" t="str">
        <f>+VLOOKUP(E129,MÃ!$B$2:$F$229,2,0)</f>
        <v>NL300119</v>
      </c>
      <c r="M129" s="36">
        <f>+VLOOKUP(T129,Sheet2!$B$2:$N$305,10,0)</f>
        <v>1.4</v>
      </c>
      <c r="N129" s="37">
        <f>+VLOOKUP(L129,MÃ!$C$2:$F$226,4,0)</f>
        <v>21000</v>
      </c>
      <c r="O129" s="37">
        <f t="shared" si="14"/>
        <v>29399.999999999996</v>
      </c>
      <c r="P129" s="37">
        <f t="shared" si="15"/>
        <v>21000.000000000004</v>
      </c>
      <c r="Q129" s="35" t="str">
        <f t="shared" si="16"/>
        <v>SAI SL NHẬN</v>
      </c>
      <c r="R129" s="27">
        <f>+VLOOKUP(T129,Sheet2!$B$2:$N$305,13,0)</f>
        <v>29399.999999999996</v>
      </c>
      <c r="S129" s="38">
        <f t="shared" si="17"/>
        <v>0</v>
      </c>
      <c r="T129" t="str">
        <f t="shared" si="18"/>
        <v>06/01/2026NL300119</v>
      </c>
      <c r="U129" s="29">
        <f t="shared" si="19"/>
        <v>1</v>
      </c>
      <c r="V129" s="39">
        <f t="shared" si="20"/>
        <v>0</v>
      </c>
    </row>
    <row r="130" spans="1:22" x14ac:dyDescent="0.25">
      <c r="A130" s="4" t="s">
        <v>110</v>
      </c>
      <c r="B130" s="5" t="s">
        <v>83</v>
      </c>
      <c r="C130" s="4" t="s">
        <v>84</v>
      </c>
      <c r="D130" s="5" t="s">
        <v>137</v>
      </c>
      <c r="E130" s="4" t="s">
        <v>76</v>
      </c>
      <c r="F130" s="4" t="s">
        <v>77</v>
      </c>
      <c r="G130" s="4" t="s">
        <v>13</v>
      </c>
      <c r="H130" s="6">
        <v>1</v>
      </c>
      <c r="I130" s="7">
        <v>38000</v>
      </c>
      <c r="J130" s="7">
        <f t="shared" si="13"/>
        <v>38000</v>
      </c>
      <c r="K130" s="8" t="s">
        <v>12</v>
      </c>
      <c r="L130" s="35" t="str">
        <f>+VLOOKUP(E130,MÃ!$B$2:$F$229,2,0)</f>
        <v>NL300018</v>
      </c>
      <c r="M130" s="36">
        <v>0</v>
      </c>
      <c r="N130" s="37">
        <f>+VLOOKUP(L130,MÃ!$C$2:$F$226,4,0)</f>
        <v>38000</v>
      </c>
      <c r="O130" s="37">
        <f t="shared" si="14"/>
        <v>0</v>
      </c>
      <c r="P130" s="37">
        <f t="shared" si="15"/>
        <v>38000</v>
      </c>
      <c r="Q130" s="35" t="str">
        <f t="shared" si="16"/>
        <v>SAI SL NHẬN</v>
      </c>
      <c r="R130" s="27">
        <v>0</v>
      </c>
      <c r="S130" s="38">
        <f t="shared" si="17"/>
        <v>0</v>
      </c>
      <c r="T130" t="str">
        <f t="shared" si="18"/>
        <v>06/01/2026NL300018</v>
      </c>
      <c r="U130" s="29">
        <f t="shared" si="19"/>
        <v>1</v>
      </c>
      <c r="V130" s="39">
        <f t="shared" si="20"/>
        <v>0</v>
      </c>
    </row>
    <row r="131" spans="1:22" x14ac:dyDescent="0.25">
      <c r="A131" s="4" t="s">
        <v>112</v>
      </c>
      <c r="B131" s="5" t="s">
        <v>83</v>
      </c>
      <c r="C131" s="4" t="s">
        <v>84</v>
      </c>
      <c r="D131" s="5" t="s">
        <v>138</v>
      </c>
      <c r="E131" s="4" t="s">
        <v>62</v>
      </c>
      <c r="F131" s="4" t="s">
        <v>63</v>
      </c>
      <c r="G131" s="4" t="s">
        <v>13</v>
      </c>
      <c r="H131" s="6">
        <v>1</v>
      </c>
      <c r="I131" s="7">
        <v>45000</v>
      </c>
      <c r="J131" s="7">
        <f t="shared" si="13"/>
        <v>45000</v>
      </c>
      <c r="K131" s="8" t="s">
        <v>12</v>
      </c>
      <c r="L131" s="35" t="str">
        <f>+VLOOKUP(E131,MÃ!$B$2:$F$229,2,0)</f>
        <v>NL300203</v>
      </c>
      <c r="M131" s="36">
        <f>+VLOOKUP(T131,Sheet2!$B$2:$N$305,10,0)</f>
        <v>1</v>
      </c>
      <c r="N131" s="37">
        <f>+VLOOKUP(L131,MÃ!$C$2:$F$226,4,0)</f>
        <v>45000</v>
      </c>
      <c r="O131" s="37">
        <f t="shared" si="14"/>
        <v>45000</v>
      </c>
      <c r="P131" s="37">
        <f t="shared" si="15"/>
        <v>0</v>
      </c>
      <c r="Q131" s="35" t="str">
        <f t="shared" si="16"/>
        <v xml:space="preserve"> </v>
      </c>
      <c r="R131" s="27">
        <f>+VLOOKUP(T131,Sheet2!$B$2:$N$305,13,0)</f>
        <v>45000</v>
      </c>
      <c r="S131" s="38">
        <f t="shared" si="17"/>
        <v>0</v>
      </c>
      <c r="T131" t="str">
        <f t="shared" si="18"/>
        <v>07/01/2026NL300203</v>
      </c>
      <c r="U131" s="29">
        <f t="shared" si="19"/>
        <v>0</v>
      </c>
      <c r="V131" s="39">
        <f t="shared" si="20"/>
        <v>0</v>
      </c>
    </row>
    <row r="132" spans="1:22" x14ac:dyDescent="0.25">
      <c r="A132" s="4" t="s">
        <v>112</v>
      </c>
      <c r="B132" s="5" t="s">
        <v>83</v>
      </c>
      <c r="C132" s="4" t="s">
        <v>84</v>
      </c>
      <c r="D132" s="5" t="s">
        <v>138</v>
      </c>
      <c r="E132" s="4" t="s">
        <v>66</v>
      </c>
      <c r="F132" s="4" t="s">
        <v>67</v>
      </c>
      <c r="G132" s="4" t="s">
        <v>13</v>
      </c>
      <c r="H132" s="6">
        <v>10</v>
      </c>
      <c r="I132" s="7">
        <v>18000</v>
      </c>
      <c r="J132" s="7">
        <f t="shared" si="13"/>
        <v>180000</v>
      </c>
      <c r="K132" s="8" t="s">
        <v>12</v>
      </c>
      <c r="L132" s="35" t="str">
        <f>+VLOOKUP(E132,MÃ!$B$2:$F$229,2,0)</f>
        <v>NL300022</v>
      </c>
      <c r="M132" s="36">
        <f>+VLOOKUP(T132,Sheet2!$B$2:$N$305,10,0)</f>
        <v>6.8</v>
      </c>
      <c r="N132" s="37">
        <f>+VLOOKUP(L132,MÃ!$C$2:$F$226,4,0)</f>
        <v>18000</v>
      </c>
      <c r="O132" s="37">
        <f t="shared" si="14"/>
        <v>122400</v>
      </c>
      <c r="P132" s="37">
        <f t="shared" si="15"/>
        <v>57600</v>
      </c>
      <c r="Q132" s="35" t="str">
        <f t="shared" si="16"/>
        <v>SAI SL NHẬN</v>
      </c>
      <c r="R132" s="27">
        <f>+VLOOKUP(T132,Sheet2!$B$2:$N$305,13,0)</f>
        <v>122400</v>
      </c>
      <c r="S132" s="38">
        <f t="shared" si="17"/>
        <v>0</v>
      </c>
      <c r="T132" t="str">
        <f t="shared" si="18"/>
        <v>07/01/2026NL300022</v>
      </c>
      <c r="U132" s="29">
        <f t="shared" si="19"/>
        <v>3.2</v>
      </c>
      <c r="V132" s="39">
        <f t="shared" si="20"/>
        <v>0</v>
      </c>
    </row>
    <row r="133" spans="1:22" x14ac:dyDescent="0.25">
      <c r="A133" s="4" t="s">
        <v>112</v>
      </c>
      <c r="B133" s="5" t="s">
        <v>83</v>
      </c>
      <c r="C133" s="4" t="s">
        <v>84</v>
      </c>
      <c r="D133" s="5" t="s">
        <v>138</v>
      </c>
      <c r="E133" s="4" t="s">
        <v>56</v>
      </c>
      <c r="F133" s="4" t="s">
        <v>57</v>
      </c>
      <c r="G133" s="4" t="s">
        <v>13</v>
      </c>
      <c r="H133" s="6">
        <v>0.55000000000000004</v>
      </c>
      <c r="I133" s="7">
        <v>34000</v>
      </c>
      <c r="J133" s="7">
        <f t="shared" si="13"/>
        <v>18700</v>
      </c>
      <c r="K133" s="8" t="s">
        <v>12</v>
      </c>
      <c r="L133" s="35" t="str">
        <f>+VLOOKUP(E133,MÃ!$B$2:$F$229,2,0)</f>
        <v>NL300030</v>
      </c>
      <c r="M133" s="36">
        <f>+VLOOKUP(T133,Sheet2!$B$2:$N$305,10,0)</f>
        <v>0.55000000000000004</v>
      </c>
      <c r="N133" s="37">
        <f>+VLOOKUP(L133,MÃ!$C$2:$F$226,4,0)</f>
        <v>34000</v>
      </c>
      <c r="O133" s="37">
        <f t="shared" si="14"/>
        <v>18700</v>
      </c>
      <c r="P133" s="37">
        <f t="shared" si="15"/>
        <v>0</v>
      </c>
      <c r="Q133" s="35" t="str">
        <f t="shared" si="16"/>
        <v xml:space="preserve"> </v>
      </c>
      <c r="R133" s="27">
        <f>+VLOOKUP(T133,Sheet2!$B$2:$N$305,13,0)</f>
        <v>18700</v>
      </c>
      <c r="S133" s="38">
        <f t="shared" si="17"/>
        <v>0</v>
      </c>
      <c r="T133" t="str">
        <f t="shared" si="18"/>
        <v>07/01/2026NL300030</v>
      </c>
      <c r="U133" s="29">
        <f t="shared" si="19"/>
        <v>0</v>
      </c>
      <c r="V133" s="39">
        <f t="shared" si="20"/>
        <v>0</v>
      </c>
    </row>
    <row r="134" spans="1:22" x14ac:dyDescent="0.25">
      <c r="A134" s="4" t="s">
        <v>112</v>
      </c>
      <c r="B134" s="5" t="s">
        <v>83</v>
      </c>
      <c r="C134" s="4" t="s">
        <v>84</v>
      </c>
      <c r="D134" s="5" t="s">
        <v>138</v>
      </c>
      <c r="E134" s="4" t="s">
        <v>16</v>
      </c>
      <c r="F134" s="4" t="s">
        <v>17</v>
      </c>
      <c r="G134" s="4" t="s">
        <v>13</v>
      </c>
      <c r="H134" s="6">
        <v>0.25</v>
      </c>
      <c r="I134" s="7">
        <v>47000</v>
      </c>
      <c r="J134" s="7">
        <f t="shared" si="13"/>
        <v>11750</v>
      </c>
      <c r="K134" s="8" t="s">
        <v>12</v>
      </c>
      <c r="L134" s="35" t="str">
        <f>+VLOOKUP(E134,MÃ!$B$2:$F$229,2,0)</f>
        <v>NL300036</v>
      </c>
      <c r="M134" s="36">
        <f>+VLOOKUP(T134,Sheet2!$B$2:$N$305,10,0)</f>
        <v>0.25</v>
      </c>
      <c r="N134" s="37">
        <f>+VLOOKUP(L134,MÃ!$C$2:$F$226,4,0)</f>
        <v>47000</v>
      </c>
      <c r="O134" s="37">
        <f t="shared" si="14"/>
        <v>11750</v>
      </c>
      <c r="P134" s="37">
        <f t="shared" si="15"/>
        <v>0</v>
      </c>
      <c r="Q134" s="35" t="str">
        <f t="shared" si="16"/>
        <v xml:space="preserve"> </v>
      </c>
      <c r="R134" s="27">
        <f>+VLOOKUP(T134,Sheet2!$B$2:$N$305,13,0)</f>
        <v>11750</v>
      </c>
      <c r="S134" s="38">
        <f t="shared" si="17"/>
        <v>0</v>
      </c>
      <c r="T134" t="str">
        <f t="shared" si="18"/>
        <v>07/01/2026NL300036</v>
      </c>
      <c r="U134" s="29">
        <f t="shared" si="19"/>
        <v>0</v>
      </c>
      <c r="V134" s="39">
        <f t="shared" si="20"/>
        <v>0</v>
      </c>
    </row>
    <row r="135" spans="1:22" x14ac:dyDescent="0.25">
      <c r="A135" s="4" t="s">
        <v>112</v>
      </c>
      <c r="B135" s="5" t="s">
        <v>83</v>
      </c>
      <c r="C135" s="4" t="s">
        <v>84</v>
      </c>
      <c r="D135" s="5" t="s">
        <v>138</v>
      </c>
      <c r="E135" s="4" t="s">
        <v>70</v>
      </c>
      <c r="F135" s="4" t="s">
        <v>71</v>
      </c>
      <c r="G135" s="4" t="s">
        <v>13</v>
      </c>
      <c r="H135" s="6">
        <v>1.26</v>
      </c>
      <c r="I135" s="7">
        <v>30000</v>
      </c>
      <c r="J135" s="7">
        <f t="shared" si="13"/>
        <v>37800</v>
      </c>
      <c r="K135" s="8" t="s">
        <v>12</v>
      </c>
      <c r="L135" s="35" t="str">
        <f>+VLOOKUP(E135,MÃ!$B$2:$F$229,2,0)</f>
        <v>NL300209</v>
      </c>
      <c r="M135" s="36">
        <f>+VLOOKUP(T135,Sheet2!$B$2:$N$305,10,0)</f>
        <v>1.26</v>
      </c>
      <c r="N135" s="37">
        <f>+VLOOKUP(L135,MÃ!$C$2:$F$226,4,0)</f>
        <v>30000</v>
      </c>
      <c r="O135" s="37">
        <f t="shared" si="14"/>
        <v>37800</v>
      </c>
      <c r="P135" s="37">
        <f t="shared" si="15"/>
        <v>0</v>
      </c>
      <c r="Q135" s="35" t="str">
        <f t="shared" si="16"/>
        <v xml:space="preserve"> </v>
      </c>
      <c r="R135" s="27">
        <f>+VLOOKUP(T135,Sheet2!$B$2:$N$305,13,0)</f>
        <v>37800</v>
      </c>
      <c r="S135" s="38">
        <f t="shared" si="17"/>
        <v>0</v>
      </c>
      <c r="T135" t="str">
        <f t="shared" si="18"/>
        <v>07/01/2026NL300209</v>
      </c>
      <c r="U135" s="29">
        <f t="shared" si="19"/>
        <v>0</v>
      </c>
      <c r="V135" s="39">
        <f t="shared" si="20"/>
        <v>0</v>
      </c>
    </row>
    <row r="136" spans="1:22" x14ac:dyDescent="0.25">
      <c r="A136" s="4" t="s">
        <v>112</v>
      </c>
      <c r="B136" s="5" t="s">
        <v>83</v>
      </c>
      <c r="C136" s="4" t="s">
        <v>84</v>
      </c>
      <c r="D136" s="5" t="s">
        <v>138</v>
      </c>
      <c r="E136" s="4" t="s">
        <v>74</v>
      </c>
      <c r="F136" s="4" t="s">
        <v>75</v>
      </c>
      <c r="G136" s="4" t="s">
        <v>13</v>
      </c>
      <c r="H136" s="6">
        <v>1</v>
      </c>
      <c r="I136" s="7">
        <v>22000</v>
      </c>
      <c r="J136" s="7">
        <f t="shared" si="13"/>
        <v>22000</v>
      </c>
      <c r="K136" s="8" t="s">
        <v>12</v>
      </c>
      <c r="L136" s="35" t="str">
        <f>+VLOOKUP(E136,MÃ!$B$2:$F$229,2,0)</f>
        <v>NL300084</v>
      </c>
      <c r="M136" s="36">
        <f>+VLOOKUP(T136,Sheet2!$B$2:$N$305,10,0)</f>
        <v>0.8</v>
      </c>
      <c r="N136" s="37">
        <f>+VLOOKUP(L136,MÃ!$C$2:$F$226,4,0)</f>
        <v>22000</v>
      </c>
      <c r="O136" s="37">
        <f t="shared" si="14"/>
        <v>17600</v>
      </c>
      <c r="P136" s="37">
        <f t="shared" si="15"/>
        <v>4400</v>
      </c>
      <c r="Q136" s="35" t="str">
        <f t="shared" si="16"/>
        <v>SAI SL NHẬN</v>
      </c>
      <c r="R136" s="27">
        <f>+VLOOKUP(T136,Sheet2!$B$2:$N$305,13,0)</f>
        <v>17600</v>
      </c>
      <c r="S136" s="38">
        <f t="shared" si="17"/>
        <v>0</v>
      </c>
      <c r="T136" t="str">
        <f t="shared" si="18"/>
        <v>07/01/2026NL300084</v>
      </c>
      <c r="U136" s="29">
        <f t="shared" si="19"/>
        <v>0.19999999999999996</v>
      </c>
      <c r="V136" s="39">
        <f t="shared" si="20"/>
        <v>0</v>
      </c>
    </row>
    <row r="137" spans="1:22" x14ac:dyDescent="0.25">
      <c r="A137" s="4" t="s">
        <v>112</v>
      </c>
      <c r="B137" s="5" t="s">
        <v>83</v>
      </c>
      <c r="C137" s="4" t="s">
        <v>84</v>
      </c>
      <c r="D137" s="5" t="s">
        <v>138</v>
      </c>
      <c r="E137" s="4" t="s">
        <v>36</v>
      </c>
      <c r="F137" s="4" t="s">
        <v>37</v>
      </c>
      <c r="G137" s="4" t="s">
        <v>13</v>
      </c>
      <c r="H137" s="6">
        <v>2</v>
      </c>
      <c r="I137" s="7">
        <v>145000</v>
      </c>
      <c r="J137" s="7">
        <f t="shared" si="13"/>
        <v>290000</v>
      </c>
      <c r="K137" s="8" t="s">
        <v>12</v>
      </c>
      <c r="L137" s="35" t="str">
        <f>+VLOOKUP(E137,MÃ!$B$2:$F$229,2,0)</f>
        <v>NL300090</v>
      </c>
      <c r="M137" s="36">
        <f>+VLOOKUP(T137,Sheet2!$B$2:$N$305,10,0)</f>
        <v>2</v>
      </c>
      <c r="N137" s="37">
        <f>+VLOOKUP(L137,MÃ!$C$2:$F$226,4,0)</f>
        <v>145000</v>
      </c>
      <c r="O137" s="37">
        <f t="shared" si="14"/>
        <v>290000</v>
      </c>
      <c r="P137" s="37">
        <f t="shared" si="15"/>
        <v>0</v>
      </c>
      <c r="Q137" s="35" t="str">
        <f t="shared" si="16"/>
        <v xml:space="preserve"> </v>
      </c>
      <c r="R137" s="27">
        <f>+VLOOKUP(T137,Sheet2!$B$2:$N$305,13,0)</f>
        <v>290000</v>
      </c>
      <c r="S137" s="38">
        <f t="shared" si="17"/>
        <v>0</v>
      </c>
      <c r="T137" t="str">
        <f t="shared" si="18"/>
        <v>07/01/2026NL300090</v>
      </c>
      <c r="U137" s="29">
        <f t="shared" si="19"/>
        <v>0</v>
      </c>
      <c r="V137" s="39">
        <f t="shared" si="20"/>
        <v>0</v>
      </c>
    </row>
    <row r="138" spans="1:22" x14ac:dyDescent="0.25">
      <c r="A138" s="4" t="s">
        <v>112</v>
      </c>
      <c r="B138" s="5" t="s">
        <v>83</v>
      </c>
      <c r="C138" s="4" t="s">
        <v>84</v>
      </c>
      <c r="D138" s="5" t="s">
        <v>138</v>
      </c>
      <c r="E138" s="4" t="s">
        <v>38</v>
      </c>
      <c r="F138" s="4" t="s">
        <v>39</v>
      </c>
      <c r="G138" s="4" t="s">
        <v>13</v>
      </c>
      <c r="H138" s="6">
        <v>3</v>
      </c>
      <c r="I138" s="7">
        <v>47000</v>
      </c>
      <c r="J138" s="7">
        <f t="shared" si="13"/>
        <v>141000</v>
      </c>
      <c r="K138" s="8" t="s">
        <v>12</v>
      </c>
      <c r="L138" s="35" t="str">
        <f>+VLOOKUP(E138,MÃ!$B$2:$F$229,2,0)</f>
        <v>NL300091</v>
      </c>
      <c r="M138" s="36">
        <f>+VLOOKUP(T138,Sheet2!$B$2:$N$305,10,0)</f>
        <v>3</v>
      </c>
      <c r="N138" s="37">
        <f>+VLOOKUP(L138,MÃ!$C$2:$F$226,4,0)</f>
        <v>47000</v>
      </c>
      <c r="O138" s="37">
        <f t="shared" si="14"/>
        <v>141000</v>
      </c>
      <c r="P138" s="37">
        <f t="shared" si="15"/>
        <v>0</v>
      </c>
      <c r="Q138" s="35" t="str">
        <f t="shared" si="16"/>
        <v xml:space="preserve"> </v>
      </c>
      <c r="R138" s="27">
        <f>+VLOOKUP(T138,Sheet2!$B$2:$N$305,13,0)</f>
        <v>141000</v>
      </c>
      <c r="S138" s="38">
        <f t="shared" si="17"/>
        <v>0</v>
      </c>
      <c r="T138" t="str">
        <f t="shared" si="18"/>
        <v>07/01/2026NL300091</v>
      </c>
      <c r="U138" s="29">
        <f t="shared" si="19"/>
        <v>0</v>
      </c>
      <c r="V138" s="39">
        <f t="shared" si="20"/>
        <v>0</v>
      </c>
    </row>
    <row r="139" spans="1:22" x14ac:dyDescent="0.25">
      <c r="A139" s="4" t="s">
        <v>112</v>
      </c>
      <c r="B139" s="5" t="s">
        <v>83</v>
      </c>
      <c r="C139" s="4" t="s">
        <v>84</v>
      </c>
      <c r="D139" s="5" t="s">
        <v>138</v>
      </c>
      <c r="E139" s="4" t="s">
        <v>42</v>
      </c>
      <c r="F139" s="4" t="s">
        <v>43</v>
      </c>
      <c r="G139" s="4" t="s">
        <v>13</v>
      </c>
      <c r="H139" s="6">
        <v>2</v>
      </c>
      <c r="I139" s="7">
        <v>45000</v>
      </c>
      <c r="J139" s="7">
        <f t="shared" si="13"/>
        <v>90000</v>
      </c>
      <c r="K139" s="8" t="s">
        <v>12</v>
      </c>
      <c r="L139" s="35" t="str">
        <f>+VLOOKUP(E139,MÃ!$B$2:$F$229,2,0)</f>
        <v>NL300096</v>
      </c>
      <c r="M139" s="36">
        <f>+VLOOKUP(T139,Sheet2!$B$2:$N$305,10,0)</f>
        <v>2</v>
      </c>
      <c r="N139" s="37">
        <f>+VLOOKUP(L139,MÃ!$C$2:$F$226,4,0)</f>
        <v>45000</v>
      </c>
      <c r="O139" s="37">
        <f t="shared" si="14"/>
        <v>90000</v>
      </c>
      <c r="P139" s="37">
        <f t="shared" si="15"/>
        <v>0</v>
      </c>
      <c r="Q139" s="35" t="str">
        <f t="shared" si="16"/>
        <v xml:space="preserve"> </v>
      </c>
      <c r="R139" s="27">
        <f>+VLOOKUP(T139,Sheet2!$B$2:$N$305,13,0)</f>
        <v>90000</v>
      </c>
      <c r="S139" s="38">
        <f t="shared" si="17"/>
        <v>0</v>
      </c>
      <c r="T139" t="str">
        <f t="shared" si="18"/>
        <v>07/01/2026NL300096</v>
      </c>
      <c r="U139" s="29">
        <f t="shared" si="19"/>
        <v>0</v>
      </c>
      <c r="V139" s="39">
        <f t="shared" si="20"/>
        <v>0</v>
      </c>
    </row>
    <row r="140" spans="1:22" ht="28.5" x14ac:dyDescent="0.25">
      <c r="A140" s="4" t="s">
        <v>112</v>
      </c>
      <c r="B140" s="5" t="s">
        <v>83</v>
      </c>
      <c r="C140" s="4" t="s">
        <v>84</v>
      </c>
      <c r="D140" s="5" t="s">
        <v>138</v>
      </c>
      <c r="E140" s="4" t="s">
        <v>44</v>
      </c>
      <c r="F140" s="4" t="s">
        <v>45</v>
      </c>
      <c r="G140" s="4" t="s">
        <v>13</v>
      </c>
      <c r="H140" s="6">
        <v>2</v>
      </c>
      <c r="I140" s="7">
        <v>95000</v>
      </c>
      <c r="J140" s="7">
        <f t="shared" si="13"/>
        <v>190000</v>
      </c>
      <c r="K140" s="8" t="s">
        <v>12</v>
      </c>
      <c r="L140" s="35" t="str">
        <f>+VLOOKUP(E140,MÃ!$B$2:$F$229,2,0)</f>
        <v>NL300098</v>
      </c>
      <c r="M140" s="36">
        <f>+VLOOKUP(T140,Sheet2!$B$2:$N$305,10,0)</f>
        <v>2</v>
      </c>
      <c r="N140" s="37">
        <f>+VLOOKUP(L140,MÃ!$C$2:$F$226,4,0)</f>
        <v>95000</v>
      </c>
      <c r="O140" s="37">
        <f t="shared" si="14"/>
        <v>190000</v>
      </c>
      <c r="P140" s="37">
        <f t="shared" si="15"/>
        <v>0</v>
      </c>
      <c r="Q140" s="35" t="str">
        <f t="shared" si="16"/>
        <v xml:space="preserve"> </v>
      </c>
      <c r="R140" s="27">
        <f>+VLOOKUP(T140,Sheet2!$B$2:$N$305,13,0)</f>
        <v>190000</v>
      </c>
      <c r="S140" s="38">
        <f t="shared" si="17"/>
        <v>0</v>
      </c>
      <c r="T140" t="str">
        <f t="shared" si="18"/>
        <v>07/01/2026NL300098</v>
      </c>
      <c r="U140" s="29">
        <f t="shared" si="19"/>
        <v>0</v>
      </c>
      <c r="V140" s="39">
        <f t="shared" si="20"/>
        <v>0</v>
      </c>
    </row>
    <row r="141" spans="1:22" x14ac:dyDescent="0.25">
      <c r="A141" s="4" t="s">
        <v>112</v>
      </c>
      <c r="B141" s="5" t="s">
        <v>83</v>
      </c>
      <c r="C141" s="4" t="s">
        <v>84</v>
      </c>
      <c r="D141" s="5" t="s">
        <v>138</v>
      </c>
      <c r="E141" s="4" t="s">
        <v>27</v>
      </c>
      <c r="F141" s="4" t="s">
        <v>28</v>
      </c>
      <c r="G141" s="4" t="s">
        <v>13</v>
      </c>
      <c r="H141" s="6">
        <v>3</v>
      </c>
      <c r="I141" s="7">
        <v>21000</v>
      </c>
      <c r="J141" s="7">
        <f t="shared" si="13"/>
        <v>63000</v>
      </c>
      <c r="K141" s="8" t="s">
        <v>12</v>
      </c>
      <c r="L141" s="35" t="str">
        <f>+VLOOKUP(E141,MÃ!$B$2:$F$229,2,0)</f>
        <v>NL300119</v>
      </c>
      <c r="M141" s="36">
        <f>+VLOOKUP(T141,Sheet2!$B$2:$N$305,10,0)</f>
        <v>3</v>
      </c>
      <c r="N141" s="37">
        <f>+VLOOKUP(L141,MÃ!$C$2:$F$226,4,0)</f>
        <v>21000</v>
      </c>
      <c r="O141" s="37">
        <f t="shared" si="14"/>
        <v>63000</v>
      </c>
      <c r="P141" s="37">
        <f t="shared" si="15"/>
        <v>0</v>
      </c>
      <c r="Q141" s="35" t="str">
        <f t="shared" si="16"/>
        <v xml:space="preserve"> </v>
      </c>
      <c r="R141" s="27">
        <f>+VLOOKUP(T141,Sheet2!$B$2:$N$305,13,0)</f>
        <v>63000</v>
      </c>
      <c r="S141" s="38">
        <f t="shared" si="17"/>
        <v>0</v>
      </c>
      <c r="T141" t="str">
        <f t="shared" si="18"/>
        <v>07/01/2026NL300119</v>
      </c>
      <c r="U141" s="29">
        <f t="shared" si="19"/>
        <v>0</v>
      </c>
      <c r="V141" s="39">
        <f t="shared" si="20"/>
        <v>0</v>
      </c>
    </row>
    <row r="142" spans="1:22" x14ac:dyDescent="0.25">
      <c r="A142" s="4" t="s">
        <v>112</v>
      </c>
      <c r="B142" s="5" t="s">
        <v>83</v>
      </c>
      <c r="C142" s="4" t="s">
        <v>84</v>
      </c>
      <c r="D142" s="5" t="s">
        <v>138</v>
      </c>
      <c r="E142" s="4" t="s">
        <v>76</v>
      </c>
      <c r="F142" s="4" t="s">
        <v>77</v>
      </c>
      <c r="G142" s="4" t="s">
        <v>13</v>
      </c>
      <c r="H142" s="6">
        <v>1</v>
      </c>
      <c r="I142" s="7">
        <v>38000</v>
      </c>
      <c r="J142" s="7">
        <f t="shared" si="13"/>
        <v>38000</v>
      </c>
      <c r="K142" s="8" t="s">
        <v>12</v>
      </c>
      <c r="L142" s="35" t="str">
        <f>+VLOOKUP(E142,MÃ!$B$2:$F$229,2,0)</f>
        <v>NL300018</v>
      </c>
      <c r="M142" s="36">
        <f>+VLOOKUP(T142,Sheet2!$B$2:$N$305,10,0)</f>
        <v>0.9</v>
      </c>
      <c r="N142" s="37">
        <f>+VLOOKUP(L142,MÃ!$C$2:$F$226,4,0)</f>
        <v>38000</v>
      </c>
      <c r="O142" s="37">
        <f t="shared" si="14"/>
        <v>34200</v>
      </c>
      <c r="P142" s="37">
        <f t="shared" si="15"/>
        <v>3800</v>
      </c>
      <c r="Q142" s="35" t="str">
        <f t="shared" si="16"/>
        <v>SAI SL NHẬN</v>
      </c>
      <c r="R142" s="27">
        <f>+VLOOKUP(T142,Sheet2!$B$2:$N$305,13,0)</f>
        <v>34200</v>
      </c>
      <c r="S142" s="38">
        <f t="shared" si="17"/>
        <v>0</v>
      </c>
      <c r="T142" t="str">
        <f t="shared" si="18"/>
        <v>07/01/2026NL300018</v>
      </c>
      <c r="U142" s="29">
        <f t="shared" si="19"/>
        <v>9.9999999999999978E-2</v>
      </c>
      <c r="V142" s="39">
        <f t="shared" si="20"/>
        <v>0</v>
      </c>
    </row>
    <row r="143" spans="1:22" x14ac:dyDescent="0.25">
      <c r="A143" s="4" t="s">
        <v>112</v>
      </c>
      <c r="B143" s="5" t="s">
        <v>83</v>
      </c>
      <c r="C143" s="4" t="s">
        <v>84</v>
      </c>
      <c r="D143" s="5" t="s">
        <v>138</v>
      </c>
      <c r="E143" s="4" t="s">
        <v>14</v>
      </c>
      <c r="F143" s="4" t="s">
        <v>15</v>
      </c>
      <c r="G143" s="4" t="s">
        <v>13</v>
      </c>
      <c r="H143" s="6">
        <v>2</v>
      </c>
      <c r="I143" s="7">
        <v>50000</v>
      </c>
      <c r="J143" s="7">
        <f t="shared" si="13"/>
        <v>100000</v>
      </c>
      <c r="K143" s="8" t="s">
        <v>12</v>
      </c>
      <c r="L143" s="35" t="str">
        <f>+VLOOKUP(E143,MÃ!$B$2:$F$229,2,0)</f>
        <v>NL300142</v>
      </c>
      <c r="M143" s="36">
        <f>+VLOOKUP(T143,Sheet2!$B$2:$N$305,10,0)</f>
        <v>1.6</v>
      </c>
      <c r="N143" s="37">
        <f>+VLOOKUP(L143,MÃ!$C$2:$F$226,4,0)</f>
        <v>50000</v>
      </c>
      <c r="O143" s="37">
        <f t="shared" si="14"/>
        <v>80000</v>
      </c>
      <c r="P143" s="37">
        <f t="shared" si="15"/>
        <v>20000</v>
      </c>
      <c r="Q143" s="35" t="str">
        <f t="shared" si="16"/>
        <v>SAI SL NHẬN</v>
      </c>
      <c r="R143" s="27">
        <f>+VLOOKUP(T143,Sheet2!$B$2:$N$305,13,0)</f>
        <v>80000</v>
      </c>
      <c r="S143" s="38">
        <f t="shared" si="17"/>
        <v>0</v>
      </c>
      <c r="T143" t="str">
        <f t="shared" si="18"/>
        <v>07/01/2026NL300142</v>
      </c>
      <c r="U143" s="29">
        <f t="shared" si="19"/>
        <v>0.39999999999999991</v>
      </c>
      <c r="V143" s="39">
        <f t="shared" si="20"/>
        <v>0</v>
      </c>
    </row>
    <row r="144" spans="1:22" x14ac:dyDescent="0.25">
      <c r="A144" s="4" t="s">
        <v>112</v>
      </c>
      <c r="B144" s="5" t="s">
        <v>83</v>
      </c>
      <c r="C144" s="4" t="s">
        <v>84</v>
      </c>
      <c r="D144" s="5" t="s">
        <v>138</v>
      </c>
      <c r="E144" s="4" t="s">
        <v>48</v>
      </c>
      <c r="F144" s="4" t="s">
        <v>49</v>
      </c>
      <c r="G144" s="4" t="s">
        <v>13</v>
      </c>
      <c r="H144" s="6">
        <v>4</v>
      </c>
      <c r="I144" s="7">
        <v>62000</v>
      </c>
      <c r="J144" s="7">
        <f t="shared" ref="J144:J207" si="21">H144*I144</f>
        <v>248000</v>
      </c>
      <c r="K144" s="8" t="s">
        <v>12</v>
      </c>
      <c r="L144" s="35" t="str">
        <f>+VLOOKUP(E144,MÃ!$B$2:$F$229,2,0)</f>
        <v>NL300147</v>
      </c>
      <c r="M144" s="36">
        <f>+VLOOKUP(T144,Sheet2!$B$2:$N$305,10,0)</f>
        <v>4</v>
      </c>
      <c r="N144" s="37">
        <f>+VLOOKUP(L144,MÃ!$C$2:$F$226,4,0)</f>
        <v>62000</v>
      </c>
      <c r="O144" s="37">
        <f t="shared" ref="O144:O207" si="22">M144*N144</f>
        <v>248000</v>
      </c>
      <c r="P144" s="37">
        <f t="shared" ref="P144:P207" si="23">J144-O144</f>
        <v>0</v>
      </c>
      <c r="Q144" s="35" t="str">
        <f t="shared" ref="Q144:Q207" si="24">IF(U144=0," ","SAI SL NHẬN")</f>
        <v xml:space="preserve"> </v>
      </c>
      <c r="R144" s="27">
        <f>+VLOOKUP(T144,Sheet2!$B$2:$N$305,13,0)</f>
        <v>248000</v>
      </c>
      <c r="S144" s="38">
        <f t="shared" ref="S144:S207" si="25">O144-R144</f>
        <v>0</v>
      </c>
      <c r="T144" t="str">
        <f t="shared" ref="T144:T207" si="26">A144&amp;L144</f>
        <v>07/01/2026NL300147</v>
      </c>
      <c r="U144" s="29">
        <f t="shared" ref="U144:U207" si="27">H144-M144</f>
        <v>0</v>
      </c>
      <c r="V144" s="39">
        <f t="shared" ref="V144:V207" si="28">I144-N144</f>
        <v>0</v>
      </c>
    </row>
    <row r="145" spans="1:22" x14ac:dyDescent="0.25">
      <c r="A145" s="4" t="s">
        <v>114</v>
      </c>
      <c r="B145" s="5" t="s">
        <v>83</v>
      </c>
      <c r="C145" s="4" t="s">
        <v>84</v>
      </c>
      <c r="D145" s="5" t="s">
        <v>139</v>
      </c>
      <c r="E145" s="4" t="s">
        <v>31</v>
      </c>
      <c r="F145" s="4" t="s">
        <v>32</v>
      </c>
      <c r="G145" s="4" t="s">
        <v>33</v>
      </c>
      <c r="H145" s="6">
        <v>3</v>
      </c>
      <c r="I145" s="7">
        <v>8500</v>
      </c>
      <c r="J145" s="7">
        <f t="shared" si="21"/>
        <v>25500</v>
      </c>
      <c r="K145" s="8" t="s">
        <v>12</v>
      </c>
      <c r="L145" s="35" t="str">
        <f>+VLOOKUP(E145,MÃ!$B$2:$F$229,2,0)</f>
        <v>NL300107</v>
      </c>
      <c r="M145" s="36">
        <f>+VLOOKUP(T145,Sheet2!$B$2:$N$305,10,0)</f>
        <v>3</v>
      </c>
      <c r="N145" s="37">
        <f>+VLOOKUP(L145,MÃ!$C$2:$F$226,4,0)</f>
        <v>8500</v>
      </c>
      <c r="O145" s="37">
        <f t="shared" si="22"/>
        <v>25500</v>
      </c>
      <c r="P145" s="37">
        <f t="shared" si="23"/>
        <v>0</v>
      </c>
      <c r="Q145" s="35" t="str">
        <f t="shared" si="24"/>
        <v xml:space="preserve"> </v>
      </c>
      <c r="R145" s="27">
        <f>+VLOOKUP(T145,Sheet2!$B$2:$N$305,13,0)</f>
        <v>25500</v>
      </c>
      <c r="S145" s="38">
        <f t="shared" si="25"/>
        <v>0</v>
      </c>
      <c r="T145" t="str">
        <f t="shared" si="26"/>
        <v>08/01/2026NL300107</v>
      </c>
      <c r="U145" s="29">
        <f t="shared" si="27"/>
        <v>0</v>
      </c>
      <c r="V145" s="39">
        <f t="shared" si="28"/>
        <v>0</v>
      </c>
    </row>
    <row r="146" spans="1:22" x14ac:dyDescent="0.25">
      <c r="A146" s="4" t="s">
        <v>114</v>
      </c>
      <c r="B146" s="5" t="s">
        <v>83</v>
      </c>
      <c r="C146" s="4" t="s">
        <v>84</v>
      </c>
      <c r="D146" s="5" t="s">
        <v>139</v>
      </c>
      <c r="E146" s="4" t="s">
        <v>62</v>
      </c>
      <c r="F146" s="4" t="s">
        <v>63</v>
      </c>
      <c r="G146" s="4" t="s">
        <v>13</v>
      </c>
      <c r="H146" s="6">
        <v>1</v>
      </c>
      <c r="I146" s="7">
        <v>45000</v>
      </c>
      <c r="J146" s="7">
        <f t="shared" si="21"/>
        <v>45000</v>
      </c>
      <c r="K146" s="8" t="s">
        <v>12</v>
      </c>
      <c r="L146" s="35" t="str">
        <f>+VLOOKUP(E146,MÃ!$B$2:$F$229,2,0)</f>
        <v>NL300203</v>
      </c>
      <c r="M146" s="36">
        <f>+VLOOKUP(T146,Sheet2!$B$2:$N$305,10,0)</f>
        <v>1</v>
      </c>
      <c r="N146" s="37">
        <f>+VLOOKUP(L146,MÃ!$C$2:$F$226,4,0)</f>
        <v>45000</v>
      </c>
      <c r="O146" s="37">
        <f t="shared" si="22"/>
        <v>45000</v>
      </c>
      <c r="P146" s="37">
        <f t="shared" si="23"/>
        <v>0</v>
      </c>
      <c r="Q146" s="35" t="str">
        <f t="shared" si="24"/>
        <v xml:space="preserve"> </v>
      </c>
      <c r="R146" s="27">
        <f>+VLOOKUP(T146,Sheet2!$B$2:$N$305,13,0)</f>
        <v>45000</v>
      </c>
      <c r="S146" s="38">
        <f t="shared" si="25"/>
        <v>0</v>
      </c>
      <c r="T146" t="str">
        <f t="shared" si="26"/>
        <v>08/01/2026NL300203</v>
      </c>
      <c r="U146" s="29">
        <f t="shared" si="27"/>
        <v>0</v>
      </c>
      <c r="V146" s="39">
        <f t="shared" si="28"/>
        <v>0</v>
      </c>
    </row>
    <row r="147" spans="1:22" x14ac:dyDescent="0.25">
      <c r="A147" s="4" t="s">
        <v>114</v>
      </c>
      <c r="B147" s="5" t="s">
        <v>83</v>
      </c>
      <c r="C147" s="4" t="s">
        <v>84</v>
      </c>
      <c r="D147" s="5" t="s">
        <v>139</v>
      </c>
      <c r="E147" s="4" t="s">
        <v>64</v>
      </c>
      <c r="F147" s="4" t="s">
        <v>65</v>
      </c>
      <c r="G147" s="4" t="s">
        <v>13</v>
      </c>
      <c r="H147" s="6">
        <v>1</v>
      </c>
      <c r="I147" s="7">
        <v>50000</v>
      </c>
      <c r="J147" s="7">
        <f t="shared" si="21"/>
        <v>50000</v>
      </c>
      <c r="K147" s="8" t="s">
        <v>12</v>
      </c>
      <c r="L147" s="35" t="str">
        <f>+VLOOKUP(E147,MÃ!$B$2:$F$229,2,0)</f>
        <v>NL300013</v>
      </c>
      <c r="M147" s="36">
        <f>+VLOOKUP(T147,Sheet2!$B$2:$N$305,10,0)</f>
        <v>1</v>
      </c>
      <c r="N147" s="37">
        <f>+VLOOKUP(L147,MÃ!$C$2:$F$226,4,0)</f>
        <v>50000</v>
      </c>
      <c r="O147" s="37">
        <f t="shared" si="22"/>
        <v>50000</v>
      </c>
      <c r="P147" s="37">
        <f t="shared" si="23"/>
        <v>0</v>
      </c>
      <c r="Q147" s="35" t="str">
        <f t="shared" si="24"/>
        <v xml:space="preserve"> </v>
      </c>
      <c r="R147" s="27">
        <f>+VLOOKUP(T147,Sheet2!$B$2:$N$305,13,0)</f>
        <v>50000</v>
      </c>
      <c r="S147" s="38">
        <f t="shared" si="25"/>
        <v>0</v>
      </c>
      <c r="T147" t="str">
        <f t="shared" si="26"/>
        <v>08/01/2026NL300013</v>
      </c>
      <c r="U147" s="29">
        <f t="shared" si="27"/>
        <v>0</v>
      </c>
      <c r="V147" s="39">
        <f t="shared" si="28"/>
        <v>0</v>
      </c>
    </row>
    <row r="148" spans="1:22" x14ac:dyDescent="0.25">
      <c r="A148" s="4" t="s">
        <v>114</v>
      </c>
      <c r="B148" s="5" t="s">
        <v>83</v>
      </c>
      <c r="C148" s="4" t="s">
        <v>84</v>
      </c>
      <c r="D148" s="5" t="s">
        <v>139</v>
      </c>
      <c r="E148" s="4" t="s">
        <v>66</v>
      </c>
      <c r="F148" s="4" t="s">
        <v>67</v>
      </c>
      <c r="G148" s="4" t="s">
        <v>13</v>
      </c>
      <c r="H148" s="6">
        <v>11</v>
      </c>
      <c r="I148" s="7">
        <v>18000</v>
      </c>
      <c r="J148" s="7">
        <f t="shared" si="21"/>
        <v>198000</v>
      </c>
      <c r="K148" s="8" t="s">
        <v>12</v>
      </c>
      <c r="L148" s="35" t="str">
        <f>+VLOOKUP(E148,MÃ!$B$2:$F$229,2,0)</f>
        <v>NL300022</v>
      </c>
      <c r="M148" s="36">
        <f>+VLOOKUP(T148,Sheet2!$B$2:$N$305,10,0)</f>
        <v>7.8</v>
      </c>
      <c r="N148" s="37">
        <f>+VLOOKUP(L148,MÃ!$C$2:$F$226,4,0)</f>
        <v>18000</v>
      </c>
      <c r="O148" s="37">
        <f t="shared" si="22"/>
        <v>140400</v>
      </c>
      <c r="P148" s="37">
        <f t="shared" si="23"/>
        <v>57600</v>
      </c>
      <c r="Q148" s="35" t="str">
        <f t="shared" si="24"/>
        <v>SAI SL NHẬN</v>
      </c>
      <c r="R148" s="27">
        <f>+VLOOKUP(T148,Sheet2!$B$2:$N$305,13,0)</f>
        <v>140400</v>
      </c>
      <c r="S148" s="38">
        <f t="shared" si="25"/>
        <v>0</v>
      </c>
      <c r="T148" t="str">
        <f t="shared" si="26"/>
        <v>08/01/2026NL300022</v>
      </c>
      <c r="U148" s="29">
        <f t="shared" si="27"/>
        <v>3.2</v>
      </c>
      <c r="V148" s="39">
        <f t="shared" si="28"/>
        <v>0</v>
      </c>
    </row>
    <row r="149" spans="1:22" x14ac:dyDescent="0.25">
      <c r="A149" s="4" t="s">
        <v>114</v>
      </c>
      <c r="B149" s="5" t="s">
        <v>83</v>
      </c>
      <c r="C149" s="4" t="s">
        <v>84</v>
      </c>
      <c r="D149" s="5" t="s">
        <v>139</v>
      </c>
      <c r="E149" s="4" t="s">
        <v>16</v>
      </c>
      <c r="F149" s="4" t="s">
        <v>17</v>
      </c>
      <c r="G149" s="4" t="s">
        <v>13</v>
      </c>
      <c r="H149" s="6">
        <v>0.8</v>
      </c>
      <c r="I149" s="7">
        <v>47000</v>
      </c>
      <c r="J149" s="7">
        <f t="shared" si="21"/>
        <v>37600</v>
      </c>
      <c r="K149" s="8" t="s">
        <v>12</v>
      </c>
      <c r="L149" s="35" t="str">
        <f>+VLOOKUP(E149,MÃ!$B$2:$F$229,2,0)</f>
        <v>NL300036</v>
      </c>
      <c r="M149" s="36">
        <f>+VLOOKUP(T149,Sheet2!$B$2:$N$305,10,0)</f>
        <v>0.8</v>
      </c>
      <c r="N149" s="37">
        <f>+VLOOKUP(L149,MÃ!$C$2:$F$226,4,0)</f>
        <v>47000</v>
      </c>
      <c r="O149" s="37">
        <f t="shared" si="22"/>
        <v>37600</v>
      </c>
      <c r="P149" s="37">
        <f t="shared" si="23"/>
        <v>0</v>
      </c>
      <c r="Q149" s="35" t="str">
        <f t="shared" si="24"/>
        <v xml:space="preserve"> </v>
      </c>
      <c r="R149" s="27">
        <f>+VLOOKUP(T149,Sheet2!$B$2:$N$305,13,0)</f>
        <v>37600</v>
      </c>
      <c r="S149" s="38">
        <f t="shared" si="25"/>
        <v>0</v>
      </c>
      <c r="T149" t="str">
        <f t="shared" si="26"/>
        <v>08/01/2026NL300036</v>
      </c>
      <c r="U149" s="29">
        <f t="shared" si="27"/>
        <v>0</v>
      </c>
      <c r="V149" s="39">
        <f t="shared" si="28"/>
        <v>0</v>
      </c>
    </row>
    <row r="150" spans="1:22" x14ac:dyDescent="0.25">
      <c r="A150" s="4" t="s">
        <v>114</v>
      </c>
      <c r="B150" s="5" t="s">
        <v>83</v>
      </c>
      <c r="C150" s="4" t="s">
        <v>84</v>
      </c>
      <c r="D150" s="5" t="s">
        <v>139</v>
      </c>
      <c r="E150" s="4" t="s">
        <v>50</v>
      </c>
      <c r="F150" s="4" t="s">
        <v>51</v>
      </c>
      <c r="G150" s="4" t="s">
        <v>13</v>
      </c>
      <c r="H150" s="6">
        <v>17.2</v>
      </c>
      <c r="I150" s="7">
        <v>18000</v>
      </c>
      <c r="J150" s="7">
        <f t="shared" si="21"/>
        <v>309600</v>
      </c>
      <c r="K150" s="8" t="s">
        <v>12</v>
      </c>
      <c r="L150" s="35" t="str">
        <f>+VLOOKUP(E150,MÃ!$B$2:$F$229,2,0)</f>
        <v>NL600004</v>
      </c>
      <c r="M150" s="36">
        <f>+VLOOKUP(T150,Sheet2!$B$2:$N$305,10,0)</f>
        <v>17.2</v>
      </c>
      <c r="N150" s="37">
        <f>+VLOOKUP(L150,MÃ!$C$2:$F$226,4,0)</f>
        <v>18000</v>
      </c>
      <c r="O150" s="37">
        <f t="shared" si="22"/>
        <v>309600</v>
      </c>
      <c r="P150" s="37">
        <f t="shared" si="23"/>
        <v>0</v>
      </c>
      <c r="Q150" s="35" t="str">
        <f t="shared" si="24"/>
        <v xml:space="preserve"> </v>
      </c>
      <c r="R150" s="27">
        <f>+VLOOKUP(T150,Sheet2!$B$2:$N$305,13,0)</f>
        <v>309600</v>
      </c>
      <c r="S150" s="38">
        <f t="shared" si="25"/>
        <v>0</v>
      </c>
      <c r="T150" t="str">
        <f t="shared" si="26"/>
        <v>08/01/2026NL600004</v>
      </c>
      <c r="U150" s="29">
        <f t="shared" si="27"/>
        <v>0</v>
      </c>
      <c r="V150" s="39">
        <f t="shared" si="28"/>
        <v>0</v>
      </c>
    </row>
    <row r="151" spans="1:22" x14ac:dyDescent="0.25">
      <c r="A151" s="4" t="s">
        <v>114</v>
      </c>
      <c r="B151" s="5" t="s">
        <v>83</v>
      </c>
      <c r="C151" s="4" t="s">
        <v>84</v>
      </c>
      <c r="D151" s="5" t="s">
        <v>139</v>
      </c>
      <c r="E151" s="4" t="s">
        <v>18</v>
      </c>
      <c r="F151" s="4" t="s">
        <v>19</v>
      </c>
      <c r="G151" s="4" t="s">
        <v>13</v>
      </c>
      <c r="H151" s="6">
        <v>0.5</v>
      </c>
      <c r="I151" s="7">
        <v>55000</v>
      </c>
      <c r="J151" s="7">
        <f t="shared" si="21"/>
        <v>27500</v>
      </c>
      <c r="K151" s="8" t="s">
        <v>12</v>
      </c>
      <c r="L151" s="35" t="str">
        <f>+VLOOKUP(E151,MÃ!$B$2:$F$229,2,0)</f>
        <v>NL300058</v>
      </c>
      <c r="M151" s="36">
        <f>+VLOOKUP(T151,Sheet2!$B$2:$N$305,10,0)</f>
        <v>0.5</v>
      </c>
      <c r="N151" s="37">
        <f>+VLOOKUP(L151,MÃ!$C$2:$F$226,4,0)</f>
        <v>55000</v>
      </c>
      <c r="O151" s="37">
        <f t="shared" si="22"/>
        <v>27500</v>
      </c>
      <c r="P151" s="37">
        <f t="shared" si="23"/>
        <v>0</v>
      </c>
      <c r="Q151" s="35" t="str">
        <f t="shared" si="24"/>
        <v xml:space="preserve"> </v>
      </c>
      <c r="R151" s="27">
        <f>+VLOOKUP(T151,Sheet2!$B$2:$N$305,13,0)</f>
        <v>27500</v>
      </c>
      <c r="S151" s="38">
        <f t="shared" si="25"/>
        <v>0</v>
      </c>
      <c r="T151" t="str">
        <f t="shared" si="26"/>
        <v>08/01/2026NL300058</v>
      </c>
      <c r="U151" s="29">
        <f t="shared" si="27"/>
        <v>0</v>
      </c>
      <c r="V151" s="39">
        <f t="shared" si="28"/>
        <v>0</v>
      </c>
    </row>
    <row r="152" spans="1:22" x14ac:dyDescent="0.25">
      <c r="A152" s="4" t="s">
        <v>114</v>
      </c>
      <c r="B152" s="5" t="s">
        <v>83</v>
      </c>
      <c r="C152" s="4" t="s">
        <v>84</v>
      </c>
      <c r="D152" s="5" t="s">
        <v>139</v>
      </c>
      <c r="E152" s="4" t="s">
        <v>52</v>
      </c>
      <c r="F152" s="4" t="s">
        <v>53</v>
      </c>
      <c r="G152" s="4" t="s">
        <v>13</v>
      </c>
      <c r="H152" s="6">
        <v>0.1</v>
      </c>
      <c r="I152" s="7">
        <v>65000</v>
      </c>
      <c r="J152" s="7">
        <f t="shared" si="21"/>
        <v>6500</v>
      </c>
      <c r="K152" s="8" t="s">
        <v>12</v>
      </c>
      <c r="L152" s="35" t="str">
        <f>+VLOOKUP(E152,MÃ!$B$2:$F$229,2,0)</f>
        <v>NL300062</v>
      </c>
      <c r="M152" s="36">
        <f>+VLOOKUP(T152,Sheet2!$B$2:$N$305,10,0)</f>
        <v>0.1</v>
      </c>
      <c r="N152" s="37">
        <f>+VLOOKUP(L152,MÃ!$C$2:$F$226,4,0)</f>
        <v>65000</v>
      </c>
      <c r="O152" s="37">
        <f t="shared" si="22"/>
        <v>6500</v>
      </c>
      <c r="P152" s="37">
        <f t="shared" si="23"/>
        <v>0</v>
      </c>
      <c r="Q152" s="35" t="str">
        <f t="shared" si="24"/>
        <v xml:space="preserve"> </v>
      </c>
      <c r="R152" s="27">
        <f>+VLOOKUP(T152,Sheet2!$B$2:$N$305,13,0)</f>
        <v>6500</v>
      </c>
      <c r="S152" s="38">
        <f t="shared" si="25"/>
        <v>0</v>
      </c>
      <c r="T152" t="str">
        <f t="shared" si="26"/>
        <v>08/01/2026NL300062</v>
      </c>
      <c r="U152" s="29">
        <f t="shared" si="27"/>
        <v>0</v>
      </c>
      <c r="V152" s="39">
        <f t="shared" si="28"/>
        <v>0</v>
      </c>
    </row>
    <row r="153" spans="1:22" x14ac:dyDescent="0.25">
      <c r="A153" s="4" t="s">
        <v>114</v>
      </c>
      <c r="B153" s="5" t="s">
        <v>83</v>
      </c>
      <c r="C153" s="4" t="s">
        <v>84</v>
      </c>
      <c r="D153" s="5" t="s">
        <v>139</v>
      </c>
      <c r="E153" s="4" t="s">
        <v>72</v>
      </c>
      <c r="F153" s="4" t="s">
        <v>73</v>
      </c>
      <c r="G153" s="4" t="s">
        <v>13</v>
      </c>
      <c r="H153" s="6">
        <v>1.3</v>
      </c>
      <c r="I153" s="7">
        <v>18000</v>
      </c>
      <c r="J153" s="7">
        <f t="shared" si="21"/>
        <v>23400</v>
      </c>
      <c r="K153" s="8" t="s">
        <v>12</v>
      </c>
      <c r="L153" s="35" t="str">
        <f>+VLOOKUP(E153,MÃ!$B$2:$F$229,2,0)</f>
        <v>NL300074</v>
      </c>
      <c r="M153" s="36">
        <f>+VLOOKUP(T153,Sheet2!$B$2:$N$305,10,0)</f>
        <v>1.3</v>
      </c>
      <c r="N153" s="37">
        <f>+VLOOKUP(L153,MÃ!$C$2:$F$226,4,0)</f>
        <v>18000</v>
      </c>
      <c r="O153" s="37">
        <f t="shared" si="22"/>
        <v>23400</v>
      </c>
      <c r="P153" s="37">
        <f t="shared" si="23"/>
        <v>0</v>
      </c>
      <c r="Q153" s="35" t="str">
        <f t="shared" si="24"/>
        <v xml:space="preserve"> </v>
      </c>
      <c r="R153" s="27">
        <f>+VLOOKUP(T153,Sheet2!$B$2:$N$305,13,0)</f>
        <v>23400</v>
      </c>
      <c r="S153" s="38">
        <f t="shared" si="25"/>
        <v>0</v>
      </c>
      <c r="T153" t="str">
        <f t="shared" si="26"/>
        <v>08/01/2026NL300074</v>
      </c>
      <c r="U153" s="29">
        <f t="shared" si="27"/>
        <v>0</v>
      </c>
      <c r="V153" s="39">
        <f t="shared" si="28"/>
        <v>0</v>
      </c>
    </row>
    <row r="154" spans="1:22" x14ac:dyDescent="0.25">
      <c r="A154" s="4" t="s">
        <v>114</v>
      </c>
      <c r="B154" s="5" t="s">
        <v>83</v>
      </c>
      <c r="C154" s="4" t="s">
        <v>84</v>
      </c>
      <c r="D154" s="5" t="s">
        <v>139</v>
      </c>
      <c r="E154" s="4" t="s">
        <v>74</v>
      </c>
      <c r="F154" s="4" t="s">
        <v>75</v>
      </c>
      <c r="G154" s="4" t="s">
        <v>13</v>
      </c>
      <c r="H154" s="6">
        <v>1.5</v>
      </c>
      <c r="I154" s="7">
        <v>22000</v>
      </c>
      <c r="J154" s="7">
        <f t="shared" si="21"/>
        <v>33000</v>
      </c>
      <c r="K154" s="8" t="s">
        <v>12</v>
      </c>
      <c r="L154" s="35" t="str">
        <f>+VLOOKUP(E154,MÃ!$B$2:$F$229,2,0)</f>
        <v>NL300084</v>
      </c>
      <c r="M154" s="36">
        <f>+VLOOKUP(T154,Sheet2!$B$2:$N$305,10,0)</f>
        <v>1</v>
      </c>
      <c r="N154" s="37">
        <f>+VLOOKUP(L154,MÃ!$C$2:$F$226,4,0)</f>
        <v>22000</v>
      </c>
      <c r="O154" s="37">
        <f t="shared" si="22"/>
        <v>22000</v>
      </c>
      <c r="P154" s="37">
        <f t="shared" si="23"/>
        <v>11000</v>
      </c>
      <c r="Q154" s="35" t="str">
        <f t="shared" si="24"/>
        <v>SAI SL NHẬN</v>
      </c>
      <c r="R154" s="27">
        <f>+VLOOKUP(T154,Sheet2!$B$2:$N$305,13,0)</f>
        <v>22000</v>
      </c>
      <c r="S154" s="38">
        <f t="shared" si="25"/>
        <v>0</v>
      </c>
      <c r="T154" t="str">
        <f t="shared" si="26"/>
        <v>08/01/2026NL300084</v>
      </c>
      <c r="U154" s="29">
        <f t="shared" si="27"/>
        <v>0.5</v>
      </c>
      <c r="V154" s="39">
        <f t="shared" si="28"/>
        <v>0</v>
      </c>
    </row>
    <row r="155" spans="1:22" x14ac:dyDescent="0.25">
      <c r="A155" s="4" t="s">
        <v>114</v>
      </c>
      <c r="B155" s="5" t="s">
        <v>83</v>
      </c>
      <c r="C155" s="4" t="s">
        <v>84</v>
      </c>
      <c r="D155" s="5" t="s">
        <v>139</v>
      </c>
      <c r="E155" s="4" t="s">
        <v>36</v>
      </c>
      <c r="F155" s="4" t="s">
        <v>37</v>
      </c>
      <c r="G155" s="4" t="s">
        <v>13</v>
      </c>
      <c r="H155" s="6">
        <v>2</v>
      </c>
      <c r="I155" s="7">
        <v>145000</v>
      </c>
      <c r="J155" s="7">
        <f t="shared" si="21"/>
        <v>290000</v>
      </c>
      <c r="K155" s="8" t="s">
        <v>12</v>
      </c>
      <c r="L155" s="35" t="str">
        <f>+VLOOKUP(E155,MÃ!$B$2:$F$229,2,0)</f>
        <v>NL300090</v>
      </c>
      <c r="M155" s="36">
        <f>+VLOOKUP(T155,Sheet2!$B$2:$N$305,10,0)</f>
        <v>2</v>
      </c>
      <c r="N155" s="37">
        <f>+VLOOKUP(L155,MÃ!$C$2:$F$226,4,0)</f>
        <v>145000</v>
      </c>
      <c r="O155" s="37">
        <f t="shared" si="22"/>
        <v>290000</v>
      </c>
      <c r="P155" s="37">
        <f t="shared" si="23"/>
        <v>0</v>
      </c>
      <c r="Q155" s="35" t="str">
        <f t="shared" si="24"/>
        <v xml:space="preserve"> </v>
      </c>
      <c r="R155" s="27">
        <f>+VLOOKUP(T155,Sheet2!$B$2:$N$305,13,0)</f>
        <v>290000</v>
      </c>
      <c r="S155" s="38">
        <f t="shared" si="25"/>
        <v>0</v>
      </c>
      <c r="T155" t="str">
        <f t="shared" si="26"/>
        <v>08/01/2026NL300090</v>
      </c>
      <c r="U155" s="29">
        <f t="shared" si="27"/>
        <v>0</v>
      </c>
      <c r="V155" s="39">
        <f t="shared" si="28"/>
        <v>0</v>
      </c>
    </row>
    <row r="156" spans="1:22" x14ac:dyDescent="0.25">
      <c r="A156" s="4" t="s">
        <v>114</v>
      </c>
      <c r="B156" s="5" t="s">
        <v>83</v>
      </c>
      <c r="C156" s="4" t="s">
        <v>84</v>
      </c>
      <c r="D156" s="5" t="s">
        <v>139</v>
      </c>
      <c r="E156" s="4" t="s">
        <v>38</v>
      </c>
      <c r="F156" s="4" t="s">
        <v>39</v>
      </c>
      <c r="G156" s="4" t="s">
        <v>13</v>
      </c>
      <c r="H156" s="6">
        <v>3</v>
      </c>
      <c r="I156" s="7">
        <v>47000</v>
      </c>
      <c r="J156" s="7">
        <f t="shared" si="21"/>
        <v>141000</v>
      </c>
      <c r="K156" s="8" t="s">
        <v>12</v>
      </c>
      <c r="L156" s="35" t="str">
        <f>+VLOOKUP(E156,MÃ!$B$2:$F$229,2,0)</f>
        <v>NL300091</v>
      </c>
      <c r="M156" s="36">
        <f>+VLOOKUP(T156,Sheet2!$B$2:$N$305,10,0)</f>
        <v>3</v>
      </c>
      <c r="N156" s="37">
        <f>+VLOOKUP(L156,MÃ!$C$2:$F$226,4,0)</f>
        <v>47000</v>
      </c>
      <c r="O156" s="37">
        <f t="shared" si="22"/>
        <v>141000</v>
      </c>
      <c r="P156" s="37">
        <f t="shared" si="23"/>
        <v>0</v>
      </c>
      <c r="Q156" s="35" t="str">
        <f t="shared" si="24"/>
        <v xml:space="preserve"> </v>
      </c>
      <c r="R156" s="27">
        <f>+VLOOKUP(T156,Sheet2!$B$2:$N$305,13,0)</f>
        <v>141000</v>
      </c>
      <c r="S156" s="38">
        <f t="shared" si="25"/>
        <v>0</v>
      </c>
      <c r="T156" t="str">
        <f t="shared" si="26"/>
        <v>08/01/2026NL300091</v>
      </c>
      <c r="U156" s="29">
        <f t="shared" si="27"/>
        <v>0</v>
      </c>
      <c r="V156" s="39">
        <f t="shared" si="28"/>
        <v>0</v>
      </c>
    </row>
    <row r="157" spans="1:22" x14ac:dyDescent="0.25">
      <c r="A157" s="4" t="s">
        <v>114</v>
      </c>
      <c r="B157" s="5" t="s">
        <v>83</v>
      </c>
      <c r="C157" s="4" t="s">
        <v>84</v>
      </c>
      <c r="D157" s="5" t="s">
        <v>139</v>
      </c>
      <c r="E157" s="4" t="s">
        <v>42</v>
      </c>
      <c r="F157" s="4" t="s">
        <v>43</v>
      </c>
      <c r="G157" s="4" t="s">
        <v>13</v>
      </c>
      <c r="H157" s="6">
        <v>3</v>
      </c>
      <c r="I157" s="7">
        <v>45000</v>
      </c>
      <c r="J157" s="7">
        <f t="shared" si="21"/>
        <v>135000</v>
      </c>
      <c r="K157" s="8" t="s">
        <v>12</v>
      </c>
      <c r="L157" s="35" t="str">
        <f>+VLOOKUP(E157,MÃ!$B$2:$F$229,2,0)</f>
        <v>NL300096</v>
      </c>
      <c r="M157" s="36">
        <f>+VLOOKUP(T157,Sheet2!$B$2:$N$305,10,0)</f>
        <v>3</v>
      </c>
      <c r="N157" s="37">
        <f>+VLOOKUP(L157,MÃ!$C$2:$F$226,4,0)</f>
        <v>45000</v>
      </c>
      <c r="O157" s="37">
        <f t="shared" si="22"/>
        <v>135000</v>
      </c>
      <c r="P157" s="37">
        <f t="shared" si="23"/>
        <v>0</v>
      </c>
      <c r="Q157" s="35" t="str">
        <f t="shared" si="24"/>
        <v xml:space="preserve"> </v>
      </c>
      <c r="R157" s="27">
        <f>+VLOOKUP(T157,Sheet2!$B$2:$N$305,13,0)</f>
        <v>135000</v>
      </c>
      <c r="S157" s="38">
        <f t="shared" si="25"/>
        <v>0</v>
      </c>
      <c r="T157" t="str">
        <f t="shared" si="26"/>
        <v>08/01/2026NL300096</v>
      </c>
      <c r="U157" s="29">
        <f t="shared" si="27"/>
        <v>0</v>
      </c>
      <c r="V157" s="39">
        <f t="shared" si="28"/>
        <v>0</v>
      </c>
    </row>
    <row r="158" spans="1:22" ht="28.5" x14ac:dyDescent="0.25">
      <c r="A158" s="4" t="s">
        <v>114</v>
      </c>
      <c r="B158" s="5" t="s">
        <v>83</v>
      </c>
      <c r="C158" s="4" t="s">
        <v>84</v>
      </c>
      <c r="D158" s="5" t="s">
        <v>139</v>
      </c>
      <c r="E158" s="4" t="s">
        <v>44</v>
      </c>
      <c r="F158" s="4" t="s">
        <v>45</v>
      </c>
      <c r="G158" s="4" t="s">
        <v>13</v>
      </c>
      <c r="H158" s="6">
        <v>2</v>
      </c>
      <c r="I158" s="7">
        <v>95000</v>
      </c>
      <c r="J158" s="7">
        <f t="shared" si="21"/>
        <v>190000</v>
      </c>
      <c r="K158" s="8" t="s">
        <v>12</v>
      </c>
      <c r="L158" s="35" t="str">
        <f>+VLOOKUP(E158,MÃ!$B$2:$F$229,2,0)</f>
        <v>NL300098</v>
      </c>
      <c r="M158" s="36">
        <f>+VLOOKUP(T158,Sheet2!$B$2:$N$305,10,0)</f>
        <v>1.9</v>
      </c>
      <c r="N158" s="37">
        <f>+VLOOKUP(L158,MÃ!$C$2:$F$226,4,0)</f>
        <v>95000</v>
      </c>
      <c r="O158" s="37">
        <f t="shared" si="22"/>
        <v>180500</v>
      </c>
      <c r="P158" s="37">
        <f t="shared" si="23"/>
        <v>9500</v>
      </c>
      <c r="Q158" s="35" t="str">
        <f t="shared" si="24"/>
        <v>SAI SL NHẬN</v>
      </c>
      <c r="R158" s="27">
        <f>+VLOOKUP(T158,Sheet2!$B$2:$N$305,13,0)</f>
        <v>180500</v>
      </c>
      <c r="S158" s="38">
        <f t="shared" si="25"/>
        <v>0</v>
      </c>
      <c r="T158" t="str">
        <f t="shared" si="26"/>
        <v>08/01/2026NL300098</v>
      </c>
      <c r="U158" s="29">
        <f t="shared" si="27"/>
        <v>0.10000000000000009</v>
      </c>
      <c r="V158" s="39">
        <f t="shared" si="28"/>
        <v>0</v>
      </c>
    </row>
    <row r="159" spans="1:22" x14ac:dyDescent="0.25">
      <c r="A159" s="4" t="s">
        <v>114</v>
      </c>
      <c r="B159" s="5" t="s">
        <v>83</v>
      </c>
      <c r="C159" s="4" t="s">
        <v>84</v>
      </c>
      <c r="D159" s="5" t="s">
        <v>139</v>
      </c>
      <c r="E159" s="4" t="s">
        <v>20</v>
      </c>
      <c r="F159" s="4" t="s">
        <v>21</v>
      </c>
      <c r="G159" s="4" t="s">
        <v>13</v>
      </c>
      <c r="H159" s="6">
        <v>0.5</v>
      </c>
      <c r="I159" s="7">
        <v>45000</v>
      </c>
      <c r="J159" s="7">
        <f t="shared" si="21"/>
        <v>22500</v>
      </c>
      <c r="K159" s="8" t="s">
        <v>12</v>
      </c>
      <c r="L159" s="35" t="str">
        <f>+VLOOKUP(E159,MÃ!$B$2:$F$229,2,0)</f>
        <v>NL300085</v>
      </c>
      <c r="M159" s="36">
        <f>+VLOOKUP(T159,Sheet2!$B$2:$N$305,10,0)</f>
        <v>0.5</v>
      </c>
      <c r="N159" s="37">
        <f>+VLOOKUP(L159,MÃ!$C$2:$F$226,4,0)</f>
        <v>45000</v>
      </c>
      <c r="O159" s="37">
        <f t="shared" si="22"/>
        <v>22500</v>
      </c>
      <c r="P159" s="37">
        <f t="shared" si="23"/>
        <v>0</v>
      </c>
      <c r="Q159" s="35" t="str">
        <f t="shared" si="24"/>
        <v xml:space="preserve"> </v>
      </c>
      <c r="R159" s="27">
        <f>+VLOOKUP(T159,Sheet2!$B$2:$N$305,13,0)</f>
        <v>22500</v>
      </c>
      <c r="S159" s="38">
        <f t="shared" si="25"/>
        <v>0</v>
      </c>
      <c r="T159" t="str">
        <f t="shared" si="26"/>
        <v>08/01/2026NL300085</v>
      </c>
      <c r="U159" s="29">
        <f t="shared" si="27"/>
        <v>0</v>
      </c>
      <c r="V159" s="39">
        <f t="shared" si="28"/>
        <v>0</v>
      </c>
    </row>
    <row r="160" spans="1:22" x14ac:dyDescent="0.25">
      <c r="A160" s="4" t="s">
        <v>114</v>
      </c>
      <c r="B160" s="5" t="s">
        <v>83</v>
      </c>
      <c r="C160" s="4" t="s">
        <v>84</v>
      </c>
      <c r="D160" s="5" t="s">
        <v>139</v>
      </c>
      <c r="E160" s="4" t="s">
        <v>29</v>
      </c>
      <c r="F160" s="4" t="s">
        <v>30</v>
      </c>
      <c r="G160" s="4" t="s">
        <v>13</v>
      </c>
      <c r="H160" s="6">
        <v>1</v>
      </c>
      <c r="I160" s="7">
        <v>145000</v>
      </c>
      <c r="J160" s="7">
        <f t="shared" si="21"/>
        <v>145000</v>
      </c>
      <c r="K160" s="8" t="s">
        <v>12</v>
      </c>
      <c r="L160" s="35" t="str">
        <f>+VLOOKUP(E160,MÃ!$B$2:$F$229,2,0)</f>
        <v>NL300113</v>
      </c>
      <c r="M160" s="36">
        <f>+VLOOKUP(T160,Sheet2!$B$2:$N$305,10,0)</f>
        <v>1</v>
      </c>
      <c r="N160" s="37">
        <f>+VLOOKUP(L160,MÃ!$C$2:$F$226,4,0)</f>
        <v>145000</v>
      </c>
      <c r="O160" s="37">
        <f t="shared" si="22"/>
        <v>145000</v>
      </c>
      <c r="P160" s="37">
        <f t="shared" si="23"/>
        <v>0</v>
      </c>
      <c r="Q160" s="35" t="str">
        <f t="shared" si="24"/>
        <v xml:space="preserve"> </v>
      </c>
      <c r="R160" s="27">
        <f>+VLOOKUP(T160,Sheet2!$B$2:$N$305,13,0)</f>
        <v>145000</v>
      </c>
      <c r="S160" s="38">
        <f t="shared" si="25"/>
        <v>0</v>
      </c>
      <c r="T160" t="str">
        <f t="shared" si="26"/>
        <v>08/01/2026NL300113</v>
      </c>
      <c r="U160" s="29">
        <f t="shared" si="27"/>
        <v>0</v>
      </c>
      <c r="V160" s="39">
        <f t="shared" si="28"/>
        <v>0</v>
      </c>
    </row>
    <row r="161" spans="1:22" x14ac:dyDescent="0.25">
      <c r="A161" s="4" t="s">
        <v>114</v>
      </c>
      <c r="B161" s="5" t="s">
        <v>83</v>
      </c>
      <c r="C161" s="4" t="s">
        <v>84</v>
      </c>
      <c r="D161" s="5" t="s">
        <v>139</v>
      </c>
      <c r="E161" s="4" t="s">
        <v>27</v>
      </c>
      <c r="F161" s="4" t="s">
        <v>28</v>
      </c>
      <c r="G161" s="4" t="s">
        <v>13</v>
      </c>
      <c r="H161" s="6">
        <v>5</v>
      </c>
      <c r="I161" s="7">
        <v>21000</v>
      </c>
      <c r="J161" s="7">
        <f t="shared" si="21"/>
        <v>105000</v>
      </c>
      <c r="K161" s="8" t="s">
        <v>12</v>
      </c>
      <c r="L161" s="35" t="str">
        <f>+VLOOKUP(E161,MÃ!$B$2:$F$229,2,0)</f>
        <v>NL300119</v>
      </c>
      <c r="M161" s="36">
        <f>+VLOOKUP(T161,Sheet2!$B$2:$N$305,10,0)</f>
        <v>5</v>
      </c>
      <c r="N161" s="37">
        <f>+VLOOKUP(L161,MÃ!$C$2:$F$226,4,0)</f>
        <v>21000</v>
      </c>
      <c r="O161" s="37">
        <f t="shared" si="22"/>
        <v>105000</v>
      </c>
      <c r="P161" s="37">
        <f t="shared" si="23"/>
        <v>0</v>
      </c>
      <c r="Q161" s="35" t="str">
        <f t="shared" si="24"/>
        <v xml:space="preserve"> </v>
      </c>
      <c r="R161" s="27">
        <f>+VLOOKUP(T161,Sheet2!$B$2:$N$305,13,0)</f>
        <v>105000</v>
      </c>
      <c r="S161" s="38">
        <f t="shared" si="25"/>
        <v>0</v>
      </c>
      <c r="T161" t="str">
        <f t="shared" si="26"/>
        <v>08/01/2026NL300119</v>
      </c>
      <c r="U161" s="29">
        <f t="shared" si="27"/>
        <v>0</v>
      </c>
      <c r="V161" s="39">
        <f t="shared" si="28"/>
        <v>0</v>
      </c>
    </row>
    <row r="162" spans="1:22" x14ac:dyDescent="0.25">
      <c r="A162" s="4" t="s">
        <v>114</v>
      </c>
      <c r="B162" s="5" t="s">
        <v>83</v>
      </c>
      <c r="C162" s="4" t="s">
        <v>84</v>
      </c>
      <c r="D162" s="5" t="s">
        <v>139</v>
      </c>
      <c r="E162" s="4" t="s">
        <v>76</v>
      </c>
      <c r="F162" s="4" t="s">
        <v>77</v>
      </c>
      <c r="G162" s="4" t="s">
        <v>13</v>
      </c>
      <c r="H162" s="6">
        <v>1</v>
      </c>
      <c r="I162" s="7">
        <v>38000</v>
      </c>
      <c r="J162" s="7">
        <f t="shared" si="21"/>
        <v>38000</v>
      </c>
      <c r="K162" s="8" t="s">
        <v>12</v>
      </c>
      <c r="L162" s="35" t="str">
        <f>+VLOOKUP(E162,MÃ!$B$2:$F$229,2,0)</f>
        <v>NL300018</v>
      </c>
      <c r="M162" s="36">
        <f>+VLOOKUP(T162,Sheet2!$B$2:$N$305,10,0)</f>
        <v>1</v>
      </c>
      <c r="N162" s="37">
        <f>+VLOOKUP(L162,MÃ!$C$2:$F$226,4,0)</f>
        <v>38000</v>
      </c>
      <c r="O162" s="37">
        <f t="shared" si="22"/>
        <v>38000</v>
      </c>
      <c r="P162" s="37">
        <f t="shared" si="23"/>
        <v>0</v>
      </c>
      <c r="Q162" s="35" t="str">
        <f t="shared" si="24"/>
        <v xml:space="preserve"> </v>
      </c>
      <c r="R162" s="27">
        <f>+VLOOKUP(T162,Sheet2!$B$2:$N$305,13,0)</f>
        <v>38000</v>
      </c>
      <c r="S162" s="38">
        <f t="shared" si="25"/>
        <v>0</v>
      </c>
      <c r="T162" t="str">
        <f t="shared" si="26"/>
        <v>08/01/2026NL300018</v>
      </c>
      <c r="U162" s="29">
        <f t="shared" si="27"/>
        <v>0</v>
      </c>
      <c r="V162" s="39">
        <f t="shared" si="28"/>
        <v>0</v>
      </c>
    </row>
    <row r="163" spans="1:22" x14ac:dyDescent="0.25">
      <c r="A163" s="4" t="s">
        <v>114</v>
      </c>
      <c r="B163" s="5" t="s">
        <v>83</v>
      </c>
      <c r="C163" s="4" t="s">
        <v>84</v>
      </c>
      <c r="D163" s="5" t="s">
        <v>139</v>
      </c>
      <c r="E163" s="4" t="s">
        <v>14</v>
      </c>
      <c r="F163" s="4" t="s">
        <v>15</v>
      </c>
      <c r="G163" s="4" t="s">
        <v>13</v>
      </c>
      <c r="H163" s="6">
        <v>0.5</v>
      </c>
      <c r="I163" s="7">
        <v>50000</v>
      </c>
      <c r="J163" s="7">
        <f t="shared" si="21"/>
        <v>25000</v>
      </c>
      <c r="K163" s="8" t="s">
        <v>12</v>
      </c>
      <c r="L163" s="35" t="str">
        <f>+VLOOKUP(E163,MÃ!$B$2:$F$229,2,0)</f>
        <v>NL300142</v>
      </c>
      <c r="M163" s="36">
        <f>+VLOOKUP(T163,Sheet2!$B$2:$N$305,10,0)</f>
        <v>0.5</v>
      </c>
      <c r="N163" s="37">
        <f>+VLOOKUP(L163,MÃ!$C$2:$F$226,4,0)</f>
        <v>50000</v>
      </c>
      <c r="O163" s="37">
        <f t="shared" si="22"/>
        <v>25000</v>
      </c>
      <c r="P163" s="37">
        <f t="shared" si="23"/>
        <v>0</v>
      </c>
      <c r="Q163" s="35" t="str">
        <f t="shared" si="24"/>
        <v xml:space="preserve"> </v>
      </c>
      <c r="R163" s="27">
        <f>+VLOOKUP(T163,Sheet2!$B$2:$N$305,13,0)</f>
        <v>25000</v>
      </c>
      <c r="S163" s="38">
        <f t="shared" si="25"/>
        <v>0</v>
      </c>
      <c r="T163" t="str">
        <f t="shared" si="26"/>
        <v>08/01/2026NL300142</v>
      </c>
      <c r="U163" s="29">
        <f t="shared" si="27"/>
        <v>0</v>
      </c>
      <c r="V163" s="39">
        <f t="shared" si="28"/>
        <v>0</v>
      </c>
    </row>
    <row r="164" spans="1:22" x14ac:dyDescent="0.25">
      <c r="A164" s="4" t="s">
        <v>114</v>
      </c>
      <c r="B164" s="5" t="s">
        <v>83</v>
      </c>
      <c r="C164" s="4" t="s">
        <v>84</v>
      </c>
      <c r="D164" s="5" t="s">
        <v>139</v>
      </c>
      <c r="E164" s="4" t="s">
        <v>48</v>
      </c>
      <c r="F164" s="4" t="s">
        <v>49</v>
      </c>
      <c r="G164" s="4" t="s">
        <v>13</v>
      </c>
      <c r="H164" s="6">
        <v>5</v>
      </c>
      <c r="I164" s="7">
        <v>62000</v>
      </c>
      <c r="J164" s="7">
        <f t="shared" si="21"/>
        <v>310000</v>
      </c>
      <c r="K164" s="8" t="s">
        <v>12</v>
      </c>
      <c r="L164" s="35" t="str">
        <f>+VLOOKUP(E164,MÃ!$B$2:$F$229,2,0)</f>
        <v>NL300147</v>
      </c>
      <c r="M164" s="36">
        <f>+VLOOKUP(T164,Sheet2!$B$2:$N$305,10,0)</f>
        <v>5</v>
      </c>
      <c r="N164" s="37">
        <f>+VLOOKUP(L164,MÃ!$C$2:$F$226,4,0)</f>
        <v>62000</v>
      </c>
      <c r="O164" s="37">
        <f t="shared" si="22"/>
        <v>310000</v>
      </c>
      <c r="P164" s="37">
        <f t="shared" si="23"/>
        <v>0</v>
      </c>
      <c r="Q164" s="35" t="str">
        <f t="shared" si="24"/>
        <v xml:space="preserve"> </v>
      </c>
      <c r="R164" s="27">
        <f>+VLOOKUP(T164,Sheet2!$B$2:$N$305,13,0)</f>
        <v>310000</v>
      </c>
      <c r="S164" s="38">
        <f t="shared" si="25"/>
        <v>0</v>
      </c>
      <c r="T164" t="str">
        <f t="shared" si="26"/>
        <v>08/01/2026NL300147</v>
      </c>
      <c r="U164" s="29">
        <f t="shared" si="27"/>
        <v>0</v>
      </c>
      <c r="V164" s="39">
        <f t="shared" si="28"/>
        <v>0</v>
      </c>
    </row>
    <row r="165" spans="1:22" x14ac:dyDescent="0.25">
      <c r="A165" s="4" t="s">
        <v>116</v>
      </c>
      <c r="B165" s="5" t="s">
        <v>83</v>
      </c>
      <c r="C165" s="4" t="s">
        <v>84</v>
      </c>
      <c r="D165" s="5" t="s">
        <v>140</v>
      </c>
      <c r="E165" s="4" t="s">
        <v>66</v>
      </c>
      <c r="F165" s="4" t="s">
        <v>67</v>
      </c>
      <c r="G165" s="4" t="s">
        <v>13</v>
      </c>
      <c r="H165" s="6">
        <v>6.4</v>
      </c>
      <c r="I165" s="7">
        <v>18000</v>
      </c>
      <c r="J165" s="7">
        <f t="shared" si="21"/>
        <v>115200</v>
      </c>
      <c r="K165" s="8" t="s">
        <v>12</v>
      </c>
      <c r="L165" s="35" t="str">
        <f>+VLOOKUP(E165,MÃ!$B$2:$F$229,2,0)</f>
        <v>NL300022</v>
      </c>
      <c r="M165" s="36">
        <f>+VLOOKUP(T165,Sheet2!$B$2:$N$305,10,0)</f>
        <v>5.3</v>
      </c>
      <c r="N165" s="37">
        <f>+VLOOKUP(L165,MÃ!$C$2:$F$226,4,0)</f>
        <v>18000</v>
      </c>
      <c r="O165" s="37">
        <f t="shared" si="22"/>
        <v>95400</v>
      </c>
      <c r="P165" s="37">
        <f t="shared" si="23"/>
        <v>19800</v>
      </c>
      <c r="Q165" s="35" t="str">
        <f t="shared" si="24"/>
        <v>SAI SL NHẬN</v>
      </c>
      <c r="R165" s="27">
        <f>+VLOOKUP(T165,Sheet2!$B$2:$N$305,13,0)</f>
        <v>95400</v>
      </c>
      <c r="S165" s="38">
        <f t="shared" si="25"/>
        <v>0</v>
      </c>
      <c r="T165" t="str">
        <f t="shared" si="26"/>
        <v>09/01/2026NL300022</v>
      </c>
      <c r="U165" s="29">
        <f t="shared" si="27"/>
        <v>1.1000000000000005</v>
      </c>
      <c r="V165" s="39">
        <f t="shared" si="28"/>
        <v>0</v>
      </c>
    </row>
    <row r="166" spans="1:22" x14ac:dyDescent="0.25">
      <c r="A166" s="4" t="s">
        <v>116</v>
      </c>
      <c r="B166" s="5" t="s">
        <v>83</v>
      </c>
      <c r="C166" s="4" t="s">
        <v>84</v>
      </c>
      <c r="D166" s="5" t="s">
        <v>140</v>
      </c>
      <c r="E166" s="4" t="s">
        <v>54</v>
      </c>
      <c r="F166" s="4" t="s">
        <v>55</v>
      </c>
      <c r="G166" s="4" t="s">
        <v>13</v>
      </c>
      <c r="H166" s="6">
        <v>0.7</v>
      </c>
      <c r="I166" s="7">
        <v>75000</v>
      </c>
      <c r="J166" s="7">
        <f t="shared" si="21"/>
        <v>52500</v>
      </c>
      <c r="K166" s="8" t="s">
        <v>12</v>
      </c>
      <c r="L166" s="35" t="str">
        <f>+VLOOKUP(E166,MÃ!$B$2:$F$229,2,0)</f>
        <v>NL600067</v>
      </c>
      <c r="M166" s="36">
        <f>+VLOOKUP(T166,Sheet2!$B$2:$N$305,10,0)</f>
        <v>0.7</v>
      </c>
      <c r="N166" s="37">
        <f>+VLOOKUP(L166,MÃ!$C$2:$F$226,4,0)</f>
        <v>75000</v>
      </c>
      <c r="O166" s="37">
        <f t="shared" si="22"/>
        <v>52500</v>
      </c>
      <c r="P166" s="37">
        <f t="shared" si="23"/>
        <v>0</v>
      </c>
      <c r="Q166" s="35" t="str">
        <f t="shared" si="24"/>
        <v xml:space="preserve"> </v>
      </c>
      <c r="R166" s="27">
        <f>+VLOOKUP(T166,Sheet2!$B$2:$N$305,13,0)</f>
        <v>52500</v>
      </c>
      <c r="S166" s="38">
        <f t="shared" si="25"/>
        <v>0</v>
      </c>
      <c r="T166" t="str">
        <f t="shared" si="26"/>
        <v>09/01/2026NL600067</v>
      </c>
      <c r="U166" s="29">
        <f t="shared" si="27"/>
        <v>0</v>
      </c>
      <c r="V166" s="39">
        <f t="shared" si="28"/>
        <v>0</v>
      </c>
    </row>
    <row r="167" spans="1:22" x14ac:dyDescent="0.25">
      <c r="A167" s="4" t="s">
        <v>116</v>
      </c>
      <c r="B167" s="5" t="s">
        <v>83</v>
      </c>
      <c r="C167" s="4" t="s">
        <v>84</v>
      </c>
      <c r="D167" s="5" t="s">
        <v>140</v>
      </c>
      <c r="E167" s="4" t="s">
        <v>56</v>
      </c>
      <c r="F167" s="4" t="s">
        <v>57</v>
      </c>
      <c r="G167" s="4" t="s">
        <v>13</v>
      </c>
      <c r="H167" s="6">
        <v>0.6</v>
      </c>
      <c r="I167" s="7">
        <v>34000</v>
      </c>
      <c r="J167" s="7">
        <f t="shared" si="21"/>
        <v>20400</v>
      </c>
      <c r="K167" s="8" t="s">
        <v>12</v>
      </c>
      <c r="L167" s="35" t="str">
        <f>+VLOOKUP(E167,MÃ!$B$2:$F$229,2,0)</f>
        <v>NL300030</v>
      </c>
      <c r="M167" s="36">
        <f>+VLOOKUP(T167,Sheet2!$B$2:$N$305,10,0)</f>
        <v>0.6</v>
      </c>
      <c r="N167" s="37">
        <f>+VLOOKUP(L167,MÃ!$C$2:$F$226,4,0)</f>
        <v>34000</v>
      </c>
      <c r="O167" s="37">
        <f t="shared" si="22"/>
        <v>20400</v>
      </c>
      <c r="P167" s="37">
        <f t="shared" si="23"/>
        <v>0</v>
      </c>
      <c r="Q167" s="35" t="str">
        <f t="shared" si="24"/>
        <v xml:space="preserve"> </v>
      </c>
      <c r="R167" s="27">
        <f>+VLOOKUP(T167,Sheet2!$B$2:$N$305,13,0)</f>
        <v>20400</v>
      </c>
      <c r="S167" s="38">
        <f t="shared" si="25"/>
        <v>0</v>
      </c>
      <c r="T167" t="str">
        <f t="shared" si="26"/>
        <v>09/01/2026NL300030</v>
      </c>
      <c r="U167" s="29">
        <f t="shared" si="27"/>
        <v>0</v>
      </c>
      <c r="V167" s="39">
        <f t="shared" si="28"/>
        <v>0</v>
      </c>
    </row>
    <row r="168" spans="1:22" x14ac:dyDescent="0.25">
      <c r="A168" s="4" t="s">
        <v>116</v>
      </c>
      <c r="B168" s="5" t="s">
        <v>83</v>
      </c>
      <c r="C168" s="4" t="s">
        <v>84</v>
      </c>
      <c r="D168" s="5" t="s">
        <v>140</v>
      </c>
      <c r="E168" s="4" t="s">
        <v>25</v>
      </c>
      <c r="F168" s="4" t="s">
        <v>26</v>
      </c>
      <c r="G168" s="4" t="s">
        <v>13</v>
      </c>
      <c r="H168" s="6">
        <v>0.5</v>
      </c>
      <c r="I168" s="7">
        <v>22000</v>
      </c>
      <c r="J168" s="7">
        <f t="shared" si="21"/>
        <v>11000</v>
      </c>
      <c r="K168" s="8" t="s">
        <v>12</v>
      </c>
      <c r="L168" s="35" t="str">
        <f>+VLOOKUP(E168,MÃ!$B$2:$F$229,2,0)</f>
        <v>NL300029</v>
      </c>
      <c r="M168" s="36">
        <f>+VLOOKUP(T168,Sheet2!$B$2:$N$305,10,0)</f>
        <v>0.5</v>
      </c>
      <c r="N168" s="37">
        <f>+VLOOKUP(L168,MÃ!$C$2:$F$226,4,0)</f>
        <v>22000</v>
      </c>
      <c r="O168" s="37">
        <f t="shared" si="22"/>
        <v>11000</v>
      </c>
      <c r="P168" s="37">
        <f t="shared" si="23"/>
        <v>0</v>
      </c>
      <c r="Q168" s="35" t="str">
        <f t="shared" si="24"/>
        <v xml:space="preserve"> </v>
      </c>
      <c r="R168" s="27">
        <f>+VLOOKUP(T168,Sheet2!$B$2:$N$305,13,0)</f>
        <v>11000</v>
      </c>
      <c r="S168" s="38">
        <f t="shared" si="25"/>
        <v>0</v>
      </c>
      <c r="T168" t="str">
        <f t="shared" si="26"/>
        <v>09/01/2026NL300029</v>
      </c>
      <c r="U168" s="29">
        <f t="shared" si="27"/>
        <v>0</v>
      </c>
      <c r="V168" s="39">
        <f t="shared" si="28"/>
        <v>0</v>
      </c>
    </row>
    <row r="169" spans="1:22" x14ac:dyDescent="0.25">
      <c r="A169" s="4" t="s">
        <v>116</v>
      </c>
      <c r="B169" s="5" t="s">
        <v>83</v>
      </c>
      <c r="C169" s="4" t="s">
        <v>84</v>
      </c>
      <c r="D169" s="5" t="s">
        <v>140</v>
      </c>
      <c r="E169" s="4" t="s">
        <v>58</v>
      </c>
      <c r="F169" s="4" t="s">
        <v>59</v>
      </c>
      <c r="G169" s="4" t="s">
        <v>13</v>
      </c>
      <c r="H169" s="6">
        <v>0.3</v>
      </c>
      <c r="I169" s="7">
        <v>95000</v>
      </c>
      <c r="J169" s="7">
        <f t="shared" si="21"/>
        <v>28500</v>
      </c>
      <c r="K169" s="8" t="s">
        <v>12</v>
      </c>
      <c r="L169" s="35" t="str">
        <f>+VLOOKUP(E169,MÃ!$B$2:$F$229,2,0)</f>
        <v>NL600068</v>
      </c>
      <c r="M169" s="36">
        <f>+VLOOKUP(T169,Sheet2!$B$2:$N$305,10,0)</f>
        <v>0.3</v>
      </c>
      <c r="N169" s="37">
        <f>+VLOOKUP(L169,MÃ!$C$2:$F$226,4,0)</f>
        <v>95000</v>
      </c>
      <c r="O169" s="37">
        <f t="shared" si="22"/>
        <v>28500</v>
      </c>
      <c r="P169" s="37">
        <f t="shared" si="23"/>
        <v>0</v>
      </c>
      <c r="Q169" s="35" t="str">
        <f t="shared" si="24"/>
        <v xml:space="preserve"> </v>
      </c>
      <c r="R169" s="27">
        <f>+VLOOKUP(T169,Sheet2!$B$2:$N$305,13,0)</f>
        <v>28500</v>
      </c>
      <c r="S169" s="38">
        <f t="shared" si="25"/>
        <v>0</v>
      </c>
      <c r="T169" t="str">
        <f t="shared" si="26"/>
        <v>09/01/2026NL600068</v>
      </c>
      <c r="U169" s="29">
        <f t="shared" si="27"/>
        <v>0</v>
      </c>
      <c r="V169" s="39">
        <f t="shared" si="28"/>
        <v>0</v>
      </c>
    </row>
    <row r="170" spans="1:22" x14ac:dyDescent="0.25">
      <c r="A170" s="4" t="s">
        <v>116</v>
      </c>
      <c r="B170" s="5" t="s">
        <v>83</v>
      </c>
      <c r="C170" s="4" t="s">
        <v>84</v>
      </c>
      <c r="D170" s="5" t="s">
        <v>140</v>
      </c>
      <c r="E170" s="4" t="s">
        <v>50</v>
      </c>
      <c r="F170" s="4" t="s">
        <v>51</v>
      </c>
      <c r="G170" s="4" t="s">
        <v>13</v>
      </c>
      <c r="H170" s="6">
        <v>19</v>
      </c>
      <c r="I170" s="7">
        <v>18000</v>
      </c>
      <c r="J170" s="7">
        <f t="shared" si="21"/>
        <v>342000</v>
      </c>
      <c r="K170" s="8" t="s">
        <v>12</v>
      </c>
      <c r="L170" s="35" t="str">
        <f>+VLOOKUP(E170,MÃ!$B$2:$F$229,2,0)</f>
        <v>NL600004</v>
      </c>
      <c r="M170" s="36">
        <f>+VLOOKUP(T170,Sheet2!$B$2:$N$305,10,0)</f>
        <v>19</v>
      </c>
      <c r="N170" s="37">
        <f>+VLOOKUP(L170,MÃ!$C$2:$F$226,4,0)</f>
        <v>18000</v>
      </c>
      <c r="O170" s="37">
        <f t="shared" si="22"/>
        <v>342000</v>
      </c>
      <c r="P170" s="37">
        <f t="shared" si="23"/>
        <v>0</v>
      </c>
      <c r="Q170" s="35" t="str">
        <f t="shared" si="24"/>
        <v xml:space="preserve"> </v>
      </c>
      <c r="R170" s="27">
        <f>+VLOOKUP(T170,Sheet2!$B$2:$N$305,13,0)</f>
        <v>342000</v>
      </c>
      <c r="S170" s="38">
        <f t="shared" si="25"/>
        <v>0</v>
      </c>
      <c r="T170" t="str">
        <f t="shared" si="26"/>
        <v>09/01/2026NL600004</v>
      </c>
      <c r="U170" s="29">
        <f t="shared" si="27"/>
        <v>0</v>
      </c>
      <c r="V170" s="39">
        <f t="shared" si="28"/>
        <v>0</v>
      </c>
    </row>
    <row r="171" spans="1:22" x14ac:dyDescent="0.25">
      <c r="A171" s="4" t="s">
        <v>116</v>
      </c>
      <c r="B171" s="5" t="s">
        <v>83</v>
      </c>
      <c r="C171" s="4" t="s">
        <v>84</v>
      </c>
      <c r="D171" s="5" t="s">
        <v>140</v>
      </c>
      <c r="E171" s="4" t="s">
        <v>18</v>
      </c>
      <c r="F171" s="4" t="s">
        <v>19</v>
      </c>
      <c r="G171" s="4" t="s">
        <v>13</v>
      </c>
      <c r="H171" s="6">
        <v>1</v>
      </c>
      <c r="I171" s="7">
        <v>55000</v>
      </c>
      <c r="J171" s="7">
        <f t="shared" si="21"/>
        <v>55000</v>
      </c>
      <c r="K171" s="8" t="s">
        <v>12</v>
      </c>
      <c r="L171" s="35" t="str">
        <f>+VLOOKUP(E171,MÃ!$B$2:$F$229,2,0)</f>
        <v>NL300058</v>
      </c>
      <c r="M171" s="36">
        <f>+VLOOKUP(T171,Sheet2!$B$2:$N$305,10,0)</f>
        <v>1</v>
      </c>
      <c r="N171" s="37">
        <f>+VLOOKUP(L171,MÃ!$C$2:$F$226,4,0)</f>
        <v>55000</v>
      </c>
      <c r="O171" s="37">
        <f t="shared" si="22"/>
        <v>55000</v>
      </c>
      <c r="P171" s="37">
        <f t="shared" si="23"/>
        <v>0</v>
      </c>
      <c r="Q171" s="35" t="str">
        <f t="shared" si="24"/>
        <v xml:space="preserve"> </v>
      </c>
      <c r="R171" s="27">
        <f>+VLOOKUP(T171,Sheet2!$B$2:$N$305,13,0)</f>
        <v>55000</v>
      </c>
      <c r="S171" s="38">
        <f t="shared" si="25"/>
        <v>0</v>
      </c>
      <c r="T171" t="str">
        <f t="shared" si="26"/>
        <v>09/01/2026NL300058</v>
      </c>
      <c r="U171" s="29">
        <f t="shared" si="27"/>
        <v>0</v>
      </c>
      <c r="V171" s="39">
        <f t="shared" si="28"/>
        <v>0</v>
      </c>
    </row>
    <row r="172" spans="1:22" x14ac:dyDescent="0.25">
      <c r="A172" s="4" t="s">
        <v>116</v>
      </c>
      <c r="B172" s="5" t="s">
        <v>83</v>
      </c>
      <c r="C172" s="4" t="s">
        <v>84</v>
      </c>
      <c r="D172" s="5" t="s">
        <v>140</v>
      </c>
      <c r="E172" s="4" t="s">
        <v>70</v>
      </c>
      <c r="F172" s="4" t="s">
        <v>71</v>
      </c>
      <c r="G172" s="4" t="s">
        <v>13</v>
      </c>
      <c r="H172" s="6">
        <v>1.4</v>
      </c>
      <c r="I172" s="7">
        <v>30000</v>
      </c>
      <c r="J172" s="7">
        <f t="shared" si="21"/>
        <v>42000</v>
      </c>
      <c r="K172" s="8" t="s">
        <v>12</v>
      </c>
      <c r="L172" s="35" t="str">
        <f>+VLOOKUP(E172,MÃ!$B$2:$F$229,2,0)</f>
        <v>NL300209</v>
      </c>
      <c r="M172" s="36">
        <f>+VLOOKUP(T172,Sheet2!$B$2:$N$305,10,0)</f>
        <v>1.4</v>
      </c>
      <c r="N172" s="37">
        <f>+VLOOKUP(L172,MÃ!$C$2:$F$226,4,0)</f>
        <v>30000</v>
      </c>
      <c r="O172" s="37">
        <f t="shared" si="22"/>
        <v>42000</v>
      </c>
      <c r="P172" s="37">
        <f t="shared" si="23"/>
        <v>0</v>
      </c>
      <c r="Q172" s="35" t="str">
        <f t="shared" si="24"/>
        <v xml:space="preserve"> </v>
      </c>
      <c r="R172" s="27">
        <f>+VLOOKUP(T172,Sheet2!$B$2:$N$305,13,0)</f>
        <v>42000</v>
      </c>
      <c r="S172" s="38">
        <f t="shared" si="25"/>
        <v>0</v>
      </c>
      <c r="T172" t="str">
        <f t="shared" si="26"/>
        <v>09/01/2026NL300209</v>
      </c>
      <c r="U172" s="29">
        <f t="shared" si="27"/>
        <v>0</v>
      </c>
      <c r="V172" s="39">
        <f t="shared" si="28"/>
        <v>0</v>
      </c>
    </row>
    <row r="173" spans="1:22" x14ac:dyDescent="0.25">
      <c r="A173" s="4" t="s">
        <v>116</v>
      </c>
      <c r="B173" s="5" t="s">
        <v>83</v>
      </c>
      <c r="C173" s="4" t="s">
        <v>84</v>
      </c>
      <c r="D173" s="5" t="s">
        <v>140</v>
      </c>
      <c r="E173" s="4" t="s">
        <v>74</v>
      </c>
      <c r="F173" s="4" t="s">
        <v>75</v>
      </c>
      <c r="G173" s="4" t="s">
        <v>13</v>
      </c>
      <c r="H173" s="6">
        <v>2</v>
      </c>
      <c r="I173" s="7">
        <v>22000</v>
      </c>
      <c r="J173" s="7">
        <f t="shared" si="21"/>
        <v>44000</v>
      </c>
      <c r="K173" s="8" t="s">
        <v>12</v>
      </c>
      <c r="L173" s="35" t="str">
        <f>+VLOOKUP(E173,MÃ!$B$2:$F$229,2,0)</f>
        <v>NL300084</v>
      </c>
      <c r="M173" s="36">
        <f>+VLOOKUP(T173,Sheet2!$B$2:$N$305,10,0)</f>
        <v>2</v>
      </c>
      <c r="N173" s="37">
        <f>+VLOOKUP(L173,MÃ!$C$2:$F$226,4,0)</f>
        <v>22000</v>
      </c>
      <c r="O173" s="37">
        <f t="shared" si="22"/>
        <v>44000</v>
      </c>
      <c r="P173" s="37">
        <f t="shared" si="23"/>
        <v>0</v>
      </c>
      <c r="Q173" s="35" t="str">
        <f t="shared" si="24"/>
        <v xml:space="preserve"> </v>
      </c>
      <c r="R173" s="27">
        <f>+VLOOKUP(T173,Sheet2!$B$2:$N$305,13,0)</f>
        <v>44000</v>
      </c>
      <c r="S173" s="38">
        <f t="shared" si="25"/>
        <v>0</v>
      </c>
      <c r="T173" t="str">
        <f t="shared" si="26"/>
        <v>09/01/2026NL300084</v>
      </c>
      <c r="U173" s="29">
        <f t="shared" si="27"/>
        <v>0</v>
      </c>
      <c r="V173" s="39">
        <f t="shared" si="28"/>
        <v>0</v>
      </c>
    </row>
    <row r="174" spans="1:22" x14ac:dyDescent="0.25">
      <c r="A174" s="4" t="s">
        <v>116</v>
      </c>
      <c r="B174" s="5" t="s">
        <v>83</v>
      </c>
      <c r="C174" s="4" t="s">
        <v>84</v>
      </c>
      <c r="D174" s="5" t="s">
        <v>140</v>
      </c>
      <c r="E174" s="4" t="s">
        <v>42</v>
      </c>
      <c r="F174" s="4" t="s">
        <v>43</v>
      </c>
      <c r="G174" s="4" t="s">
        <v>13</v>
      </c>
      <c r="H174" s="6">
        <v>3</v>
      </c>
      <c r="I174" s="7">
        <v>45000</v>
      </c>
      <c r="J174" s="7">
        <f t="shared" si="21"/>
        <v>135000</v>
      </c>
      <c r="K174" s="8" t="s">
        <v>12</v>
      </c>
      <c r="L174" s="35" t="str">
        <f>+VLOOKUP(E174,MÃ!$B$2:$F$229,2,0)</f>
        <v>NL300096</v>
      </c>
      <c r="M174" s="36">
        <f>+VLOOKUP(T174,Sheet2!$B$2:$N$305,10,0)</f>
        <v>3</v>
      </c>
      <c r="N174" s="37">
        <f>+VLOOKUP(L174,MÃ!$C$2:$F$226,4,0)</f>
        <v>45000</v>
      </c>
      <c r="O174" s="37">
        <f t="shared" si="22"/>
        <v>135000</v>
      </c>
      <c r="P174" s="37">
        <f t="shared" si="23"/>
        <v>0</v>
      </c>
      <c r="Q174" s="35" t="str">
        <f t="shared" si="24"/>
        <v xml:space="preserve"> </v>
      </c>
      <c r="R174" s="27">
        <f>+VLOOKUP(T174,Sheet2!$B$2:$N$305,13,0)</f>
        <v>135000</v>
      </c>
      <c r="S174" s="38">
        <f t="shared" si="25"/>
        <v>0</v>
      </c>
      <c r="T174" t="str">
        <f t="shared" si="26"/>
        <v>09/01/2026NL300096</v>
      </c>
      <c r="U174" s="29">
        <f t="shared" si="27"/>
        <v>0</v>
      </c>
      <c r="V174" s="39">
        <f t="shared" si="28"/>
        <v>0</v>
      </c>
    </row>
    <row r="175" spans="1:22" ht="28.5" x14ac:dyDescent="0.25">
      <c r="A175" s="4" t="s">
        <v>116</v>
      </c>
      <c r="B175" s="5" t="s">
        <v>83</v>
      </c>
      <c r="C175" s="4" t="s">
        <v>84</v>
      </c>
      <c r="D175" s="5" t="s">
        <v>140</v>
      </c>
      <c r="E175" s="4" t="s">
        <v>44</v>
      </c>
      <c r="F175" s="4" t="s">
        <v>45</v>
      </c>
      <c r="G175" s="4" t="s">
        <v>13</v>
      </c>
      <c r="H175" s="6">
        <v>2.1</v>
      </c>
      <c r="I175" s="7">
        <v>95000</v>
      </c>
      <c r="J175" s="7">
        <f t="shared" si="21"/>
        <v>199500</v>
      </c>
      <c r="K175" s="8" t="s">
        <v>12</v>
      </c>
      <c r="L175" s="35" t="str">
        <f>+VLOOKUP(E175,MÃ!$B$2:$F$229,2,0)</f>
        <v>NL300098</v>
      </c>
      <c r="M175" s="36">
        <f>+VLOOKUP(T175,Sheet2!$B$2:$N$305,10,0)</f>
        <v>2.1</v>
      </c>
      <c r="N175" s="37">
        <f>+VLOOKUP(L175,MÃ!$C$2:$F$226,4,0)</f>
        <v>95000</v>
      </c>
      <c r="O175" s="37">
        <f t="shared" si="22"/>
        <v>199500</v>
      </c>
      <c r="P175" s="37">
        <f t="shared" si="23"/>
        <v>0</v>
      </c>
      <c r="Q175" s="35" t="str">
        <f t="shared" si="24"/>
        <v xml:space="preserve"> </v>
      </c>
      <c r="R175" s="27">
        <f>+VLOOKUP(T175,Sheet2!$B$2:$N$305,13,0)</f>
        <v>199500</v>
      </c>
      <c r="S175" s="38">
        <f t="shared" si="25"/>
        <v>0</v>
      </c>
      <c r="T175" t="str">
        <f t="shared" si="26"/>
        <v>09/01/2026NL300098</v>
      </c>
      <c r="U175" s="29">
        <f t="shared" si="27"/>
        <v>0</v>
      </c>
      <c r="V175" s="39">
        <f t="shared" si="28"/>
        <v>0</v>
      </c>
    </row>
    <row r="176" spans="1:22" x14ac:dyDescent="0.25">
      <c r="A176" s="4" t="s">
        <v>116</v>
      </c>
      <c r="B176" s="5" t="s">
        <v>83</v>
      </c>
      <c r="C176" s="4" t="s">
        <v>84</v>
      </c>
      <c r="D176" s="5" t="s">
        <v>140</v>
      </c>
      <c r="E176" s="4" t="s">
        <v>20</v>
      </c>
      <c r="F176" s="4" t="s">
        <v>21</v>
      </c>
      <c r="G176" s="4" t="s">
        <v>13</v>
      </c>
      <c r="H176" s="6">
        <v>1</v>
      </c>
      <c r="I176" s="7">
        <v>45000</v>
      </c>
      <c r="J176" s="7">
        <f t="shared" si="21"/>
        <v>45000</v>
      </c>
      <c r="K176" s="8" t="s">
        <v>12</v>
      </c>
      <c r="L176" s="35" t="str">
        <f>+VLOOKUP(E176,MÃ!$B$2:$F$229,2,0)</f>
        <v>NL300085</v>
      </c>
      <c r="M176" s="36">
        <f>+VLOOKUP(T176,Sheet2!$B$2:$N$305,10,0)</f>
        <v>1</v>
      </c>
      <c r="N176" s="37">
        <f>+VLOOKUP(L176,MÃ!$C$2:$F$226,4,0)</f>
        <v>45000</v>
      </c>
      <c r="O176" s="37">
        <f t="shared" si="22"/>
        <v>45000</v>
      </c>
      <c r="P176" s="37">
        <f t="shared" si="23"/>
        <v>0</v>
      </c>
      <c r="Q176" s="35" t="str">
        <f t="shared" si="24"/>
        <v xml:space="preserve"> </v>
      </c>
      <c r="R176" s="27">
        <f>+VLOOKUP(T176,Sheet2!$B$2:$N$305,13,0)</f>
        <v>45000</v>
      </c>
      <c r="S176" s="38">
        <f t="shared" si="25"/>
        <v>0</v>
      </c>
      <c r="T176" t="str">
        <f t="shared" si="26"/>
        <v>09/01/2026NL300085</v>
      </c>
      <c r="U176" s="29">
        <f t="shared" si="27"/>
        <v>0</v>
      </c>
      <c r="V176" s="39">
        <f t="shared" si="28"/>
        <v>0</v>
      </c>
    </row>
    <row r="177" spans="1:22" x14ac:dyDescent="0.25">
      <c r="A177" s="4" t="s">
        <v>116</v>
      </c>
      <c r="B177" s="5" t="s">
        <v>83</v>
      </c>
      <c r="C177" s="4" t="s">
        <v>84</v>
      </c>
      <c r="D177" s="5" t="s">
        <v>140</v>
      </c>
      <c r="E177" s="4" t="s">
        <v>46</v>
      </c>
      <c r="F177" s="4" t="s">
        <v>47</v>
      </c>
      <c r="G177" s="4" t="s">
        <v>13</v>
      </c>
      <c r="H177" s="6">
        <v>0.2</v>
      </c>
      <c r="I177" s="7">
        <v>70000</v>
      </c>
      <c r="J177" s="7">
        <f t="shared" si="21"/>
        <v>14000</v>
      </c>
      <c r="K177" s="8" t="s">
        <v>12</v>
      </c>
      <c r="L177" s="35" t="str">
        <f>+VLOOKUP(E177,MÃ!$B$2:$F$229,2,0)</f>
        <v>NL300126</v>
      </c>
      <c r="M177" s="36">
        <f>+VLOOKUP(T177,Sheet2!$B$2:$N$305,10,0)</f>
        <v>0.2</v>
      </c>
      <c r="N177" s="37">
        <f>+VLOOKUP(L177,MÃ!$C$2:$F$226,4,0)</f>
        <v>70000</v>
      </c>
      <c r="O177" s="37">
        <f t="shared" si="22"/>
        <v>14000</v>
      </c>
      <c r="P177" s="37">
        <f t="shared" si="23"/>
        <v>0</v>
      </c>
      <c r="Q177" s="35" t="str">
        <f t="shared" si="24"/>
        <v xml:space="preserve"> </v>
      </c>
      <c r="R177" s="27">
        <f>+VLOOKUP(T177,Sheet2!$B$2:$N$305,13,0)</f>
        <v>14000</v>
      </c>
      <c r="S177" s="38">
        <f t="shared" si="25"/>
        <v>0</v>
      </c>
      <c r="T177" t="str">
        <f t="shared" si="26"/>
        <v>09/01/2026NL300126</v>
      </c>
      <c r="U177" s="29">
        <f t="shared" si="27"/>
        <v>0</v>
      </c>
      <c r="V177" s="39">
        <f t="shared" si="28"/>
        <v>0</v>
      </c>
    </row>
    <row r="178" spans="1:22" x14ac:dyDescent="0.25">
      <c r="A178" s="4" t="s">
        <v>116</v>
      </c>
      <c r="B178" s="5" t="s">
        <v>83</v>
      </c>
      <c r="C178" s="4" t="s">
        <v>84</v>
      </c>
      <c r="D178" s="5" t="s">
        <v>140</v>
      </c>
      <c r="E178" s="4" t="s">
        <v>29</v>
      </c>
      <c r="F178" s="4" t="s">
        <v>30</v>
      </c>
      <c r="G178" s="4" t="s">
        <v>13</v>
      </c>
      <c r="H178" s="6">
        <v>1.2</v>
      </c>
      <c r="I178" s="7">
        <v>145000</v>
      </c>
      <c r="J178" s="7">
        <f t="shared" si="21"/>
        <v>174000</v>
      </c>
      <c r="K178" s="8" t="s">
        <v>12</v>
      </c>
      <c r="L178" s="35" t="str">
        <f>+VLOOKUP(E178,MÃ!$B$2:$F$229,2,0)</f>
        <v>NL300113</v>
      </c>
      <c r="M178" s="36">
        <f>+VLOOKUP(T178,Sheet2!$B$2:$N$305,10,0)</f>
        <v>1.2</v>
      </c>
      <c r="N178" s="37">
        <f>+VLOOKUP(L178,MÃ!$C$2:$F$226,4,0)</f>
        <v>145000</v>
      </c>
      <c r="O178" s="37">
        <f t="shared" si="22"/>
        <v>174000</v>
      </c>
      <c r="P178" s="37">
        <f t="shared" si="23"/>
        <v>0</v>
      </c>
      <c r="Q178" s="35" t="str">
        <f t="shared" si="24"/>
        <v xml:space="preserve"> </v>
      </c>
      <c r="R178" s="27">
        <f>+VLOOKUP(T178,Sheet2!$B$2:$N$305,13,0)</f>
        <v>174000</v>
      </c>
      <c r="S178" s="38">
        <f t="shared" si="25"/>
        <v>0</v>
      </c>
      <c r="T178" t="str">
        <f t="shared" si="26"/>
        <v>09/01/2026NL300113</v>
      </c>
      <c r="U178" s="29">
        <f t="shared" si="27"/>
        <v>0</v>
      </c>
      <c r="V178" s="39">
        <f t="shared" si="28"/>
        <v>0</v>
      </c>
    </row>
    <row r="179" spans="1:22" x14ac:dyDescent="0.25">
      <c r="A179" s="4" t="s">
        <v>116</v>
      </c>
      <c r="B179" s="5" t="s">
        <v>83</v>
      </c>
      <c r="C179" s="4" t="s">
        <v>84</v>
      </c>
      <c r="D179" s="5" t="s">
        <v>140</v>
      </c>
      <c r="E179" s="4" t="s">
        <v>27</v>
      </c>
      <c r="F179" s="4" t="s">
        <v>28</v>
      </c>
      <c r="G179" s="4" t="s">
        <v>13</v>
      </c>
      <c r="H179" s="6">
        <v>5</v>
      </c>
      <c r="I179" s="7">
        <v>21000</v>
      </c>
      <c r="J179" s="7">
        <f t="shared" si="21"/>
        <v>105000</v>
      </c>
      <c r="K179" s="8" t="s">
        <v>12</v>
      </c>
      <c r="L179" s="35" t="str">
        <f>+VLOOKUP(E179,MÃ!$B$2:$F$229,2,0)</f>
        <v>NL300119</v>
      </c>
      <c r="M179" s="36">
        <f>+VLOOKUP(T179,Sheet2!$B$2:$N$305,10,0)</f>
        <v>1</v>
      </c>
      <c r="N179" s="37">
        <f>+VLOOKUP(L179,MÃ!$C$2:$F$226,4,0)</f>
        <v>21000</v>
      </c>
      <c r="O179" s="37">
        <f t="shared" si="22"/>
        <v>21000</v>
      </c>
      <c r="P179" s="37">
        <f t="shared" si="23"/>
        <v>84000</v>
      </c>
      <c r="Q179" s="35" t="str">
        <f t="shared" si="24"/>
        <v>SAI SL NHẬN</v>
      </c>
      <c r="R179" s="27">
        <f>+VLOOKUP(T179,Sheet2!$B$2:$N$305,13,0)</f>
        <v>21000</v>
      </c>
      <c r="S179" s="38">
        <f t="shared" si="25"/>
        <v>0</v>
      </c>
      <c r="T179" t="str">
        <f t="shared" si="26"/>
        <v>09/01/2026NL300119</v>
      </c>
      <c r="U179" s="29">
        <f t="shared" si="27"/>
        <v>4</v>
      </c>
      <c r="V179" s="39">
        <f t="shared" si="28"/>
        <v>0</v>
      </c>
    </row>
    <row r="180" spans="1:22" x14ac:dyDescent="0.25">
      <c r="A180" s="4" t="s">
        <v>116</v>
      </c>
      <c r="B180" s="5" t="s">
        <v>83</v>
      </c>
      <c r="C180" s="4" t="s">
        <v>84</v>
      </c>
      <c r="D180" s="5" t="s">
        <v>140</v>
      </c>
      <c r="E180" s="4" t="s">
        <v>76</v>
      </c>
      <c r="F180" s="4" t="s">
        <v>77</v>
      </c>
      <c r="G180" s="4" t="s">
        <v>13</v>
      </c>
      <c r="H180" s="6">
        <v>1</v>
      </c>
      <c r="I180" s="7">
        <v>38000</v>
      </c>
      <c r="J180" s="7">
        <f t="shared" si="21"/>
        <v>38000</v>
      </c>
      <c r="K180" s="8" t="s">
        <v>12</v>
      </c>
      <c r="L180" s="35" t="str">
        <f>+VLOOKUP(E180,MÃ!$B$2:$F$229,2,0)</f>
        <v>NL300018</v>
      </c>
      <c r="M180" s="36">
        <f>+VLOOKUP(T180,Sheet2!$B$2:$N$305,10,0)</f>
        <v>0.6</v>
      </c>
      <c r="N180" s="37">
        <f>+VLOOKUP(L180,MÃ!$C$2:$F$226,4,0)</f>
        <v>38000</v>
      </c>
      <c r="O180" s="37">
        <f t="shared" si="22"/>
        <v>22800</v>
      </c>
      <c r="P180" s="37">
        <f t="shared" si="23"/>
        <v>15200</v>
      </c>
      <c r="Q180" s="35" t="str">
        <f t="shared" si="24"/>
        <v>SAI SL NHẬN</v>
      </c>
      <c r="R180" s="27">
        <f>+VLOOKUP(T180,Sheet2!$B$2:$N$305,13,0)</f>
        <v>22800</v>
      </c>
      <c r="S180" s="38">
        <f t="shared" si="25"/>
        <v>0</v>
      </c>
      <c r="T180" t="str">
        <f t="shared" si="26"/>
        <v>09/01/2026NL300018</v>
      </c>
      <c r="U180" s="29">
        <f t="shared" si="27"/>
        <v>0.4</v>
      </c>
      <c r="V180" s="39">
        <f t="shared" si="28"/>
        <v>0</v>
      </c>
    </row>
    <row r="181" spans="1:22" x14ac:dyDescent="0.25">
      <c r="A181" s="4" t="s">
        <v>116</v>
      </c>
      <c r="B181" s="5" t="s">
        <v>83</v>
      </c>
      <c r="C181" s="4" t="s">
        <v>84</v>
      </c>
      <c r="D181" s="5" t="s">
        <v>140</v>
      </c>
      <c r="E181" s="4" t="s">
        <v>14</v>
      </c>
      <c r="F181" s="4" t="s">
        <v>15</v>
      </c>
      <c r="G181" s="4" t="s">
        <v>13</v>
      </c>
      <c r="H181" s="6">
        <v>1.1000000000000001</v>
      </c>
      <c r="I181" s="7">
        <v>50000</v>
      </c>
      <c r="J181" s="7">
        <f t="shared" si="21"/>
        <v>55000.000000000007</v>
      </c>
      <c r="K181" s="8" t="s">
        <v>12</v>
      </c>
      <c r="L181" s="35" t="str">
        <f>+VLOOKUP(E181,MÃ!$B$2:$F$229,2,0)</f>
        <v>NL300142</v>
      </c>
      <c r="M181" s="36">
        <f>+VLOOKUP(T181,Sheet2!$B$2:$N$305,10,0)</f>
        <v>1.1000000000000001</v>
      </c>
      <c r="N181" s="37">
        <f>+VLOOKUP(L181,MÃ!$C$2:$F$226,4,0)</f>
        <v>50000</v>
      </c>
      <c r="O181" s="37">
        <f t="shared" si="22"/>
        <v>55000.000000000007</v>
      </c>
      <c r="P181" s="37">
        <f t="shared" si="23"/>
        <v>0</v>
      </c>
      <c r="Q181" s="35" t="str">
        <f t="shared" si="24"/>
        <v xml:space="preserve"> </v>
      </c>
      <c r="R181" s="27">
        <f>+VLOOKUP(T181,Sheet2!$B$2:$N$305,13,0)</f>
        <v>55000.000000000007</v>
      </c>
      <c r="S181" s="38">
        <f t="shared" si="25"/>
        <v>0</v>
      </c>
      <c r="T181" t="str">
        <f t="shared" si="26"/>
        <v>09/01/2026NL300142</v>
      </c>
      <c r="U181" s="29">
        <f t="shared" si="27"/>
        <v>0</v>
      </c>
      <c r="V181" s="39">
        <f t="shared" si="28"/>
        <v>0</v>
      </c>
    </row>
    <row r="182" spans="1:22" x14ac:dyDescent="0.25">
      <c r="A182" s="4" t="s">
        <v>116</v>
      </c>
      <c r="B182" s="5" t="s">
        <v>83</v>
      </c>
      <c r="C182" s="4" t="s">
        <v>84</v>
      </c>
      <c r="D182" s="5" t="s">
        <v>140</v>
      </c>
      <c r="E182" s="4" t="s">
        <v>48</v>
      </c>
      <c r="F182" s="4" t="s">
        <v>49</v>
      </c>
      <c r="G182" s="4" t="s">
        <v>13</v>
      </c>
      <c r="H182" s="6">
        <v>4</v>
      </c>
      <c r="I182" s="7">
        <v>62000</v>
      </c>
      <c r="J182" s="7">
        <f t="shared" si="21"/>
        <v>248000</v>
      </c>
      <c r="K182" s="8" t="s">
        <v>12</v>
      </c>
      <c r="L182" s="35" t="str">
        <f>+VLOOKUP(E182,MÃ!$B$2:$F$229,2,0)</f>
        <v>NL300147</v>
      </c>
      <c r="M182" s="36">
        <f>+VLOOKUP(T182,Sheet2!$B$2:$N$305,10,0)</f>
        <v>4</v>
      </c>
      <c r="N182" s="37">
        <f>+VLOOKUP(L182,MÃ!$C$2:$F$226,4,0)</f>
        <v>62000</v>
      </c>
      <c r="O182" s="37">
        <f t="shared" si="22"/>
        <v>248000</v>
      </c>
      <c r="P182" s="37">
        <f t="shared" si="23"/>
        <v>0</v>
      </c>
      <c r="Q182" s="35" t="str">
        <f t="shared" si="24"/>
        <v xml:space="preserve"> </v>
      </c>
      <c r="R182" s="27">
        <f>+VLOOKUP(T182,Sheet2!$B$2:$N$305,13,0)</f>
        <v>248000</v>
      </c>
      <c r="S182" s="38">
        <f t="shared" si="25"/>
        <v>0</v>
      </c>
      <c r="T182" t="str">
        <f t="shared" si="26"/>
        <v>09/01/2026NL300147</v>
      </c>
      <c r="U182" s="29">
        <f t="shared" si="27"/>
        <v>0</v>
      </c>
      <c r="V182" s="39">
        <f t="shared" si="28"/>
        <v>0</v>
      </c>
    </row>
    <row r="183" spans="1:22" x14ac:dyDescent="0.25">
      <c r="A183" s="4" t="s">
        <v>116</v>
      </c>
      <c r="B183" s="5" t="s">
        <v>83</v>
      </c>
      <c r="C183" s="4" t="s">
        <v>84</v>
      </c>
      <c r="D183" s="5" t="s">
        <v>141</v>
      </c>
      <c r="E183" s="4" t="s">
        <v>42</v>
      </c>
      <c r="F183" s="4" t="s">
        <v>43</v>
      </c>
      <c r="G183" s="4" t="s">
        <v>13</v>
      </c>
      <c r="H183" s="6">
        <v>3</v>
      </c>
      <c r="I183" s="7">
        <v>45000</v>
      </c>
      <c r="J183" s="7">
        <f t="shared" si="21"/>
        <v>135000</v>
      </c>
      <c r="K183" s="8" t="s">
        <v>12</v>
      </c>
      <c r="L183" s="35" t="str">
        <f>+VLOOKUP(E183,MÃ!$B$2:$F$229,2,0)</f>
        <v>NL300096</v>
      </c>
      <c r="M183" s="36">
        <v>0</v>
      </c>
      <c r="N183" s="37">
        <f>+VLOOKUP(L183,MÃ!$C$2:$F$226,4,0)</f>
        <v>45000</v>
      </c>
      <c r="O183" s="37">
        <f t="shared" si="22"/>
        <v>0</v>
      </c>
      <c r="P183" s="37">
        <f t="shared" si="23"/>
        <v>135000</v>
      </c>
      <c r="Q183" s="35" t="str">
        <f t="shared" si="24"/>
        <v>SAI SL NHẬN</v>
      </c>
      <c r="R183" s="27">
        <v>0</v>
      </c>
      <c r="S183" s="38">
        <f t="shared" si="25"/>
        <v>0</v>
      </c>
      <c r="T183" t="str">
        <f t="shared" si="26"/>
        <v>09/01/2026NL300096</v>
      </c>
      <c r="U183" s="29">
        <f t="shared" si="27"/>
        <v>3</v>
      </c>
      <c r="V183" s="39">
        <f t="shared" si="28"/>
        <v>0</v>
      </c>
    </row>
    <row r="184" spans="1:22" x14ac:dyDescent="0.25">
      <c r="A184" s="4" t="s">
        <v>116</v>
      </c>
      <c r="B184" s="5" t="s">
        <v>83</v>
      </c>
      <c r="C184" s="4" t="s">
        <v>84</v>
      </c>
      <c r="D184" s="5" t="s">
        <v>141</v>
      </c>
      <c r="E184" s="4" t="s">
        <v>27</v>
      </c>
      <c r="F184" s="4" t="s">
        <v>28</v>
      </c>
      <c r="G184" s="4" t="s">
        <v>13</v>
      </c>
      <c r="H184" s="6">
        <v>2</v>
      </c>
      <c r="I184" s="7">
        <v>21000</v>
      </c>
      <c r="J184" s="7">
        <f t="shared" si="21"/>
        <v>42000</v>
      </c>
      <c r="K184" s="8" t="s">
        <v>12</v>
      </c>
      <c r="L184" s="35" t="str">
        <f>+VLOOKUP(E184,MÃ!$B$2:$F$229,2,0)</f>
        <v>NL300119</v>
      </c>
      <c r="M184" s="36">
        <v>2</v>
      </c>
      <c r="N184" s="37">
        <f>+VLOOKUP(L184,MÃ!$C$2:$F$226,4,0)</f>
        <v>21000</v>
      </c>
      <c r="O184" s="37">
        <f t="shared" si="22"/>
        <v>42000</v>
      </c>
      <c r="P184" s="37">
        <f t="shared" si="23"/>
        <v>0</v>
      </c>
      <c r="Q184" s="35" t="str">
        <f t="shared" si="24"/>
        <v xml:space="preserve"> </v>
      </c>
      <c r="R184" s="27">
        <f>+VLOOKUP(T184,Sheet2!$B$2:$N$305,13,0)</f>
        <v>21000</v>
      </c>
      <c r="S184" s="38">
        <f t="shared" si="25"/>
        <v>21000</v>
      </c>
      <c r="T184" t="str">
        <f t="shared" si="26"/>
        <v>09/01/2026NL300119</v>
      </c>
      <c r="U184" s="29">
        <f t="shared" si="27"/>
        <v>0</v>
      </c>
      <c r="V184" s="39">
        <f t="shared" si="28"/>
        <v>0</v>
      </c>
    </row>
    <row r="185" spans="1:22" x14ac:dyDescent="0.25">
      <c r="A185" s="4" t="s">
        <v>118</v>
      </c>
      <c r="B185" s="5" t="s">
        <v>83</v>
      </c>
      <c r="C185" s="4" t="s">
        <v>84</v>
      </c>
      <c r="D185" s="5" t="s">
        <v>142</v>
      </c>
      <c r="E185" s="4" t="s">
        <v>31</v>
      </c>
      <c r="F185" s="4" t="s">
        <v>32</v>
      </c>
      <c r="G185" s="4" t="s">
        <v>33</v>
      </c>
      <c r="H185" s="6">
        <v>3</v>
      </c>
      <c r="I185" s="7">
        <v>8500</v>
      </c>
      <c r="J185" s="7">
        <f t="shared" si="21"/>
        <v>25500</v>
      </c>
      <c r="K185" s="8" t="s">
        <v>12</v>
      </c>
      <c r="L185" s="35" t="str">
        <f>+VLOOKUP(E185,MÃ!$B$2:$F$229,2,0)</f>
        <v>NL300107</v>
      </c>
      <c r="M185" s="36">
        <f>+VLOOKUP(T185,Sheet2!$B$2:$N$305,10,0)</f>
        <v>3</v>
      </c>
      <c r="N185" s="37">
        <f>+VLOOKUP(L185,MÃ!$C$2:$F$226,4,0)</f>
        <v>8500</v>
      </c>
      <c r="O185" s="37">
        <f t="shared" si="22"/>
        <v>25500</v>
      </c>
      <c r="P185" s="37">
        <f t="shared" si="23"/>
        <v>0</v>
      </c>
      <c r="Q185" s="35" t="str">
        <f t="shared" si="24"/>
        <v xml:space="preserve"> </v>
      </c>
      <c r="R185" s="27">
        <f>+VLOOKUP(T185,Sheet2!$B$2:$N$305,13,0)</f>
        <v>25500</v>
      </c>
      <c r="S185" s="38">
        <f t="shared" si="25"/>
        <v>0</v>
      </c>
      <c r="T185" t="str">
        <f t="shared" si="26"/>
        <v>10/01/2026NL300107</v>
      </c>
      <c r="U185" s="29">
        <f t="shared" si="27"/>
        <v>0</v>
      </c>
      <c r="V185" s="39">
        <f t="shared" si="28"/>
        <v>0</v>
      </c>
    </row>
    <row r="186" spans="1:22" x14ac:dyDescent="0.25">
      <c r="A186" s="4" t="s">
        <v>118</v>
      </c>
      <c r="B186" s="5" t="s">
        <v>83</v>
      </c>
      <c r="C186" s="4" t="s">
        <v>84</v>
      </c>
      <c r="D186" s="5" t="s">
        <v>142</v>
      </c>
      <c r="E186" s="4" t="s">
        <v>34</v>
      </c>
      <c r="F186" s="4" t="s">
        <v>35</v>
      </c>
      <c r="G186" s="4" t="s">
        <v>13</v>
      </c>
      <c r="H186" s="6">
        <v>1.5</v>
      </c>
      <c r="I186" s="7">
        <v>30000</v>
      </c>
      <c r="J186" s="7">
        <f t="shared" si="21"/>
        <v>45000</v>
      </c>
      <c r="K186" s="8" t="s">
        <v>12</v>
      </c>
      <c r="L186" s="35" t="str">
        <f>+VLOOKUP(E186,MÃ!$B$2:$F$229,2,0)</f>
        <v>NL300007</v>
      </c>
      <c r="M186" s="36">
        <f>+VLOOKUP(T186,Sheet2!$B$2:$N$305,10,0)</f>
        <v>1.5</v>
      </c>
      <c r="N186" s="37">
        <f>+VLOOKUP(L186,MÃ!$C$2:$F$226,4,0)</f>
        <v>30000</v>
      </c>
      <c r="O186" s="37">
        <f t="shared" si="22"/>
        <v>45000</v>
      </c>
      <c r="P186" s="37">
        <f t="shared" si="23"/>
        <v>0</v>
      </c>
      <c r="Q186" s="35" t="str">
        <f t="shared" si="24"/>
        <v xml:space="preserve"> </v>
      </c>
      <c r="R186" s="27">
        <f>+VLOOKUP(T186,Sheet2!$B$2:$N$305,13,0)</f>
        <v>45000</v>
      </c>
      <c r="S186" s="38">
        <f t="shared" si="25"/>
        <v>0</v>
      </c>
      <c r="T186" t="str">
        <f t="shared" si="26"/>
        <v>10/01/2026NL300007</v>
      </c>
      <c r="U186" s="29">
        <f t="shared" si="27"/>
        <v>0</v>
      </c>
      <c r="V186" s="39">
        <f t="shared" si="28"/>
        <v>0</v>
      </c>
    </row>
    <row r="187" spans="1:22" x14ac:dyDescent="0.25">
      <c r="A187" s="4" t="s">
        <v>118</v>
      </c>
      <c r="B187" s="5" t="s">
        <v>83</v>
      </c>
      <c r="C187" s="4" t="s">
        <v>84</v>
      </c>
      <c r="D187" s="5" t="s">
        <v>142</v>
      </c>
      <c r="E187" s="4" t="s">
        <v>62</v>
      </c>
      <c r="F187" s="4" t="s">
        <v>63</v>
      </c>
      <c r="G187" s="4" t="s">
        <v>13</v>
      </c>
      <c r="H187" s="6">
        <v>1</v>
      </c>
      <c r="I187" s="7">
        <v>45000</v>
      </c>
      <c r="J187" s="7">
        <f t="shared" si="21"/>
        <v>45000</v>
      </c>
      <c r="K187" s="8" t="s">
        <v>12</v>
      </c>
      <c r="L187" s="35" t="str">
        <f>+VLOOKUP(E187,MÃ!$B$2:$F$229,2,0)</f>
        <v>NL300203</v>
      </c>
      <c r="M187" s="36">
        <f>+VLOOKUP(T187,Sheet2!$B$2:$N$305,10,0)</f>
        <v>1</v>
      </c>
      <c r="N187" s="37">
        <f>+VLOOKUP(L187,MÃ!$C$2:$F$226,4,0)</f>
        <v>45000</v>
      </c>
      <c r="O187" s="37">
        <f t="shared" si="22"/>
        <v>45000</v>
      </c>
      <c r="P187" s="37">
        <f t="shared" si="23"/>
        <v>0</v>
      </c>
      <c r="Q187" s="35" t="str">
        <f t="shared" si="24"/>
        <v xml:space="preserve"> </v>
      </c>
      <c r="R187" s="27">
        <f>+VLOOKUP(T187,Sheet2!$B$2:$N$305,13,0)</f>
        <v>45000</v>
      </c>
      <c r="S187" s="38">
        <f t="shared" si="25"/>
        <v>0</v>
      </c>
      <c r="T187" t="str">
        <f t="shared" si="26"/>
        <v>10/01/2026NL300203</v>
      </c>
      <c r="U187" s="29">
        <f t="shared" si="27"/>
        <v>0</v>
      </c>
      <c r="V187" s="39">
        <f t="shared" si="28"/>
        <v>0</v>
      </c>
    </row>
    <row r="188" spans="1:22" x14ac:dyDescent="0.25">
      <c r="A188" s="4" t="s">
        <v>118</v>
      </c>
      <c r="B188" s="5" t="s">
        <v>83</v>
      </c>
      <c r="C188" s="4" t="s">
        <v>84</v>
      </c>
      <c r="D188" s="5" t="s">
        <v>142</v>
      </c>
      <c r="E188" s="4" t="s">
        <v>64</v>
      </c>
      <c r="F188" s="4" t="s">
        <v>65</v>
      </c>
      <c r="G188" s="4" t="s">
        <v>13</v>
      </c>
      <c r="H188" s="6">
        <v>1</v>
      </c>
      <c r="I188" s="7">
        <v>50000</v>
      </c>
      <c r="J188" s="7">
        <f t="shared" si="21"/>
        <v>50000</v>
      </c>
      <c r="K188" s="8" t="s">
        <v>12</v>
      </c>
      <c r="L188" s="35" t="str">
        <f>+VLOOKUP(E188,MÃ!$B$2:$F$229,2,0)</f>
        <v>NL300013</v>
      </c>
      <c r="M188" s="36">
        <f>+VLOOKUP(T188,Sheet2!$B$2:$N$305,10,0)</f>
        <v>1</v>
      </c>
      <c r="N188" s="37">
        <f>+VLOOKUP(L188,MÃ!$C$2:$F$226,4,0)</f>
        <v>50000</v>
      </c>
      <c r="O188" s="37">
        <f t="shared" si="22"/>
        <v>50000</v>
      </c>
      <c r="P188" s="37">
        <f t="shared" si="23"/>
        <v>0</v>
      </c>
      <c r="Q188" s="35" t="str">
        <f t="shared" si="24"/>
        <v xml:space="preserve"> </v>
      </c>
      <c r="R188" s="27">
        <f>+VLOOKUP(T188,Sheet2!$B$2:$N$305,13,0)</f>
        <v>50000</v>
      </c>
      <c r="S188" s="38">
        <f t="shared" si="25"/>
        <v>0</v>
      </c>
      <c r="T188" t="str">
        <f t="shared" si="26"/>
        <v>10/01/2026NL300013</v>
      </c>
      <c r="U188" s="29">
        <f t="shared" si="27"/>
        <v>0</v>
      </c>
      <c r="V188" s="39">
        <f t="shared" si="28"/>
        <v>0</v>
      </c>
    </row>
    <row r="189" spans="1:22" x14ac:dyDescent="0.25">
      <c r="A189" s="4" t="s">
        <v>118</v>
      </c>
      <c r="B189" s="5" t="s">
        <v>83</v>
      </c>
      <c r="C189" s="4" t="s">
        <v>84</v>
      </c>
      <c r="D189" s="5" t="s">
        <v>142</v>
      </c>
      <c r="E189" s="4" t="s">
        <v>66</v>
      </c>
      <c r="F189" s="4" t="s">
        <v>67</v>
      </c>
      <c r="G189" s="4" t="s">
        <v>13</v>
      </c>
      <c r="H189" s="6">
        <v>10.3</v>
      </c>
      <c r="I189" s="7">
        <v>18000</v>
      </c>
      <c r="J189" s="7">
        <f t="shared" si="21"/>
        <v>185400</v>
      </c>
      <c r="K189" s="8" t="s">
        <v>12</v>
      </c>
      <c r="L189" s="35" t="str">
        <f>+VLOOKUP(E189,MÃ!$B$2:$F$229,2,0)</f>
        <v>NL300022</v>
      </c>
      <c r="M189" s="36">
        <f>+VLOOKUP(T189,Sheet2!$B$2:$N$305,10,0)</f>
        <v>10</v>
      </c>
      <c r="N189" s="37">
        <f>+VLOOKUP(L189,MÃ!$C$2:$F$226,4,0)</f>
        <v>18000</v>
      </c>
      <c r="O189" s="37">
        <f t="shared" si="22"/>
        <v>180000</v>
      </c>
      <c r="P189" s="37">
        <f t="shared" si="23"/>
        <v>5400</v>
      </c>
      <c r="Q189" s="35" t="str">
        <f t="shared" si="24"/>
        <v>SAI SL NHẬN</v>
      </c>
      <c r="R189" s="27">
        <f>+VLOOKUP(T189,Sheet2!$B$2:$N$305,13,0)</f>
        <v>180000</v>
      </c>
      <c r="S189" s="38">
        <f t="shared" si="25"/>
        <v>0</v>
      </c>
      <c r="T189" t="str">
        <f t="shared" si="26"/>
        <v>10/01/2026NL300022</v>
      </c>
      <c r="U189" s="29">
        <f t="shared" si="27"/>
        <v>0.30000000000000071</v>
      </c>
      <c r="V189" s="39">
        <f t="shared" si="28"/>
        <v>0</v>
      </c>
    </row>
    <row r="190" spans="1:22" x14ac:dyDescent="0.25">
      <c r="A190" s="4" t="s">
        <v>118</v>
      </c>
      <c r="B190" s="5" t="s">
        <v>83</v>
      </c>
      <c r="C190" s="4" t="s">
        <v>84</v>
      </c>
      <c r="D190" s="5" t="s">
        <v>142</v>
      </c>
      <c r="E190" s="4" t="s">
        <v>54</v>
      </c>
      <c r="F190" s="4" t="s">
        <v>55</v>
      </c>
      <c r="G190" s="4" t="s">
        <v>13</v>
      </c>
      <c r="H190" s="6">
        <v>0.8</v>
      </c>
      <c r="I190" s="7">
        <v>75000</v>
      </c>
      <c r="J190" s="7">
        <f t="shared" si="21"/>
        <v>60000</v>
      </c>
      <c r="K190" s="8" t="s">
        <v>12</v>
      </c>
      <c r="L190" s="35" t="str">
        <f>+VLOOKUP(E190,MÃ!$B$2:$F$229,2,0)</f>
        <v>NL600067</v>
      </c>
      <c r="M190" s="36">
        <f>+VLOOKUP(T190,Sheet2!$B$2:$N$305,10,0)</f>
        <v>0.8</v>
      </c>
      <c r="N190" s="37">
        <f>+VLOOKUP(L190,MÃ!$C$2:$F$226,4,0)</f>
        <v>75000</v>
      </c>
      <c r="O190" s="37">
        <f t="shared" si="22"/>
        <v>60000</v>
      </c>
      <c r="P190" s="37">
        <f t="shared" si="23"/>
        <v>0</v>
      </c>
      <c r="Q190" s="35" t="str">
        <f t="shared" si="24"/>
        <v xml:space="preserve"> </v>
      </c>
      <c r="R190" s="27">
        <f>+VLOOKUP(T190,Sheet2!$B$2:$N$305,13,0)</f>
        <v>60000</v>
      </c>
      <c r="S190" s="38">
        <f t="shared" si="25"/>
        <v>0</v>
      </c>
      <c r="T190" t="str">
        <f t="shared" si="26"/>
        <v>10/01/2026NL600067</v>
      </c>
      <c r="U190" s="29">
        <f t="shared" si="27"/>
        <v>0</v>
      </c>
      <c r="V190" s="39">
        <f t="shared" si="28"/>
        <v>0</v>
      </c>
    </row>
    <row r="191" spans="1:22" x14ac:dyDescent="0.25">
      <c r="A191" s="4" t="s">
        <v>118</v>
      </c>
      <c r="B191" s="5" t="s">
        <v>83</v>
      </c>
      <c r="C191" s="4" t="s">
        <v>84</v>
      </c>
      <c r="D191" s="5" t="s">
        <v>142</v>
      </c>
      <c r="E191" s="4" t="s">
        <v>56</v>
      </c>
      <c r="F191" s="4" t="s">
        <v>57</v>
      </c>
      <c r="G191" s="4" t="s">
        <v>13</v>
      </c>
      <c r="H191" s="6">
        <v>0.4</v>
      </c>
      <c r="I191" s="7">
        <v>34000</v>
      </c>
      <c r="J191" s="7">
        <f t="shared" si="21"/>
        <v>13600</v>
      </c>
      <c r="K191" s="8" t="s">
        <v>12</v>
      </c>
      <c r="L191" s="35" t="str">
        <f>+VLOOKUP(E191,MÃ!$B$2:$F$229,2,0)</f>
        <v>NL300030</v>
      </c>
      <c r="M191" s="36">
        <f>+VLOOKUP(T191,Sheet2!$B$2:$N$305,10,0)</f>
        <v>0.4</v>
      </c>
      <c r="N191" s="37">
        <f>+VLOOKUP(L191,MÃ!$C$2:$F$226,4,0)</f>
        <v>34000</v>
      </c>
      <c r="O191" s="37">
        <f t="shared" si="22"/>
        <v>13600</v>
      </c>
      <c r="P191" s="37">
        <f t="shared" si="23"/>
        <v>0</v>
      </c>
      <c r="Q191" s="35" t="str">
        <f t="shared" si="24"/>
        <v xml:space="preserve"> </v>
      </c>
      <c r="R191" s="27">
        <f>+VLOOKUP(T191,Sheet2!$B$2:$N$305,13,0)</f>
        <v>13600</v>
      </c>
      <c r="S191" s="38">
        <f t="shared" si="25"/>
        <v>0</v>
      </c>
      <c r="T191" t="str">
        <f t="shared" si="26"/>
        <v>10/01/2026NL300030</v>
      </c>
      <c r="U191" s="29">
        <f t="shared" si="27"/>
        <v>0</v>
      </c>
      <c r="V191" s="39">
        <f t="shared" si="28"/>
        <v>0</v>
      </c>
    </row>
    <row r="192" spans="1:22" x14ac:dyDescent="0.25">
      <c r="A192" s="4" t="s">
        <v>118</v>
      </c>
      <c r="B192" s="5" t="s">
        <v>83</v>
      </c>
      <c r="C192" s="4" t="s">
        <v>84</v>
      </c>
      <c r="D192" s="5" t="s">
        <v>142</v>
      </c>
      <c r="E192" s="4" t="s">
        <v>68</v>
      </c>
      <c r="F192" s="4" t="s">
        <v>69</v>
      </c>
      <c r="G192" s="4" t="s">
        <v>13</v>
      </c>
      <c r="H192" s="6">
        <v>1</v>
      </c>
      <c r="I192" s="7">
        <v>13000</v>
      </c>
      <c r="J192" s="7">
        <f t="shared" si="21"/>
        <v>13000</v>
      </c>
      <c r="K192" s="8" t="s">
        <v>12</v>
      </c>
      <c r="L192" s="35" t="str">
        <f>+VLOOKUP(E192,MÃ!$B$2:$F$229,2,0)</f>
        <v>NL300033</v>
      </c>
      <c r="M192" s="36">
        <f>+VLOOKUP(T192,Sheet2!$B$2:$N$305,10,0)</f>
        <v>1</v>
      </c>
      <c r="N192" s="37">
        <f>+VLOOKUP(L192,MÃ!$C$2:$F$226,4,0)</f>
        <v>13000</v>
      </c>
      <c r="O192" s="37">
        <f t="shared" si="22"/>
        <v>13000</v>
      </c>
      <c r="P192" s="37">
        <f t="shared" si="23"/>
        <v>0</v>
      </c>
      <c r="Q192" s="35" t="str">
        <f t="shared" si="24"/>
        <v xml:space="preserve"> </v>
      </c>
      <c r="R192" s="27">
        <f>+VLOOKUP(T192,Sheet2!$B$2:$N$305,13,0)</f>
        <v>13000</v>
      </c>
      <c r="S192" s="38">
        <f t="shared" si="25"/>
        <v>0</v>
      </c>
      <c r="T192" t="str">
        <f t="shared" si="26"/>
        <v>10/01/2026NL300033</v>
      </c>
      <c r="U192" s="29">
        <f t="shared" si="27"/>
        <v>0</v>
      </c>
      <c r="V192" s="39">
        <f t="shared" si="28"/>
        <v>0</v>
      </c>
    </row>
    <row r="193" spans="1:22" x14ac:dyDescent="0.25">
      <c r="A193" s="4" t="s">
        <v>118</v>
      </c>
      <c r="B193" s="5" t="s">
        <v>83</v>
      </c>
      <c r="C193" s="4" t="s">
        <v>84</v>
      </c>
      <c r="D193" s="5" t="s">
        <v>142</v>
      </c>
      <c r="E193" s="4" t="s">
        <v>16</v>
      </c>
      <c r="F193" s="4" t="s">
        <v>17</v>
      </c>
      <c r="G193" s="4" t="s">
        <v>13</v>
      </c>
      <c r="H193" s="6">
        <v>0.7</v>
      </c>
      <c r="I193" s="7">
        <v>47000</v>
      </c>
      <c r="J193" s="7">
        <f t="shared" si="21"/>
        <v>32900</v>
      </c>
      <c r="K193" s="8" t="s">
        <v>12</v>
      </c>
      <c r="L193" s="35" t="str">
        <f>+VLOOKUP(E193,MÃ!$B$2:$F$229,2,0)</f>
        <v>NL300036</v>
      </c>
      <c r="M193" s="36">
        <f>+VLOOKUP(T193,Sheet2!$B$2:$N$305,10,0)</f>
        <v>0.7</v>
      </c>
      <c r="N193" s="37">
        <f>+VLOOKUP(L193,MÃ!$C$2:$F$226,4,0)</f>
        <v>47000</v>
      </c>
      <c r="O193" s="37">
        <f t="shared" si="22"/>
        <v>32900</v>
      </c>
      <c r="P193" s="37">
        <f t="shared" si="23"/>
        <v>0</v>
      </c>
      <c r="Q193" s="35" t="str">
        <f t="shared" si="24"/>
        <v xml:space="preserve"> </v>
      </c>
      <c r="R193" s="27">
        <f>+VLOOKUP(T193,Sheet2!$B$2:$N$305,13,0)</f>
        <v>32900</v>
      </c>
      <c r="S193" s="38">
        <f t="shared" si="25"/>
        <v>0</v>
      </c>
      <c r="T193" t="str">
        <f t="shared" si="26"/>
        <v>10/01/2026NL300036</v>
      </c>
      <c r="U193" s="29">
        <f t="shared" si="27"/>
        <v>0</v>
      </c>
      <c r="V193" s="39">
        <f t="shared" si="28"/>
        <v>0</v>
      </c>
    </row>
    <row r="194" spans="1:22" x14ac:dyDescent="0.25">
      <c r="A194" s="4" t="s">
        <v>118</v>
      </c>
      <c r="B194" s="5" t="s">
        <v>83</v>
      </c>
      <c r="C194" s="4" t="s">
        <v>84</v>
      </c>
      <c r="D194" s="5" t="s">
        <v>142</v>
      </c>
      <c r="E194" s="4" t="s">
        <v>50</v>
      </c>
      <c r="F194" s="4" t="s">
        <v>51</v>
      </c>
      <c r="G194" s="4" t="s">
        <v>13</v>
      </c>
      <c r="H194" s="6">
        <v>19.5</v>
      </c>
      <c r="I194" s="7">
        <v>18000</v>
      </c>
      <c r="J194" s="7">
        <f t="shared" si="21"/>
        <v>351000</v>
      </c>
      <c r="K194" s="8" t="s">
        <v>12</v>
      </c>
      <c r="L194" s="35" t="str">
        <f>+VLOOKUP(E194,MÃ!$B$2:$F$229,2,0)</f>
        <v>NL600004</v>
      </c>
      <c r="M194" s="36">
        <f>+VLOOKUP(T194,Sheet2!$B$2:$N$305,10,0)</f>
        <v>19.5</v>
      </c>
      <c r="N194" s="37">
        <f>+VLOOKUP(L194,MÃ!$C$2:$F$226,4,0)</f>
        <v>18000</v>
      </c>
      <c r="O194" s="37">
        <f t="shared" si="22"/>
        <v>351000</v>
      </c>
      <c r="P194" s="37">
        <f t="shared" si="23"/>
        <v>0</v>
      </c>
      <c r="Q194" s="35" t="str">
        <f t="shared" si="24"/>
        <v xml:space="preserve"> </v>
      </c>
      <c r="R194" s="27">
        <f>+VLOOKUP(T194,Sheet2!$B$2:$N$305,13,0)</f>
        <v>351000</v>
      </c>
      <c r="S194" s="38">
        <f t="shared" si="25"/>
        <v>0</v>
      </c>
      <c r="T194" t="str">
        <f t="shared" si="26"/>
        <v>10/01/2026NL600004</v>
      </c>
      <c r="U194" s="29">
        <f t="shared" si="27"/>
        <v>0</v>
      </c>
      <c r="V194" s="39">
        <f t="shared" si="28"/>
        <v>0</v>
      </c>
    </row>
    <row r="195" spans="1:22" x14ac:dyDescent="0.25">
      <c r="A195" s="4" t="s">
        <v>118</v>
      </c>
      <c r="B195" s="5" t="s">
        <v>83</v>
      </c>
      <c r="C195" s="4" t="s">
        <v>84</v>
      </c>
      <c r="D195" s="5" t="s">
        <v>142</v>
      </c>
      <c r="E195" s="4" t="s">
        <v>18</v>
      </c>
      <c r="F195" s="4" t="s">
        <v>19</v>
      </c>
      <c r="G195" s="4" t="s">
        <v>13</v>
      </c>
      <c r="H195" s="6">
        <v>1</v>
      </c>
      <c r="I195" s="7">
        <v>55000</v>
      </c>
      <c r="J195" s="7">
        <f t="shared" si="21"/>
        <v>55000</v>
      </c>
      <c r="K195" s="8" t="s">
        <v>12</v>
      </c>
      <c r="L195" s="35" t="str">
        <f>+VLOOKUP(E195,MÃ!$B$2:$F$229,2,0)</f>
        <v>NL300058</v>
      </c>
      <c r="M195" s="36">
        <f>+VLOOKUP(T195,Sheet2!$B$2:$N$305,10,0)</f>
        <v>1</v>
      </c>
      <c r="N195" s="37">
        <f>+VLOOKUP(L195,MÃ!$C$2:$F$226,4,0)</f>
        <v>55000</v>
      </c>
      <c r="O195" s="37">
        <f t="shared" si="22"/>
        <v>55000</v>
      </c>
      <c r="P195" s="37">
        <f t="shared" si="23"/>
        <v>0</v>
      </c>
      <c r="Q195" s="35" t="str">
        <f t="shared" si="24"/>
        <v xml:space="preserve"> </v>
      </c>
      <c r="R195" s="27">
        <f>+VLOOKUP(T195,Sheet2!$B$2:$N$305,13,0)</f>
        <v>55000</v>
      </c>
      <c r="S195" s="38">
        <f t="shared" si="25"/>
        <v>0</v>
      </c>
      <c r="T195" t="str">
        <f t="shared" si="26"/>
        <v>10/01/2026NL300058</v>
      </c>
      <c r="U195" s="29">
        <f t="shared" si="27"/>
        <v>0</v>
      </c>
      <c r="V195" s="39">
        <f t="shared" si="28"/>
        <v>0</v>
      </c>
    </row>
    <row r="196" spans="1:22" x14ac:dyDescent="0.25">
      <c r="A196" s="4" t="s">
        <v>118</v>
      </c>
      <c r="B196" s="5" t="s">
        <v>83</v>
      </c>
      <c r="C196" s="4" t="s">
        <v>84</v>
      </c>
      <c r="D196" s="5" t="s">
        <v>142</v>
      </c>
      <c r="E196" s="4" t="s">
        <v>52</v>
      </c>
      <c r="F196" s="4" t="s">
        <v>53</v>
      </c>
      <c r="G196" s="4" t="s">
        <v>13</v>
      </c>
      <c r="H196" s="6">
        <v>0.1</v>
      </c>
      <c r="I196" s="7">
        <v>65000</v>
      </c>
      <c r="J196" s="7">
        <f t="shared" si="21"/>
        <v>6500</v>
      </c>
      <c r="K196" s="8" t="s">
        <v>12</v>
      </c>
      <c r="L196" s="35" t="str">
        <f>+VLOOKUP(E196,MÃ!$B$2:$F$229,2,0)</f>
        <v>NL300062</v>
      </c>
      <c r="M196" s="36">
        <f>+VLOOKUP(T196,Sheet2!$B$2:$N$305,10,0)</f>
        <v>0.1</v>
      </c>
      <c r="N196" s="37">
        <f>+VLOOKUP(L196,MÃ!$C$2:$F$226,4,0)</f>
        <v>65000</v>
      </c>
      <c r="O196" s="37">
        <f t="shared" si="22"/>
        <v>6500</v>
      </c>
      <c r="P196" s="37">
        <f t="shared" si="23"/>
        <v>0</v>
      </c>
      <c r="Q196" s="35" t="str">
        <f t="shared" si="24"/>
        <v xml:space="preserve"> </v>
      </c>
      <c r="R196" s="27">
        <f>+VLOOKUP(T196,Sheet2!$B$2:$N$305,13,0)</f>
        <v>6500</v>
      </c>
      <c r="S196" s="38">
        <f t="shared" si="25"/>
        <v>0</v>
      </c>
      <c r="T196" t="str">
        <f t="shared" si="26"/>
        <v>10/01/2026NL300062</v>
      </c>
      <c r="U196" s="29">
        <f t="shared" si="27"/>
        <v>0</v>
      </c>
      <c r="V196" s="39">
        <f t="shared" si="28"/>
        <v>0</v>
      </c>
    </row>
    <row r="197" spans="1:22" x14ac:dyDescent="0.25">
      <c r="A197" s="4" t="s">
        <v>118</v>
      </c>
      <c r="B197" s="5" t="s">
        <v>83</v>
      </c>
      <c r="C197" s="4" t="s">
        <v>84</v>
      </c>
      <c r="D197" s="5" t="s">
        <v>142</v>
      </c>
      <c r="E197" s="4" t="s">
        <v>70</v>
      </c>
      <c r="F197" s="4" t="s">
        <v>71</v>
      </c>
      <c r="G197" s="4" t="s">
        <v>13</v>
      </c>
      <c r="H197" s="6">
        <v>0.8</v>
      </c>
      <c r="I197" s="7">
        <v>30000</v>
      </c>
      <c r="J197" s="7">
        <f t="shared" si="21"/>
        <v>24000</v>
      </c>
      <c r="K197" s="8" t="s">
        <v>12</v>
      </c>
      <c r="L197" s="35" t="str">
        <f>+VLOOKUP(E197,MÃ!$B$2:$F$229,2,0)</f>
        <v>NL300209</v>
      </c>
      <c r="M197" s="36">
        <f>+VLOOKUP(T197,Sheet2!$B$2:$N$305,10,0)</f>
        <v>0.8</v>
      </c>
      <c r="N197" s="37">
        <f>+VLOOKUP(L197,MÃ!$C$2:$F$226,4,0)</f>
        <v>30000</v>
      </c>
      <c r="O197" s="37">
        <f t="shared" si="22"/>
        <v>24000</v>
      </c>
      <c r="P197" s="37">
        <f t="shared" si="23"/>
        <v>0</v>
      </c>
      <c r="Q197" s="35" t="str">
        <f t="shared" si="24"/>
        <v xml:space="preserve"> </v>
      </c>
      <c r="R197" s="27">
        <f>+VLOOKUP(T197,Sheet2!$B$2:$N$305,13,0)</f>
        <v>24000</v>
      </c>
      <c r="S197" s="38">
        <f t="shared" si="25"/>
        <v>0</v>
      </c>
      <c r="T197" t="str">
        <f t="shared" si="26"/>
        <v>10/01/2026NL300209</v>
      </c>
      <c r="U197" s="29">
        <f t="shared" si="27"/>
        <v>0</v>
      </c>
      <c r="V197" s="39">
        <f t="shared" si="28"/>
        <v>0</v>
      </c>
    </row>
    <row r="198" spans="1:22" x14ac:dyDescent="0.25">
      <c r="A198" s="4" t="s">
        <v>118</v>
      </c>
      <c r="B198" s="5" t="s">
        <v>83</v>
      </c>
      <c r="C198" s="4" t="s">
        <v>84</v>
      </c>
      <c r="D198" s="5" t="s">
        <v>142</v>
      </c>
      <c r="E198" s="4" t="s">
        <v>72</v>
      </c>
      <c r="F198" s="4" t="s">
        <v>73</v>
      </c>
      <c r="G198" s="4" t="s">
        <v>13</v>
      </c>
      <c r="H198" s="6">
        <v>0.6</v>
      </c>
      <c r="I198" s="7">
        <v>18000</v>
      </c>
      <c r="J198" s="7">
        <f t="shared" si="21"/>
        <v>10800</v>
      </c>
      <c r="K198" s="8" t="s">
        <v>12</v>
      </c>
      <c r="L198" s="35" t="str">
        <f>+VLOOKUP(E198,MÃ!$B$2:$F$229,2,0)</f>
        <v>NL300074</v>
      </c>
      <c r="M198" s="36">
        <f>+VLOOKUP(T198,Sheet2!$B$2:$N$305,10,0)</f>
        <v>0.6</v>
      </c>
      <c r="N198" s="37">
        <f>+VLOOKUP(L198,MÃ!$C$2:$F$226,4,0)</f>
        <v>18000</v>
      </c>
      <c r="O198" s="37">
        <f t="shared" si="22"/>
        <v>10800</v>
      </c>
      <c r="P198" s="37">
        <f t="shared" si="23"/>
        <v>0</v>
      </c>
      <c r="Q198" s="35" t="str">
        <f t="shared" si="24"/>
        <v xml:space="preserve"> </v>
      </c>
      <c r="R198" s="27">
        <f>+VLOOKUP(T198,Sheet2!$B$2:$N$305,13,0)</f>
        <v>10800</v>
      </c>
      <c r="S198" s="38">
        <f t="shared" si="25"/>
        <v>0</v>
      </c>
      <c r="T198" t="str">
        <f t="shared" si="26"/>
        <v>10/01/2026NL300074</v>
      </c>
      <c r="U198" s="29">
        <f t="shared" si="27"/>
        <v>0</v>
      </c>
      <c r="V198" s="39">
        <f t="shared" si="28"/>
        <v>0</v>
      </c>
    </row>
    <row r="199" spans="1:22" x14ac:dyDescent="0.25">
      <c r="A199" s="4" t="s">
        <v>118</v>
      </c>
      <c r="B199" s="5" t="s">
        <v>83</v>
      </c>
      <c r="C199" s="4" t="s">
        <v>84</v>
      </c>
      <c r="D199" s="5" t="s">
        <v>142</v>
      </c>
      <c r="E199" s="4" t="s">
        <v>74</v>
      </c>
      <c r="F199" s="4" t="s">
        <v>75</v>
      </c>
      <c r="G199" s="4" t="s">
        <v>13</v>
      </c>
      <c r="H199" s="6">
        <v>2.1</v>
      </c>
      <c r="I199" s="7">
        <v>22000</v>
      </c>
      <c r="J199" s="7">
        <f t="shared" si="21"/>
        <v>46200</v>
      </c>
      <c r="K199" s="8" t="s">
        <v>12</v>
      </c>
      <c r="L199" s="35" t="str">
        <f>+VLOOKUP(E199,MÃ!$B$2:$F$229,2,0)</f>
        <v>NL300084</v>
      </c>
      <c r="M199" s="36">
        <f>+VLOOKUP(T199,Sheet2!$B$2:$N$305,10,0)</f>
        <v>2</v>
      </c>
      <c r="N199" s="37">
        <f>+VLOOKUP(L199,MÃ!$C$2:$F$226,4,0)</f>
        <v>22000</v>
      </c>
      <c r="O199" s="37">
        <f t="shared" si="22"/>
        <v>44000</v>
      </c>
      <c r="P199" s="37">
        <f t="shared" si="23"/>
        <v>2200</v>
      </c>
      <c r="Q199" s="35" t="str">
        <f t="shared" si="24"/>
        <v>SAI SL NHẬN</v>
      </c>
      <c r="R199" s="27">
        <f>+VLOOKUP(T199,Sheet2!$B$2:$N$305,13,0)</f>
        <v>44000</v>
      </c>
      <c r="S199" s="38">
        <f t="shared" si="25"/>
        <v>0</v>
      </c>
      <c r="T199" t="str">
        <f t="shared" si="26"/>
        <v>10/01/2026NL300084</v>
      </c>
      <c r="U199" s="29">
        <f t="shared" si="27"/>
        <v>0.10000000000000009</v>
      </c>
      <c r="V199" s="39">
        <f t="shared" si="28"/>
        <v>0</v>
      </c>
    </row>
    <row r="200" spans="1:22" x14ac:dyDescent="0.25">
      <c r="A200" s="4" t="s">
        <v>118</v>
      </c>
      <c r="B200" s="5" t="s">
        <v>83</v>
      </c>
      <c r="C200" s="4" t="s">
        <v>84</v>
      </c>
      <c r="D200" s="5" t="s">
        <v>142</v>
      </c>
      <c r="E200" s="4" t="s">
        <v>38</v>
      </c>
      <c r="F200" s="4" t="s">
        <v>39</v>
      </c>
      <c r="G200" s="4" t="s">
        <v>13</v>
      </c>
      <c r="H200" s="6">
        <v>3</v>
      </c>
      <c r="I200" s="7">
        <v>47000</v>
      </c>
      <c r="J200" s="7">
        <f t="shared" si="21"/>
        <v>141000</v>
      </c>
      <c r="K200" s="8" t="s">
        <v>12</v>
      </c>
      <c r="L200" s="35" t="str">
        <f>+VLOOKUP(E200,MÃ!$B$2:$F$229,2,0)</f>
        <v>NL300091</v>
      </c>
      <c r="M200" s="36">
        <f>+VLOOKUP(T200,Sheet2!$B$2:$N$305,10,0)</f>
        <v>3</v>
      </c>
      <c r="N200" s="37">
        <f>+VLOOKUP(L200,MÃ!$C$2:$F$226,4,0)</f>
        <v>47000</v>
      </c>
      <c r="O200" s="37">
        <f t="shared" si="22"/>
        <v>141000</v>
      </c>
      <c r="P200" s="37">
        <f t="shared" si="23"/>
        <v>0</v>
      </c>
      <c r="Q200" s="35" t="str">
        <f t="shared" si="24"/>
        <v xml:space="preserve"> </v>
      </c>
      <c r="R200" s="27">
        <f>+VLOOKUP(T200,Sheet2!$B$2:$N$305,13,0)</f>
        <v>141000</v>
      </c>
      <c r="S200" s="38">
        <f t="shared" si="25"/>
        <v>0</v>
      </c>
      <c r="T200" t="str">
        <f t="shared" si="26"/>
        <v>10/01/2026NL300091</v>
      </c>
      <c r="U200" s="29">
        <f t="shared" si="27"/>
        <v>0</v>
      </c>
      <c r="V200" s="39">
        <f t="shared" si="28"/>
        <v>0</v>
      </c>
    </row>
    <row r="201" spans="1:22" x14ac:dyDescent="0.25">
      <c r="A201" s="4" t="s">
        <v>118</v>
      </c>
      <c r="B201" s="5" t="s">
        <v>83</v>
      </c>
      <c r="C201" s="4" t="s">
        <v>84</v>
      </c>
      <c r="D201" s="5" t="s">
        <v>142</v>
      </c>
      <c r="E201" s="4" t="s">
        <v>42</v>
      </c>
      <c r="F201" s="4" t="s">
        <v>43</v>
      </c>
      <c r="G201" s="4" t="s">
        <v>13</v>
      </c>
      <c r="H201" s="6">
        <v>4</v>
      </c>
      <c r="I201" s="7">
        <v>45000</v>
      </c>
      <c r="J201" s="7">
        <f t="shared" si="21"/>
        <v>180000</v>
      </c>
      <c r="K201" s="8" t="s">
        <v>12</v>
      </c>
      <c r="L201" s="35" t="str">
        <f>+VLOOKUP(E201,MÃ!$B$2:$F$229,2,0)</f>
        <v>NL300096</v>
      </c>
      <c r="M201" s="36">
        <f>+VLOOKUP(T201,Sheet2!$B$2:$N$305,10,0)</f>
        <v>3.8</v>
      </c>
      <c r="N201" s="37">
        <f>+VLOOKUP(L201,MÃ!$C$2:$F$226,4,0)</f>
        <v>45000</v>
      </c>
      <c r="O201" s="37">
        <f t="shared" si="22"/>
        <v>171000</v>
      </c>
      <c r="P201" s="37">
        <f t="shared" si="23"/>
        <v>9000</v>
      </c>
      <c r="Q201" s="35" t="str">
        <f t="shared" si="24"/>
        <v>SAI SL NHẬN</v>
      </c>
      <c r="R201" s="27">
        <f>+VLOOKUP(T201,Sheet2!$B$2:$N$305,13,0)</f>
        <v>171000</v>
      </c>
      <c r="S201" s="38">
        <f t="shared" si="25"/>
        <v>0</v>
      </c>
      <c r="T201" t="str">
        <f t="shared" si="26"/>
        <v>10/01/2026NL300096</v>
      </c>
      <c r="U201" s="29">
        <f t="shared" si="27"/>
        <v>0.20000000000000018</v>
      </c>
      <c r="V201" s="39">
        <f t="shared" si="28"/>
        <v>0</v>
      </c>
    </row>
    <row r="202" spans="1:22" ht="28.5" x14ac:dyDescent="0.25">
      <c r="A202" s="4" t="s">
        <v>118</v>
      </c>
      <c r="B202" s="5" t="s">
        <v>83</v>
      </c>
      <c r="C202" s="4" t="s">
        <v>84</v>
      </c>
      <c r="D202" s="5" t="s">
        <v>142</v>
      </c>
      <c r="E202" s="4" t="s">
        <v>44</v>
      </c>
      <c r="F202" s="4" t="s">
        <v>45</v>
      </c>
      <c r="G202" s="4" t="s">
        <v>13</v>
      </c>
      <c r="H202" s="6">
        <v>2.2000000000000002</v>
      </c>
      <c r="I202" s="7">
        <v>95000</v>
      </c>
      <c r="J202" s="7">
        <f t="shared" si="21"/>
        <v>209000.00000000003</v>
      </c>
      <c r="K202" s="8" t="s">
        <v>12</v>
      </c>
      <c r="L202" s="35" t="str">
        <f>+VLOOKUP(E202,MÃ!$B$2:$F$229,2,0)</f>
        <v>NL300098</v>
      </c>
      <c r="M202" s="36">
        <f>+VLOOKUP(T202,Sheet2!$B$2:$N$305,10,0)</f>
        <v>2.2000000000000002</v>
      </c>
      <c r="N202" s="37">
        <f>+VLOOKUP(L202,MÃ!$C$2:$F$226,4,0)</f>
        <v>95000</v>
      </c>
      <c r="O202" s="37">
        <f t="shared" si="22"/>
        <v>209000.00000000003</v>
      </c>
      <c r="P202" s="37">
        <f t="shared" si="23"/>
        <v>0</v>
      </c>
      <c r="Q202" s="35" t="str">
        <f t="shared" si="24"/>
        <v xml:space="preserve"> </v>
      </c>
      <c r="R202" s="27">
        <f>+VLOOKUP(T202,Sheet2!$B$2:$N$305,13,0)</f>
        <v>209000.00000000003</v>
      </c>
      <c r="S202" s="38">
        <f t="shared" si="25"/>
        <v>0</v>
      </c>
      <c r="T202" t="str">
        <f t="shared" si="26"/>
        <v>10/01/2026NL300098</v>
      </c>
      <c r="U202" s="29">
        <f t="shared" si="27"/>
        <v>0</v>
      </c>
      <c r="V202" s="39">
        <f t="shared" si="28"/>
        <v>0</v>
      </c>
    </row>
    <row r="203" spans="1:22" x14ac:dyDescent="0.25">
      <c r="A203" s="4" t="s">
        <v>118</v>
      </c>
      <c r="B203" s="5" t="s">
        <v>83</v>
      </c>
      <c r="C203" s="4" t="s">
        <v>84</v>
      </c>
      <c r="D203" s="5" t="s">
        <v>142</v>
      </c>
      <c r="E203" s="4" t="s">
        <v>20</v>
      </c>
      <c r="F203" s="4" t="s">
        <v>21</v>
      </c>
      <c r="G203" s="4" t="s">
        <v>13</v>
      </c>
      <c r="H203" s="6">
        <v>1</v>
      </c>
      <c r="I203" s="7">
        <v>45000</v>
      </c>
      <c r="J203" s="7">
        <f t="shared" si="21"/>
        <v>45000</v>
      </c>
      <c r="K203" s="8" t="s">
        <v>12</v>
      </c>
      <c r="L203" s="35" t="str">
        <f>+VLOOKUP(E203,MÃ!$B$2:$F$229,2,0)</f>
        <v>NL300085</v>
      </c>
      <c r="M203" s="36">
        <f>+VLOOKUP(T203,Sheet2!$B$2:$N$305,10,0)</f>
        <v>1</v>
      </c>
      <c r="N203" s="37">
        <f>+VLOOKUP(L203,MÃ!$C$2:$F$226,4,0)</f>
        <v>45000</v>
      </c>
      <c r="O203" s="37">
        <f t="shared" si="22"/>
        <v>45000</v>
      </c>
      <c r="P203" s="37">
        <f t="shared" si="23"/>
        <v>0</v>
      </c>
      <c r="Q203" s="35" t="str">
        <f t="shared" si="24"/>
        <v xml:space="preserve"> </v>
      </c>
      <c r="R203" s="27">
        <f>+VLOOKUP(T203,Sheet2!$B$2:$N$305,13,0)</f>
        <v>45000</v>
      </c>
      <c r="S203" s="38">
        <f t="shared" si="25"/>
        <v>0</v>
      </c>
      <c r="T203" t="str">
        <f t="shared" si="26"/>
        <v>10/01/2026NL300085</v>
      </c>
      <c r="U203" s="29">
        <f t="shared" si="27"/>
        <v>0</v>
      </c>
      <c r="V203" s="39">
        <f t="shared" si="28"/>
        <v>0</v>
      </c>
    </row>
    <row r="204" spans="1:22" x14ac:dyDescent="0.25">
      <c r="A204" s="4" t="s">
        <v>118</v>
      </c>
      <c r="B204" s="5" t="s">
        <v>83</v>
      </c>
      <c r="C204" s="4" t="s">
        <v>84</v>
      </c>
      <c r="D204" s="5" t="s">
        <v>142</v>
      </c>
      <c r="E204" s="4" t="s">
        <v>29</v>
      </c>
      <c r="F204" s="4" t="s">
        <v>30</v>
      </c>
      <c r="G204" s="4" t="s">
        <v>13</v>
      </c>
      <c r="H204" s="6">
        <v>1</v>
      </c>
      <c r="I204" s="7">
        <v>145000</v>
      </c>
      <c r="J204" s="7">
        <f t="shared" si="21"/>
        <v>145000</v>
      </c>
      <c r="K204" s="8" t="s">
        <v>12</v>
      </c>
      <c r="L204" s="35" t="str">
        <f>+VLOOKUP(E204,MÃ!$B$2:$F$229,2,0)</f>
        <v>NL300113</v>
      </c>
      <c r="M204" s="36">
        <f>+VLOOKUP(T204,Sheet2!$B$2:$N$305,10,0)</f>
        <v>1</v>
      </c>
      <c r="N204" s="37">
        <f>+VLOOKUP(L204,MÃ!$C$2:$F$226,4,0)</f>
        <v>145000</v>
      </c>
      <c r="O204" s="37">
        <f t="shared" si="22"/>
        <v>145000</v>
      </c>
      <c r="P204" s="37">
        <f t="shared" si="23"/>
        <v>0</v>
      </c>
      <c r="Q204" s="35" t="str">
        <f t="shared" si="24"/>
        <v xml:space="preserve"> </v>
      </c>
      <c r="R204" s="27">
        <f>+VLOOKUP(T204,Sheet2!$B$2:$N$305,13,0)</f>
        <v>145000</v>
      </c>
      <c r="S204" s="38">
        <f t="shared" si="25"/>
        <v>0</v>
      </c>
      <c r="T204" t="str">
        <f t="shared" si="26"/>
        <v>10/01/2026NL300113</v>
      </c>
      <c r="U204" s="29">
        <f t="shared" si="27"/>
        <v>0</v>
      </c>
      <c r="V204" s="39">
        <f t="shared" si="28"/>
        <v>0</v>
      </c>
    </row>
    <row r="205" spans="1:22" x14ac:dyDescent="0.25">
      <c r="A205" s="4" t="s">
        <v>118</v>
      </c>
      <c r="B205" s="5" t="s">
        <v>83</v>
      </c>
      <c r="C205" s="4" t="s">
        <v>84</v>
      </c>
      <c r="D205" s="5" t="s">
        <v>142</v>
      </c>
      <c r="E205" s="4" t="s">
        <v>27</v>
      </c>
      <c r="F205" s="4" t="s">
        <v>28</v>
      </c>
      <c r="G205" s="4" t="s">
        <v>13</v>
      </c>
      <c r="H205" s="6">
        <v>5.3</v>
      </c>
      <c r="I205" s="7">
        <v>21000</v>
      </c>
      <c r="J205" s="7">
        <f t="shared" si="21"/>
        <v>111300</v>
      </c>
      <c r="K205" s="8" t="s">
        <v>12</v>
      </c>
      <c r="L205" s="35" t="str">
        <f>+VLOOKUP(E205,MÃ!$B$2:$F$229,2,0)</f>
        <v>NL300119</v>
      </c>
      <c r="M205" s="36">
        <f>+VLOOKUP(T205,Sheet2!$B$2:$N$305,10,0)</f>
        <v>5.3</v>
      </c>
      <c r="N205" s="37">
        <f>+VLOOKUP(L205,MÃ!$C$2:$F$226,4,0)</f>
        <v>21000</v>
      </c>
      <c r="O205" s="37">
        <f t="shared" si="22"/>
        <v>111300</v>
      </c>
      <c r="P205" s="37">
        <f t="shared" si="23"/>
        <v>0</v>
      </c>
      <c r="Q205" s="35" t="str">
        <f t="shared" si="24"/>
        <v xml:space="preserve"> </v>
      </c>
      <c r="R205" s="27">
        <f>+VLOOKUP(T205,Sheet2!$B$2:$N$305,13,0)</f>
        <v>111300</v>
      </c>
      <c r="S205" s="38">
        <f t="shared" si="25"/>
        <v>0</v>
      </c>
      <c r="T205" t="str">
        <f t="shared" si="26"/>
        <v>10/01/2026NL300119</v>
      </c>
      <c r="U205" s="29">
        <f t="shared" si="27"/>
        <v>0</v>
      </c>
      <c r="V205" s="39">
        <f t="shared" si="28"/>
        <v>0</v>
      </c>
    </row>
    <row r="206" spans="1:22" x14ac:dyDescent="0.25">
      <c r="A206" s="4" t="s">
        <v>118</v>
      </c>
      <c r="B206" s="5" t="s">
        <v>83</v>
      </c>
      <c r="C206" s="4" t="s">
        <v>84</v>
      </c>
      <c r="D206" s="5" t="s">
        <v>142</v>
      </c>
      <c r="E206" s="4" t="s">
        <v>76</v>
      </c>
      <c r="F206" s="4" t="s">
        <v>77</v>
      </c>
      <c r="G206" s="4" t="s">
        <v>13</v>
      </c>
      <c r="H206" s="6">
        <v>1.5</v>
      </c>
      <c r="I206" s="7">
        <v>38000</v>
      </c>
      <c r="J206" s="7">
        <f t="shared" si="21"/>
        <v>57000</v>
      </c>
      <c r="K206" s="8" t="s">
        <v>12</v>
      </c>
      <c r="L206" s="35" t="str">
        <f>+VLOOKUP(E206,MÃ!$B$2:$F$229,2,0)</f>
        <v>NL300018</v>
      </c>
      <c r="M206" s="36">
        <f>+VLOOKUP(T206,Sheet2!$B$2:$N$305,10,0)</f>
        <v>1.4</v>
      </c>
      <c r="N206" s="37">
        <f>+VLOOKUP(L206,MÃ!$C$2:$F$226,4,0)</f>
        <v>38000</v>
      </c>
      <c r="O206" s="37">
        <f t="shared" si="22"/>
        <v>53200</v>
      </c>
      <c r="P206" s="37">
        <f t="shared" si="23"/>
        <v>3800</v>
      </c>
      <c r="Q206" s="35" t="str">
        <f t="shared" si="24"/>
        <v>SAI SL NHẬN</v>
      </c>
      <c r="R206" s="27">
        <f>+VLOOKUP(T206,Sheet2!$B$2:$N$305,13,0)</f>
        <v>53200</v>
      </c>
      <c r="S206" s="38">
        <f t="shared" si="25"/>
        <v>0</v>
      </c>
      <c r="T206" t="str">
        <f t="shared" si="26"/>
        <v>10/01/2026NL300018</v>
      </c>
      <c r="U206" s="29">
        <f t="shared" si="27"/>
        <v>0.10000000000000009</v>
      </c>
      <c r="V206" s="39">
        <f t="shared" si="28"/>
        <v>0</v>
      </c>
    </row>
    <row r="207" spans="1:22" x14ac:dyDescent="0.25">
      <c r="A207" s="4" t="s">
        <v>118</v>
      </c>
      <c r="B207" s="5" t="s">
        <v>83</v>
      </c>
      <c r="C207" s="4" t="s">
        <v>84</v>
      </c>
      <c r="D207" s="5" t="s">
        <v>142</v>
      </c>
      <c r="E207" s="4" t="s">
        <v>14</v>
      </c>
      <c r="F207" s="4" t="s">
        <v>15</v>
      </c>
      <c r="G207" s="4" t="s">
        <v>13</v>
      </c>
      <c r="H207" s="6">
        <v>1.5</v>
      </c>
      <c r="I207" s="7">
        <v>50000</v>
      </c>
      <c r="J207" s="7">
        <f t="shared" si="21"/>
        <v>75000</v>
      </c>
      <c r="K207" s="8" t="s">
        <v>12</v>
      </c>
      <c r="L207" s="35" t="str">
        <f>+VLOOKUP(E207,MÃ!$B$2:$F$229,2,0)</f>
        <v>NL300142</v>
      </c>
      <c r="M207" s="36">
        <f>+VLOOKUP(T207,Sheet2!$B$2:$N$305,10,0)</f>
        <v>1.5</v>
      </c>
      <c r="N207" s="37">
        <f>+VLOOKUP(L207,MÃ!$C$2:$F$226,4,0)</f>
        <v>50000</v>
      </c>
      <c r="O207" s="37">
        <f t="shared" si="22"/>
        <v>75000</v>
      </c>
      <c r="P207" s="37">
        <f t="shared" si="23"/>
        <v>0</v>
      </c>
      <c r="Q207" s="35" t="str">
        <f t="shared" si="24"/>
        <v xml:space="preserve"> </v>
      </c>
      <c r="R207" s="27">
        <f>+VLOOKUP(T207,Sheet2!$B$2:$N$305,13,0)</f>
        <v>75000</v>
      </c>
      <c r="S207" s="38">
        <f t="shared" si="25"/>
        <v>0</v>
      </c>
      <c r="T207" t="str">
        <f t="shared" si="26"/>
        <v>10/01/2026NL300142</v>
      </c>
      <c r="U207" s="29">
        <f t="shared" si="27"/>
        <v>0</v>
      </c>
      <c r="V207" s="39">
        <f t="shared" si="28"/>
        <v>0</v>
      </c>
    </row>
    <row r="208" spans="1:22" x14ac:dyDescent="0.25">
      <c r="A208" s="4" t="s">
        <v>118</v>
      </c>
      <c r="B208" s="5" t="s">
        <v>83</v>
      </c>
      <c r="C208" s="4" t="s">
        <v>84</v>
      </c>
      <c r="D208" s="5" t="s">
        <v>142</v>
      </c>
      <c r="E208" s="4" t="s">
        <v>48</v>
      </c>
      <c r="F208" s="4" t="s">
        <v>49</v>
      </c>
      <c r="G208" s="4" t="s">
        <v>13</v>
      </c>
      <c r="H208" s="6">
        <v>5</v>
      </c>
      <c r="I208" s="7">
        <v>62000</v>
      </c>
      <c r="J208" s="7">
        <f t="shared" ref="J208:J271" si="29">H208*I208</f>
        <v>310000</v>
      </c>
      <c r="K208" s="8" t="s">
        <v>12</v>
      </c>
      <c r="L208" s="35" t="str">
        <f>+VLOOKUP(E208,MÃ!$B$2:$F$229,2,0)</f>
        <v>NL300147</v>
      </c>
      <c r="M208" s="36">
        <f>+VLOOKUP(T208,Sheet2!$B$2:$N$305,10,0)</f>
        <v>5</v>
      </c>
      <c r="N208" s="37">
        <f>+VLOOKUP(L208,MÃ!$C$2:$F$226,4,0)</f>
        <v>62000</v>
      </c>
      <c r="O208" s="37">
        <f t="shared" ref="O208:O271" si="30">M208*N208</f>
        <v>310000</v>
      </c>
      <c r="P208" s="37">
        <f t="shared" ref="P208:P271" si="31">J208-O208</f>
        <v>0</v>
      </c>
      <c r="Q208" s="35" t="str">
        <f t="shared" ref="Q208:Q271" si="32">IF(U208=0," ","SAI SL NHẬN")</f>
        <v xml:space="preserve"> </v>
      </c>
      <c r="R208" s="27">
        <f>+VLOOKUP(T208,Sheet2!$B$2:$N$305,13,0)</f>
        <v>310000</v>
      </c>
      <c r="S208" s="38">
        <f t="shared" ref="S208:S271" si="33">O208-R208</f>
        <v>0</v>
      </c>
      <c r="T208" t="str">
        <f t="shared" ref="T208:T271" si="34">A208&amp;L208</f>
        <v>10/01/2026NL300147</v>
      </c>
      <c r="U208" s="29">
        <f t="shared" ref="U208:U271" si="35">H208-M208</f>
        <v>0</v>
      </c>
      <c r="V208" s="39">
        <f t="shared" ref="V208:V271" si="36">I208-N208</f>
        <v>0</v>
      </c>
    </row>
    <row r="209" spans="1:22" x14ac:dyDescent="0.25">
      <c r="A209" s="4" t="s">
        <v>120</v>
      </c>
      <c r="B209" s="5" t="s">
        <v>83</v>
      </c>
      <c r="C209" s="4" t="s">
        <v>84</v>
      </c>
      <c r="D209" s="5" t="s">
        <v>143</v>
      </c>
      <c r="E209" s="4" t="s">
        <v>31</v>
      </c>
      <c r="F209" s="4" t="s">
        <v>32</v>
      </c>
      <c r="G209" s="4" t="s">
        <v>33</v>
      </c>
      <c r="H209" s="6">
        <v>3</v>
      </c>
      <c r="I209" s="7">
        <v>8500</v>
      </c>
      <c r="J209" s="7">
        <f t="shared" si="29"/>
        <v>25500</v>
      </c>
      <c r="K209" s="8" t="s">
        <v>12</v>
      </c>
      <c r="L209" s="35" t="str">
        <f>+VLOOKUP(E209,MÃ!$B$2:$F$229,2,0)</f>
        <v>NL300107</v>
      </c>
      <c r="M209" s="36">
        <f>+VLOOKUP(T209,Sheet2!$B$2:$N$305,10,0)</f>
        <v>3</v>
      </c>
      <c r="N209" s="37">
        <f>+VLOOKUP(L209,MÃ!$C$2:$F$226,4,0)</f>
        <v>8500</v>
      </c>
      <c r="O209" s="37">
        <f t="shared" si="30"/>
        <v>25500</v>
      </c>
      <c r="P209" s="37">
        <f t="shared" si="31"/>
        <v>0</v>
      </c>
      <c r="Q209" s="35" t="str">
        <f t="shared" si="32"/>
        <v xml:space="preserve"> </v>
      </c>
      <c r="R209" s="27">
        <f>+VLOOKUP(T209,Sheet2!$B$2:$N$305,13,0)</f>
        <v>25500</v>
      </c>
      <c r="S209" s="38">
        <f t="shared" si="33"/>
        <v>0</v>
      </c>
      <c r="T209" t="str">
        <f t="shared" si="34"/>
        <v>11/01/2026NL300107</v>
      </c>
      <c r="U209" s="29">
        <f t="shared" si="35"/>
        <v>0</v>
      </c>
      <c r="V209" s="39">
        <f t="shared" si="36"/>
        <v>0</v>
      </c>
    </row>
    <row r="210" spans="1:22" x14ac:dyDescent="0.25">
      <c r="A210" s="4" t="s">
        <v>120</v>
      </c>
      <c r="B210" s="5" t="s">
        <v>83</v>
      </c>
      <c r="C210" s="4" t="s">
        <v>84</v>
      </c>
      <c r="D210" s="5" t="s">
        <v>143</v>
      </c>
      <c r="E210" s="4" t="s">
        <v>62</v>
      </c>
      <c r="F210" s="4" t="s">
        <v>63</v>
      </c>
      <c r="G210" s="4" t="s">
        <v>13</v>
      </c>
      <c r="H210" s="6">
        <v>1</v>
      </c>
      <c r="I210" s="7">
        <v>45000</v>
      </c>
      <c r="J210" s="7">
        <f t="shared" si="29"/>
        <v>45000</v>
      </c>
      <c r="K210" s="8" t="s">
        <v>12</v>
      </c>
      <c r="L210" s="35" t="str">
        <f>+VLOOKUP(E210,MÃ!$B$2:$F$229,2,0)</f>
        <v>NL300203</v>
      </c>
      <c r="M210" s="36">
        <f>+VLOOKUP(T210,Sheet2!$B$2:$N$305,10,0)</f>
        <v>1</v>
      </c>
      <c r="N210" s="37">
        <f>+VLOOKUP(L210,MÃ!$C$2:$F$226,4,0)</f>
        <v>45000</v>
      </c>
      <c r="O210" s="37">
        <f t="shared" si="30"/>
        <v>45000</v>
      </c>
      <c r="P210" s="37">
        <f t="shared" si="31"/>
        <v>0</v>
      </c>
      <c r="Q210" s="35" t="str">
        <f t="shared" si="32"/>
        <v xml:space="preserve"> </v>
      </c>
      <c r="R210" s="27">
        <f>+VLOOKUP(T210,Sheet2!$B$2:$N$305,13,0)</f>
        <v>45000</v>
      </c>
      <c r="S210" s="38">
        <f t="shared" si="33"/>
        <v>0</v>
      </c>
      <c r="T210" t="str">
        <f t="shared" si="34"/>
        <v>11/01/2026NL300203</v>
      </c>
      <c r="U210" s="29">
        <f t="shared" si="35"/>
        <v>0</v>
      </c>
      <c r="V210" s="39">
        <f t="shared" si="36"/>
        <v>0</v>
      </c>
    </row>
    <row r="211" spans="1:22" x14ac:dyDescent="0.25">
      <c r="A211" s="4" t="s">
        <v>120</v>
      </c>
      <c r="B211" s="5" t="s">
        <v>83</v>
      </c>
      <c r="C211" s="4" t="s">
        <v>84</v>
      </c>
      <c r="D211" s="5" t="s">
        <v>143</v>
      </c>
      <c r="E211" s="4" t="s">
        <v>64</v>
      </c>
      <c r="F211" s="4" t="s">
        <v>65</v>
      </c>
      <c r="G211" s="4" t="s">
        <v>13</v>
      </c>
      <c r="H211" s="6">
        <v>1.1000000000000001</v>
      </c>
      <c r="I211" s="7">
        <v>50000</v>
      </c>
      <c r="J211" s="7">
        <f t="shared" si="29"/>
        <v>55000.000000000007</v>
      </c>
      <c r="K211" s="8" t="s">
        <v>12</v>
      </c>
      <c r="L211" s="35" t="str">
        <f>+VLOOKUP(E211,MÃ!$B$2:$F$229,2,0)</f>
        <v>NL300013</v>
      </c>
      <c r="M211" s="36">
        <f>+VLOOKUP(T211,Sheet2!$B$2:$N$305,10,0)</f>
        <v>1.1000000000000001</v>
      </c>
      <c r="N211" s="37">
        <f>+VLOOKUP(L211,MÃ!$C$2:$F$226,4,0)</f>
        <v>50000</v>
      </c>
      <c r="O211" s="37">
        <f t="shared" si="30"/>
        <v>55000.000000000007</v>
      </c>
      <c r="P211" s="37">
        <f t="shared" si="31"/>
        <v>0</v>
      </c>
      <c r="Q211" s="35" t="str">
        <f t="shared" si="32"/>
        <v xml:space="preserve"> </v>
      </c>
      <c r="R211" s="27">
        <f>+VLOOKUP(T211,Sheet2!$B$2:$N$305,13,0)</f>
        <v>55000.000000000007</v>
      </c>
      <c r="S211" s="38">
        <f t="shared" si="33"/>
        <v>0</v>
      </c>
      <c r="T211" t="str">
        <f t="shared" si="34"/>
        <v>11/01/2026NL300013</v>
      </c>
      <c r="U211" s="29">
        <f t="shared" si="35"/>
        <v>0</v>
      </c>
      <c r="V211" s="39">
        <f t="shared" si="36"/>
        <v>0</v>
      </c>
    </row>
    <row r="212" spans="1:22" x14ac:dyDescent="0.25">
      <c r="A212" s="4" t="s">
        <v>120</v>
      </c>
      <c r="B212" s="5" t="s">
        <v>83</v>
      </c>
      <c r="C212" s="4" t="s">
        <v>84</v>
      </c>
      <c r="D212" s="5" t="s">
        <v>143</v>
      </c>
      <c r="E212" s="4" t="s">
        <v>66</v>
      </c>
      <c r="F212" s="4" t="s">
        <v>67</v>
      </c>
      <c r="G212" s="4" t="s">
        <v>13</v>
      </c>
      <c r="H212" s="6">
        <v>7.5</v>
      </c>
      <c r="I212" s="7">
        <v>18000</v>
      </c>
      <c r="J212" s="7">
        <f t="shared" si="29"/>
        <v>135000</v>
      </c>
      <c r="K212" s="8" t="s">
        <v>12</v>
      </c>
      <c r="L212" s="35" t="str">
        <f>+VLOOKUP(E212,MÃ!$B$2:$F$229,2,0)</f>
        <v>NL300022</v>
      </c>
      <c r="M212" s="36">
        <f>+VLOOKUP(T212,Sheet2!$B$2:$N$305,10,0)</f>
        <v>6</v>
      </c>
      <c r="N212" s="37">
        <f>+VLOOKUP(L212,MÃ!$C$2:$F$226,4,0)</f>
        <v>18000</v>
      </c>
      <c r="O212" s="37">
        <f t="shared" si="30"/>
        <v>108000</v>
      </c>
      <c r="P212" s="37">
        <f t="shared" si="31"/>
        <v>27000</v>
      </c>
      <c r="Q212" s="35" t="str">
        <f t="shared" si="32"/>
        <v>SAI SL NHẬN</v>
      </c>
      <c r="R212" s="27">
        <f>+VLOOKUP(T212,Sheet2!$B$2:$N$305,13,0)</f>
        <v>108000</v>
      </c>
      <c r="S212" s="38">
        <f t="shared" si="33"/>
        <v>0</v>
      </c>
      <c r="T212" t="str">
        <f t="shared" si="34"/>
        <v>11/01/2026NL300022</v>
      </c>
      <c r="U212" s="29">
        <f t="shared" si="35"/>
        <v>1.5</v>
      </c>
      <c r="V212" s="39">
        <f t="shared" si="36"/>
        <v>0</v>
      </c>
    </row>
    <row r="213" spans="1:22" x14ac:dyDescent="0.25">
      <c r="A213" s="4" t="s">
        <v>120</v>
      </c>
      <c r="B213" s="5" t="s">
        <v>83</v>
      </c>
      <c r="C213" s="4" t="s">
        <v>84</v>
      </c>
      <c r="D213" s="5" t="s">
        <v>143</v>
      </c>
      <c r="E213" s="4" t="s">
        <v>68</v>
      </c>
      <c r="F213" s="4" t="s">
        <v>69</v>
      </c>
      <c r="G213" s="4" t="s">
        <v>13</v>
      </c>
      <c r="H213" s="6">
        <v>1</v>
      </c>
      <c r="I213" s="7">
        <v>13000</v>
      </c>
      <c r="J213" s="7">
        <f t="shared" si="29"/>
        <v>13000</v>
      </c>
      <c r="K213" s="8" t="s">
        <v>12</v>
      </c>
      <c r="L213" s="35" t="str">
        <f>+VLOOKUP(E213,MÃ!$B$2:$F$229,2,0)</f>
        <v>NL300033</v>
      </c>
      <c r="M213" s="36">
        <f>+VLOOKUP(T213,Sheet2!$B$2:$N$305,10,0)</f>
        <v>1</v>
      </c>
      <c r="N213" s="37">
        <f>+VLOOKUP(L213,MÃ!$C$2:$F$226,4,0)</f>
        <v>13000</v>
      </c>
      <c r="O213" s="37">
        <f t="shared" si="30"/>
        <v>13000</v>
      </c>
      <c r="P213" s="37">
        <f t="shared" si="31"/>
        <v>0</v>
      </c>
      <c r="Q213" s="35" t="str">
        <f t="shared" si="32"/>
        <v xml:space="preserve"> </v>
      </c>
      <c r="R213" s="27">
        <f>+VLOOKUP(T213,Sheet2!$B$2:$N$305,13,0)</f>
        <v>13000</v>
      </c>
      <c r="S213" s="38">
        <f t="shared" si="33"/>
        <v>0</v>
      </c>
      <c r="T213" t="str">
        <f t="shared" si="34"/>
        <v>11/01/2026NL300033</v>
      </c>
      <c r="U213" s="29">
        <f t="shared" si="35"/>
        <v>0</v>
      </c>
      <c r="V213" s="39">
        <f t="shared" si="36"/>
        <v>0</v>
      </c>
    </row>
    <row r="214" spans="1:22" x14ac:dyDescent="0.25">
      <c r="A214" s="4" t="s">
        <v>120</v>
      </c>
      <c r="B214" s="5" t="s">
        <v>83</v>
      </c>
      <c r="C214" s="4" t="s">
        <v>84</v>
      </c>
      <c r="D214" s="5" t="s">
        <v>143</v>
      </c>
      <c r="E214" s="4" t="s">
        <v>16</v>
      </c>
      <c r="F214" s="4" t="s">
        <v>17</v>
      </c>
      <c r="G214" s="4" t="s">
        <v>13</v>
      </c>
      <c r="H214" s="6">
        <v>1</v>
      </c>
      <c r="I214" s="7">
        <v>47000</v>
      </c>
      <c r="J214" s="7">
        <f t="shared" si="29"/>
        <v>47000</v>
      </c>
      <c r="K214" s="8" t="s">
        <v>12</v>
      </c>
      <c r="L214" s="35" t="str">
        <f>+VLOOKUP(E214,MÃ!$B$2:$F$229,2,0)</f>
        <v>NL300036</v>
      </c>
      <c r="M214" s="36">
        <f>+VLOOKUP(T214,Sheet2!$B$2:$N$305,10,0)</f>
        <v>0.9</v>
      </c>
      <c r="N214" s="37">
        <f>+VLOOKUP(L214,MÃ!$C$2:$F$226,4,0)</f>
        <v>47000</v>
      </c>
      <c r="O214" s="37">
        <f t="shared" si="30"/>
        <v>42300</v>
      </c>
      <c r="P214" s="37">
        <f t="shared" si="31"/>
        <v>4700</v>
      </c>
      <c r="Q214" s="35" t="str">
        <f t="shared" si="32"/>
        <v>SAI SL NHẬN</v>
      </c>
      <c r="R214" s="27">
        <f>+VLOOKUP(T214,Sheet2!$B$2:$N$305,13,0)</f>
        <v>42300</v>
      </c>
      <c r="S214" s="38">
        <f t="shared" si="33"/>
        <v>0</v>
      </c>
      <c r="T214" t="str">
        <f t="shared" si="34"/>
        <v>11/01/2026NL300036</v>
      </c>
      <c r="U214" s="29">
        <f t="shared" si="35"/>
        <v>9.9999999999999978E-2</v>
      </c>
      <c r="V214" s="39">
        <f t="shared" si="36"/>
        <v>0</v>
      </c>
    </row>
    <row r="215" spans="1:22" x14ac:dyDescent="0.25">
      <c r="A215" s="4" t="s">
        <v>120</v>
      </c>
      <c r="B215" s="5" t="s">
        <v>83</v>
      </c>
      <c r="C215" s="4" t="s">
        <v>84</v>
      </c>
      <c r="D215" s="5" t="s">
        <v>143</v>
      </c>
      <c r="E215" s="4" t="s">
        <v>50</v>
      </c>
      <c r="F215" s="4" t="s">
        <v>51</v>
      </c>
      <c r="G215" s="4" t="s">
        <v>13</v>
      </c>
      <c r="H215" s="6">
        <v>15</v>
      </c>
      <c r="I215" s="7">
        <v>18000</v>
      </c>
      <c r="J215" s="7">
        <f t="shared" si="29"/>
        <v>270000</v>
      </c>
      <c r="K215" s="8" t="s">
        <v>12</v>
      </c>
      <c r="L215" s="35" t="str">
        <f>+VLOOKUP(E215,MÃ!$B$2:$F$229,2,0)</f>
        <v>NL600004</v>
      </c>
      <c r="M215" s="36">
        <f>+VLOOKUP(T215,Sheet2!$B$2:$N$305,10,0)</f>
        <v>15</v>
      </c>
      <c r="N215" s="37">
        <f>+VLOOKUP(L215,MÃ!$C$2:$F$226,4,0)</f>
        <v>18000</v>
      </c>
      <c r="O215" s="37">
        <f t="shared" si="30"/>
        <v>270000</v>
      </c>
      <c r="P215" s="37">
        <f t="shared" si="31"/>
        <v>0</v>
      </c>
      <c r="Q215" s="35" t="str">
        <f t="shared" si="32"/>
        <v xml:space="preserve"> </v>
      </c>
      <c r="R215" s="27">
        <f>+VLOOKUP(T215,Sheet2!$B$2:$N$305,13,0)</f>
        <v>270000</v>
      </c>
      <c r="S215" s="38">
        <f t="shared" si="33"/>
        <v>0</v>
      </c>
      <c r="T215" t="str">
        <f t="shared" si="34"/>
        <v>11/01/2026NL600004</v>
      </c>
      <c r="U215" s="29">
        <f t="shared" si="35"/>
        <v>0</v>
      </c>
      <c r="V215" s="39">
        <f t="shared" si="36"/>
        <v>0</v>
      </c>
    </row>
    <row r="216" spans="1:22" x14ac:dyDescent="0.25">
      <c r="A216" s="4" t="s">
        <v>120</v>
      </c>
      <c r="B216" s="5" t="s">
        <v>83</v>
      </c>
      <c r="C216" s="4" t="s">
        <v>84</v>
      </c>
      <c r="D216" s="5" t="s">
        <v>143</v>
      </c>
      <c r="E216" s="4" t="s">
        <v>18</v>
      </c>
      <c r="F216" s="4" t="s">
        <v>19</v>
      </c>
      <c r="G216" s="4" t="s">
        <v>13</v>
      </c>
      <c r="H216" s="6">
        <v>0.6</v>
      </c>
      <c r="I216" s="7">
        <v>55000</v>
      </c>
      <c r="J216" s="7">
        <f t="shared" si="29"/>
        <v>33000</v>
      </c>
      <c r="K216" s="8" t="s">
        <v>12</v>
      </c>
      <c r="L216" s="35" t="str">
        <f>+VLOOKUP(E216,MÃ!$B$2:$F$229,2,0)</f>
        <v>NL300058</v>
      </c>
      <c r="M216" s="36">
        <f>+VLOOKUP(T216,Sheet2!$B$2:$N$305,10,0)</f>
        <v>0.6</v>
      </c>
      <c r="N216" s="37">
        <f>+VLOOKUP(L216,MÃ!$C$2:$F$226,4,0)</f>
        <v>55000</v>
      </c>
      <c r="O216" s="37">
        <f t="shared" si="30"/>
        <v>33000</v>
      </c>
      <c r="P216" s="37">
        <f t="shared" si="31"/>
        <v>0</v>
      </c>
      <c r="Q216" s="35" t="str">
        <f t="shared" si="32"/>
        <v xml:space="preserve"> </v>
      </c>
      <c r="R216" s="27">
        <f>+VLOOKUP(T216,Sheet2!$B$2:$N$305,13,0)</f>
        <v>33000</v>
      </c>
      <c r="S216" s="38">
        <f t="shared" si="33"/>
        <v>0</v>
      </c>
      <c r="T216" t="str">
        <f t="shared" si="34"/>
        <v>11/01/2026NL300058</v>
      </c>
      <c r="U216" s="29">
        <f t="shared" si="35"/>
        <v>0</v>
      </c>
      <c r="V216" s="39">
        <f t="shared" si="36"/>
        <v>0</v>
      </c>
    </row>
    <row r="217" spans="1:22" x14ac:dyDescent="0.25">
      <c r="A217" s="4" t="s">
        <v>120</v>
      </c>
      <c r="B217" s="5" t="s">
        <v>83</v>
      </c>
      <c r="C217" s="4" t="s">
        <v>84</v>
      </c>
      <c r="D217" s="5" t="s">
        <v>143</v>
      </c>
      <c r="E217" s="4" t="s">
        <v>70</v>
      </c>
      <c r="F217" s="4" t="s">
        <v>71</v>
      </c>
      <c r="G217" s="4" t="s">
        <v>13</v>
      </c>
      <c r="H217" s="6">
        <v>1.1000000000000001</v>
      </c>
      <c r="I217" s="7">
        <v>30000</v>
      </c>
      <c r="J217" s="7">
        <f t="shared" si="29"/>
        <v>33000</v>
      </c>
      <c r="K217" s="8" t="s">
        <v>12</v>
      </c>
      <c r="L217" s="35" t="str">
        <f>+VLOOKUP(E217,MÃ!$B$2:$F$229,2,0)</f>
        <v>NL300209</v>
      </c>
      <c r="M217" s="36">
        <f>+VLOOKUP(T217,Sheet2!$B$2:$N$305,10,0)</f>
        <v>1.1000000000000001</v>
      </c>
      <c r="N217" s="37">
        <f>+VLOOKUP(L217,MÃ!$C$2:$F$226,4,0)</f>
        <v>30000</v>
      </c>
      <c r="O217" s="37">
        <f t="shared" si="30"/>
        <v>33000</v>
      </c>
      <c r="P217" s="37">
        <f t="shared" si="31"/>
        <v>0</v>
      </c>
      <c r="Q217" s="35" t="str">
        <f t="shared" si="32"/>
        <v xml:space="preserve"> </v>
      </c>
      <c r="R217" s="27">
        <f>+VLOOKUP(T217,Sheet2!$B$2:$N$305,13,0)</f>
        <v>33000</v>
      </c>
      <c r="S217" s="38">
        <f t="shared" si="33"/>
        <v>0</v>
      </c>
      <c r="T217" t="str">
        <f t="shared" si="34"/>
        <v>11/01/2026NL300209</v>
      </c>
      <c r="U217" s="29">
        <f t="shared" si="35"/>
        <v>0</v>
      </c>
      <c r="V217" s="39">
        <f t="shared" si="36"/>
        <v>0</v>
      </c>
    </row>
    <row r="218" spans="1:22" x14ac:dyDescent="0.25">
      <c r="A218" s="4" t="s">
        <v>120</v>
      </c>
      <c r="B218" s="5" t="s">
        <v>83</v>
      </c>
      <c r="C218" s="4" t="s">
        <v>84</v>
      </c>
      <c r="D218" s="5" t="s">
        <v>143</v>
      </c>
      <c r="E218" s="4" t="s">
        <v>72</v>
      </c>
      <c r="F218" s="4" t="s">
        <v>73</v>
      </c>
      <c r="G218" s="4" t="s">
        <v>13</v>
      </c>
      <c r="H218" s="6">
        <v>1.4</v>
      </c>
      <c r="I218" s="7">
        <v>18000</v>
      </c>
      <c r="J218" s="7">
        <f t="shared" si="29"/>
        <v>25200</v>
      </c>
      <c r="K218" s="8" t="s">
        <v>12</v>
      </c>
      <c r="L218" s="35" t="str">
        <f>+VLOOKUP(E218,MÃ!$B$2:$F$229,2,0)</f>
        <v>NL300074</v>
      </c>
      <c r="M218" s="36">
        <f>+VLOOKUP(T218,Sheet2!$B$2:$N$305,10,0)</f>
        <v>1.4</v>
      </c>
      <c r="N218" s="37">
        <f>+VLOOKUP(L218,MÃ!$C$2:$F$226,4,0)</f>
        <v>18000</v>
      </c>
      <c r="O218" s="37">
        <f t="shared" si="30"/>
        <v>25200</v>
      </c>
      <c r="P218" s="37">
        <f t="shared" si="31"/>
        <v>0</v>
      </c>
      <c r="Q218" s="35" t="str">
        <f t="shared" si="32"/>
        <v xml:space="preserve"> </v>
      </c>
      <c r="R218" s="27">
        <f>+VLOOKUP(T218,Sheet2!$B$2:$N$305,13,0)</f>
        <v>25200</v>
      </c>
      <c r="S218" s="38">
        <f t="shared" si="33"/>
        <v>0</v>
      </c>
      <c r="T218" t="str">
        <f t="shared" si="34"/>
        <v>11/01/2026NL300074</v>
      </c>
      <c r="U218" s="29">
        <f t="shared" si="35"/>
        <v>0</v>
      </c>
      <c r="V218" s="39">
        <f t="shared" si="36"/>
        <v>0</v>
      </c>
    </row>
    <row r="219" spans="1:22" x14ac:dyDescent="0.25">
      <c r="A219" s="4" t="s">
        <v>120</v>
      </c>
      <c r="B219" s="5" t="s">
        <v>83</v>
      </c>
      <c r="C219" s="4" t="s">
        <v>84</v>
      </c>
      <c r="D219" s="5" t="s">
        <v>143</v>
      </c>
      <c r="E219" s="4" t="s">
        <v>74</v>
      </c>
      <c r="F219" s="4" t="s">
        <v>75</v>
      </c>
      <c r="G219" s="4" t="s">
        <v>13</v>
      </c>
      <c r="H219" s="6">
        <v>4</v>
      </c>
      <c r="I219" s="7">
        <v>22000</v>
      </c>
      <c r="J219" s="7">
        <f t="shared" si="29"/>
        <v>88000</v>
      </c>
      <c r="K219" s="8" t="s">
        <v>12</v>
      </c>
      <c r="L219" s="35" t="str">
        <f>+VLOOKUP(E219,MÃ!$B$2:$F$229,2,0)</f>
        <v>NL300084</v>
      </c>
      <c r="M219" s="36">
        <f>+VLOOKUP(T219,Sheet2!$B$2:$N$305,10,0)</f>
        <v>2</v>
      </c>
      <c r="N219" s="37">
        <f>+VLOOKUP(L219,MÃ!$C$2:$F$226,4,0)</f>
        <v>22000</v>
      </c>
      <c r="O219" s="37">
        <f t="shared" si="30"/>
        <v>44000</v>
      </c>
      <c r="P219" s="37">
        <f t="shared" si="31"/>
        <v>44000</v>
      </c>
      <c r="Q219" s="35" t="str">
        <f t="shared" si="32"/>
        <v>SAI SL NHẬN</v>
      </c>
      <c r="R219" s="27">
        <f>+VLOOKUP(T219,Sheet2!$B$2:$N$305,13,0)</f>
        <v>44000</v>
      </c>
      <c r="S219" s="38">
        <f t="shared" si="33"/>
        <v>0</v>
      </c>
      <c r="T219" t="str">
        <f t="shared" si="34"/>
        <v>11/01/2026NL300084</v>
      </c>
      <c r="U219" s="29">
        <f t="shared" si="35"/>
        <v>2</v>
      </c>
      <c r="V219" s="39">
        <f t="shared" si="36"/>
        <v>0</v>
      </c>
    </row>
    <row r="220" spans="1:22" x14ac:dyDescent="0.25">
      <c r="A220" s="4" t="s">
        <v>120</v>
      </c>
      <c r="B220" s="5" t="s">
        <v>83</v>
      </c>
      <c r="C220" s="4" t="s">
        <v>84</v>
      </c>
      <c r="D220" s="5" t="s">
        <v>143</v>
      </c>
      <c r="E220" s="4" t="s">
        <v>38</v>
      </c>
      <c r="F220" s="4" t="s">
        <v>39</v>
      </c>
      <c r="G220" s="4" t="s">
        <v>13</v>
      </c>
      <c r="H220" s="6">
        <v>3</v>
      </c>
      <c r="I220" s="7">
        <v>47000</v>
      </c>
      <c r="J220" s="7">
        <f t="shared" si="29"/>
        <v>141000</v>
      </c>
      <c r="K220" s="8" t="s">
        <v>12</v>
      </c>
      <c r="L220" s="35" t="str">
        <f>+VLOOKUP(E220,MÃ!$B$2:$F$229,2,0)</f>
        <v>NL300091</v>
      </c>
      <c r="M220" s="36">
        <f>+VLOOKUP(T220,Sheet2!$B$2:$N$305,10,0)</f>
        <v>3</v>
      </c>
      <c r="N220" s="37">
        <f>+VLOOKUP(L220,MÃ!$C$2:$F$226,4,0)</f>
        <v>47000</v>
      </c>
      <c r="O220" s="37">
        <f t="shared" si="30"/>
        <v>141000</v>
      </c>
      <c r="P220" s="37">
        <f t="shared" si="31"/>
        <v>0</v>
      </c>
      <c r="Q220" s="35" t="str">
        <f t="shared" si="32"/>
        <v xml:space="preserve"> </v>
      </c>
      <c r="R220" s="27">
        <f>+VLOOKUP(T220,Sheet2!$B$2:$N$305,13,0)</f>
        <v>141000</v>
      </c>
      <c r="S220" s="38">
        <f t="shared" si="33"/>
        <v>0</v>
      </c>
      <c r="T220" t="str">
        <f t="shared" si="34"/>
        <v>11/01/2026NL300091</v>
      </c>
      <c r="U220" s="29">
        <f t="shared" si="35"/>
        <v>0</v>
      </c>
      <c r="V220" s="39">
        <f t="shared" si="36"/>
        <v>0</v>
      </c>
    </row>
    <row r="221" spans="1:22" x14ac:dyDescent="0.25">
      <c r="A221" s="4" t="s">
        <v>120</v>
      </c>
      <c r="B221" s="5" t="s">
        <v>83</v>
      </c>
      <c r="C221" s="4" t="s">
        <v>84</v>
      </c>
      <c r="D221" s="5" t="s">
        <v>143</v>
      </c>
      <c r="E221" s="4" t="s">
        <v>40</v>
      </c>
      <c r="F221" s="4" t="s">
        <v>41</v>
      </c>
      <c r="G221" s="4" t="s">
        <v>13</v>
      </c>
      <c r="H221" s="6">
        <v>1</v>
      </c>
      <c r="I221" s="7">
        <v>80000</v>
      </c>
      <c r="J221" s="7">
        <f t="shared" si="29"/>
        <v>80000</v>
      </c>
      <c r="K221" s="8" t="s">
        <v>12</v>
      </c>
      <c r="L221" s="35" t="str">
        <f>+VLOOKUP(E221,MÃ!$B$2:$F$229,2,0)</f>
        <v>NL300094</v>
      </c>
      <c r="M221" s="36">
        <f>+VLOOKUP(T221,Sheet2!$B$2:$N$305,10,0)</f>
        <v>1</v>
      </c>
      <c r="N221" s="37">
        <f>+VLOOKUP(L221,MÃ!$C$2:$F$226,4,0)</f>
        <v>80000</v>
      </c>
      <c r="O221" s="37">
        <f t="shared" si="30"/>
        <v>80000</v>
      </c>
      <c r="P221" s="37">
        <f t="shared" si="31"/>
        <v>0</v>
      </c>
      <c r="Q221" s="35" t="str">
        <f t="shared" si="32"/>
        <v xml:space="preserve"> </v>
      </c>
      <c r="R221" s="27">
        <f>+VLOOKUP(T221,Sheet2!$B$2:$N$305,13,0)</f>
        <v>80000</v>
      </c>
      <c r="S221" s="38">
        <f t="shared" si="33"/>
        <v>0</v>
      </c>
      <c r="T221" t="str">
        <f t="shared" si="34"/>
        <v>11/01/2026NL300094</v>
      </c>
      <c r="U221" s="29">
        <f t="shared" si="35"/>
        <v>0</v>
      </c>
      <c r="V221" s="39">
        <f t="shared" si="36"/>
        <v>0</v>
      </c>
    </row>
    <row r="222" spans="1:22" x14ac:dyDescent="0.25">
      <c r="A222" s="4" t="s">
        <v>120</v>
      </c>
      <c r="B222" s="5" t="s">
        <v>83</v>
      </c>
      <c r="C222" s="4" t="s">
        <v>84</v>
      </c>
      <c r="D222" s="5" t="s">
        <v>143</v>
      </c>
      <c r="E222" s="4" t="s">
        <v>42</v>
      </c>
      <c r="F222" s="4" t="s">
        <v>43</v>
      </c>
      <c r="G222" s="4" t="s">
        <v>13</v>
      </c>
      <c r="H222" s="6">
        <v>6</v>
      </c>
      <c r="I222" s="7">
        <v>45000</v>
      </c>
      <c r="J222" s="7">
        <f t="shared" si="29"/>
        <v>270000</v>
      </c>
      <c r="K222" s="8" t="s">
        <v>12</v>
      </c>
      <c r="L222" s="35" t="str">
        <f>+VLOOKUP(E222,MÃ!$B$2:$F$229,2,0)</f>
        <v>NL300096</v>
      </c>
      <c r="M222" s="36">
        <f>+VLOOKUP(T222,Sheet2!$B$2:$N$305,10,0)</f>
        <v>6</v>
      </c>
      <c r="N222" s="37">
        <f>+VLOOKUP(L222,MÃ!$C$2:$F$226,4,0)</f>
        <v>45000</v>
      </c>
      <c r="O222" s="37">
        <f t="shared" si="30"/>
        <v>270000</v>
      </c>
      <c r="P222" s="37">
        <f t="shared" si="31"/>
        <v>0</v>
      </c>
      <c r="Q222" s="35" t="str">
        <f t="shared" si="32"/>
        <v xml:space="preserve"> </v>
      </c>
      <c r="R222" s="27">
        <f>+VLOOKUP(T222,Sheet2!$B$2:$N$305,13,0)</f>
        <v>270000</v>
      </c>
      <c r="S222" s="38">
        <f t="shared" si="33"/>
        <v>0</v>
      </c>
      <c r="T222" t="str">
        <f t="shared" si="34"/>
        <v>11/01/2026NL300096</v>
      </c>
      <c r="U222" s="29">
        <f t="shared" si="35"/>
        <v>0</v>
      </c>
      <c r="V222" s="39">
        <f t="shared" si="36"/>
        <v>0</v>
      </c>
    </row>
    <row r="223" spans="1:22" ht="28.5" x14ac:dyDescent="0.25">
      <c r="A223" s="4" t="s">
        <v>120</v>
      </c>
      <c r="B223" s="5" t="s">
        <v>83</v>
      </c>
      <c r="C223" s="4" t="s">
        <v>84</v>
      </c>
      <c r="D223" s="5" t="s">
        <v>143</v>
      </c>
      <c r="E223" s="4" t="s">
        <v>44</v>
      </c>
      <c r="F223" s="4" t="s">
        <v>45</v>
      </c>
      <c r="G223" s="4" t="s">
        <v>13</v>
      </c>
      <c r="H223" s="6">
        <v>5.4</v>
      </c>
      <c r="I223" s="7">
        <v>95000</v>
      </c>
      <c r="J223" s="7">
        <f t="shared" si="29"/>
        <v>513000.00000000006</v>
      </c>
      <c r="K223" s="8" t="s">
        <v>12</v>
      </c>
      <c r="L223" s="35" t="str">
        <f>+VLOOKUP(E223,MÃ!$B$2:$F$229,2,0)</f>
        <v>NL300098</v>
      </c>
      <c r="M223" s="36">
        <f>+VLOOKUP(T223,Sheet2!$B$2:$N$305,10,0)</f>
        <v>5.4</v>
      </c>
      <c r="N223" s="37">
        <f>+VLOOKUP(L223,MÃ!$C$2:$F$226,4,0)</f>
        <v>95000</v>
      </c>
      <c r="O223" s="37">
        <f t="shared" si="30"/>
        <v>513000.00000000006</v>
      </c>
      <c r="P223" s="37">
        <f t="shared" si="31"/>
        <v>0</v>
      </c>
      <c r="Q223" s="35" t="str">
        <f t="shared" si="32"/>
        <v xml:space="preserve"> </v>
      </c>
      <c r="R223" s="27">
        <f>+VLOOKUP(T223,Sheet2!$B$2:$N$305,13,0)</f>
        <v>513000.00000000006</v>
      </c>
      <c r="S223" s="38">
        <f t="shared" si="33"/>
        <v>0</v>
      </c>
      <c r="T223" t="str">
        <f t="shared" si="34"/>
        <v>11/01/2026NL300098</v>
      </c>
      <c r="U223" s="29">
        <f t="shared" si="35"/>
        <v>0</v>
      </c>
      <c r="V223" s="39">
        <f t="shared" si="36"/>
        <v>0</v>
      </c>
    </row>
    <row r="224" spans="1:22" x14ac:dyDescent="0.25">
      <c r="A224" s="4" t="s">
        <v>120</v>
      </c>
      <c r="B224" s="5" t="s">
        <v>83</v>
      </c>
      <c r="C224" s="4" t="s">
        <v>84</v>
      </c>
      <c r="D224" s="5" t="s">
        <v>143</v>
      </c>
      <c r="E224" s="4" t="s">
        <v>20</v>
      </c>
      <c r="F224" s="4" t="s">
        <v>21</v>
      </c>
      <c r="G224" s="4" t="s">
        <v>13</v>
      </c>
      <c r="H224" s="6">
        <v>1</v>
      </c>
      <c r="I224" s="7">
        <v>45000</v>
      </c>
      <c r="J224" s="7">
        <f t="shared" si="29"/>
        <v>45000</v>
      </c>
      <c r="K224" s="8" t="s">
        <v>12</v>
      </c>
      <c r="L224" s="35" t="str">
        <f>+VLOOKUP(E224,MÃ!$B$2:$F$229,2,0)</f>
        <v>NL300085</v>
      </c>
      <c r="M224" s="36">
        <f>+VLOOKUP(T224,Sheet2!$B$2:$N$305,10,0)</f>
        <v>1</v>
      </c>
      <c r="N224" s="37">
        <f>+VLOOKUP(L224,MÃ!$C$2:$F$226,4,0)</f>
        <v>45000</v>
      </c>
      <c r="O224" s="37">
        <f t="shared" si="30"/>
        <v>45000</v>
      </c>
      <c r="P224" s="37">
        <f t="shared" si="31"/>
        <v>0</v>
      </c>
      <c r="Q224" s="35" t="str">
        <f t="shared" si="32"/>
        <v xml:space="preserve"> </v>
      </c>
      <c r="R224" s="27">
        <f>+VLOOKUP(T224,Sheet2!$B$2:$N$305,13,0)</f>
        <v>45000</v>
      </c>
      <c r="S224" s="38">
        <f t="shared" si="33"/>
        <v>0</v>
      </c>
      <c r="T224" t="str">
        <f t="shared" si="34"/>
        <v>11/01/2026NL300085</v>
      </c>
      <c r="U224" s="29">
        <f t="shared" si="35"/>
        <v>0</v>
      </c>
      <c r="V224" s="39">
        <f t="shared" si="36"/>
        <v>0</v>
      </c>
    </row>
    <row r="225" spans="1:22" x14ac:dyDescent="0.25">
      <c r="A225" s="4" t="s">
        <v>120</v>
      </c>
      <c r="B225" s="5" t="s">
        <v>83</v>
      </c>
      <c r="C225" s="4" t="s">
        <v>84</v>
      </c>
      <c r="D225" s="5" t="s">
        <v>143</v>
      </c>
      <c r="E225" s="4" t="s">
        <v>46</v>
      </c>
      <c r="F225" s="4" t="s">
        <v>47</v>
      </c>
      <c r="G225" s="4" t="s">
        <v>13</v>
      </c>
      <c r="H225" s="6">
        <v>0.2</v>
      </c>
      <c r="I225" s="7">
        <v>70000</v>
      </c>
      <c r="J225" s="7">
        <f t="shared" si="29"/>
        <v>14000</v>
      </c>
      <c r="K225" s="8" t="s">
        <v>12</v>
      </c>
      <c r="L225" s="35" t="str">
        <f>+VLOOKUP(E225,MÃ!$B$2:$F$229,2,0)</f>
        <v>NL300126</v>
      </c>
      <c r="M225" s="36">
        <f>+VLOOKUP(T225,Sheet2!$B$2:$N$305,10,0)</f>
        <v>0.2</v>
      </c>
      <c r="N225" s="37">
        <f>+VLOOKUP(L225,MÃ!$C$2:$F$226,4,0)</f>
        <v>70000</v>
      </c>
      <c r="O225" s="37">
        <f t="shared" si="30"/>
        <v>14000</v>
      </c>
      <c r="P225" s="37">
        <f t="shared" si="31"/>
        <v>0</v>
      </c>
      <c r="Q225" s="35" t="str">
        <f t="shared" si="32"/>
        <v xml:space="preserve"> </v>
      </c>
      <c r="R225" s="27">
        <f>+VLOOKUP(T225,Sheet2!$B$2:$N$305,13,0)</f>
        <v>14000</v>
      </c>
      <c r="S225" s="38">
        <f t="shared" si="33"/>
        <v>0</v>
      </c>
      <c r="T225" t="str">
        <f t="shared" si="34"/>
        <v>11/01/2026NL300126</v>
      </c>
      <c r="U225" s="29">
        <f t="shared" si="35"/>
        <v>0</v>
      </c>
      <c r="V225" s="39">
        <f t="shared" si="36"/>
        <v>0</v>
      </c>
    </row>
    <row r="226" spans="1:22" x14ac:dyDescent="0.25">
      <c r="A226" s="4" t="s">
        <v>120</v>
      </c>
      <c r="B226" s="5" t="s">
        <v>83</v>
      </c>
      <c r="C226" s="4" t="s">
        <v>84</v>
      </c>
      <c r="D226" s="5" t="s">
        <v>143</v>
      </c>
      <c r="E226" s="4" t="s">
        <v>29</v>
      </c>
      <c r="F226" s="4" t="s">
        <v>30</v>
      </c>
      <c r="G226" s="4" t="s">
        <v>13</v>
      </c>
      <c r="H226" s="6">
        <v>1</v>
      </c>
      <c r="I226" s="7">
        <v>145000</v>
      </c>
      <c r="J226" s="7">
        <f t="shared" si="29"/>
        <v>145000</v>
      </c>
      <c r="K226" s="8" t="s">
        <v>12</v>
      </c>
      <c r="L226" s="35" t="str">
        <f>+VLOOKUP(E226,MÃ!$B$2:$F$229,2,0)</f>
        <v>NL300113</v>
      </c>
      <c r="M226" s="36">
        <f>+VLOOKUP(T226,Sheet2!$B$2:$N$305,10,0)</f>
        <v>1</v>
      </c>
      <c r="N226" s="37">
        <f>+VLOOKUP(L226,MÃ!$C$2:$F$226,4,0)</f>
        <v>145000</v>
      </c>
      <c r="O226" s="37">
        <f t="shared" si="30"/>
        <v>145000</v>
      </c>
      <c r="P226" s="37">
        <f t="shared" si="31"/>
        <v>0</v>
      </c>
      <c r="Q226" s="35" t="str">
        <f t="shared" si="32"/>
        <v xml:space="preserve"> </v>
      </c>
      <c r="R226" s="27">
        <f>+VLOOKUP(T226,Sheet2!$B$2:$N$305,13,0)</f>
        <v>145000</v>
      </c>
      <c r="S226" s="38">
        <f t="shared" si="33"/>
        <v>0</v>
      </c>
      <c r="T226" t="str">
        <f t="shared" si="34"/>
        <v>11/01/2026NL300113</v>
      </c>
      <c r="U226" s="29">
        <f t="shared" si="35"/>
        <v>0</v>
      </c>
      <c r="V226" s="39">
        <f t="shared" si="36"/>
        <v>0</v>
      </c>
    </row>
    <row r="227" spans="1:22" x14ac:dyDescent="0.25">
      <c r="A227" s="4" t="s">
        <v>120</v>
      </c>
      <c r="B227" s="5" t="s">
        <v>83</v>
      </c>
      <c r="C227" s="4" t="s">
        <v>84</v>
      </c>
      <c r="D227" s="5" t="s">
        <v>143</v>
      </c>
      <c r="E227" s="4" t="s">
        <v>27</v>
      </c>
      <c r="F227" s="4" t="s">
        <v>28</v>
      </c>
      <c r="G227" s="4" t="s">
        <v>13</v>
      </c>
      <c r="H227" s="6">
        <v>4.5999999999999996</v>
      </c>
      <c r="I227" s="7">
        <v>21000</v>
      </c>
      <c r="J227" s="7">
        <f t="shared" si="29"/>
        <v>96599.999999999985</v>
      </c>
      <c r="K227" s="8" t="s">
        <v>12</v>
      </c>
      <c r="L227" s="35" t="str">
        <f>+VLOOKUP(E227,MÃ!$B$2:$F$229,2,0)</f>
        <v>NL300119</v>
      </c>
      <c r="M227" s="36">
        <f>+VLOOKUP(T227,Sheet2!$B$2:$N$305,10,0)</f>
        <v>4.5999999999999996</v>
      </c>
      <c r="N227" s="37">
        <f>+VLOOKUP(L227,MÃ!$C$2:$F$226,4,0)</f>
        <v>21000</v>
      </c>
      <c r="O227" s="37">
        <f t="shared" si="30"/>
        <v>96599.999999999985</v>
      </c>
      <c r="P227" s="37">
        <f t="shared" si="31"/>
        <v>0</v>
      </c>
      <c r="Q227" s="35" t="str">
        <f t="shared" si="32"/>
        <v xml:space="preserve"> </v>
      </c>
      <c r="R227" s="27">
        <f>+VLOOKUP(T227,Sheet2!$B$2:$N$305,13,0)</f>
        <v>96599.999999999985</v>
      </c>
      <c r="S227" s="38">
        <f t="shared" si="33"/>
        <v>0</v>
      </c>
      <c r="T227" t="str">
        <f t="shared" si="34"/>
        <v>11/01/2026NL300119</v>
      </c>
      <c r="U227" s="29">
        <f t="shared" si="35"/>
        <v>0</v>
      </c>
      <c r="V227" s="39">
        <f t="shared" si="36"/>
        <v>0</v>
      </c>
    </row>
    <row r="228" spans="1:22" x14ac:dyDescent="0.25">
      <c r="A228" s="4" t="s">
        <v>120</v>
      </c>
      <c r="B228" s="5" t="s">
        <v>83</v>
      </c>
      <c r="C228" s="4" t="s">
        <v>84</v>
      </c>
      <c r="D228" s="5" t="s">
        <v>143</v>
      </c>
      <c r="E228" s="4" t="s">
        <v>76</v>
      </c>
      <c r="F228" s="4" t="s">
        <v>77</v>
      </c>
      <c r="G228" s="4" t="s">
        <v>13</v>
      </c>
      <c r="H228" s="6">
        <v>3</v>
      </c>
      <c r="I228" s="7">
        <v>38000</v>
      </c>
      <c r="J228" s="7">
        <f t="shared" si="29"/>
        <v>114000</v>
      </c>
      <c r="K228" s="8" t="s">
        <v>12</v>
      </c>
      <c r="L228" s="35" t="str">
        <f>+VLOOKUP(E228,MÃ!$B$2:$F$229,2,0)</f>
        <v>NL300018</v>
      </c>
      <c r="M228" s="36">
        <f>+VLOOKUP(T228,Sheet2!$B$2:$N$305,10,0)</f>
        <v>2.5</v>
      </c>
      <c r="N228" s="37">
        <f>+VLOOKUP(L228,MÃ!$C$2:$F$226,4,0)</f>
        <v>38000</v>
      </c>
      <c r="O228" s="37">
        <f t="shared" si="30"/>
        <v>95000</v>
      </c>
      <c r="P228" s="37">
        <f t="shared" si="31"/>
        <v>19000</v>
      </c>
      <c r="Q228" s="35" t="str">
        <f t="shared" si="32"/>
        <v>SAI SL NHẬN</v>
      </c>
      <c r="R228" s="27">
        <f>+VLOOKUP(T228,Sheet2!$B$2:$N$305,13,0)</f>
        <v>95000</v>
      </c>
      <c r="S228" s="38">
        <f t="shared" si="33"/>
        <v>0</v>
      </c>
      <c r="T228" t="str">
        <f t="shared" si="34"/>
        <v>11/01/2026NL300018</v>
      </c>
      <c r="U228" s="29">
        <f t="shared" si="35"/>
        <v>0.5</v>
      </c>
      <c r="V228" s="39">
        <f t="shared" si="36"/>
        <v>0</v>
      </c>
    </row>
    <row r="229" spans="1:22" x14ac:dyDescent="0.25">
      <c r="A229" s="4" t="s">
        <v>120</v>
      </c>
      <c r="B229" s="5" t="s">
        <v>83</v>
      </c>
      <c r="C229" s="4" t="s">
        <v>84</v>
      </c>
      <c r="D229" s="5" t="s">
        <v>143</v>
      </c>
      <c r="E229" s="4" t="s">
        <v>14</v>
      </c>
      <c r="F229" s="4" t="s">
        <v>15</v>
      </c>
      <c r="G229" s="4" t="s">
        <v>13</v>
      </c>
      <c r="H229" s="6">
        <v>1.6</v>
      </c>
      <c r="I229" s="7">
        <v>50000</v>
      </c>
      <c r="J229" s="7">
        <f t="shared" si="29"/>
        <v>80000</v>
      </c>
      <c r="K229" s="8" t="s">
        <v>12</v>
      </c>
      <c r="L229" s="35" t="str">
        <f>+VLOOKUP(E229,MÃ!$B$2:$F$229,2,0)</f>
        <v>NL300142</v>
      </c>
      <c r="M229" s="36">
        <f>+VLOOKUP(T229,Sheet2!$B$2:$N$305,10,0)</f>
        <v>1.6</v>
      </c>
      <c r="N229" s="37">
        <f>+VLOOKUP(L229,MÃ!$C$2:$F$226,4,0)</f>
        <v>50000</v>
      </c>
      <c r="O229" s="37">
        <f t="shared" si="30"/>
        <v>80000</v>
      </c>
      <c r="P229" s="37">
        <f t="shared" si="31"/>
        <v>0</v>
      </c>
      <c r="Q229" s="35" t="str">
        <f t="shared" si="32"/>
        <v xml:space="preserve"> </v>
      </c>
      <c r="R229" s="27">
        <f>+VLOOKUP(T229,Sheet2!$B$2:$N$305,13,0)</f>
        <v>80000</v>
      </c>
      <c r="S229" s="38">
        <f t="shared" si="33"/>
        <v>0</v>
      </c>
      <c r="T229" t="str">
        <f t="shared" si="34"/>
        <v>11/01/2026NL300142</v>
      </c>
      <c r="U229" s="29">
        <f t="shared" si="35"/>
        <v>0</v>
      </c>
      <c r="V229" s="39">
        <f t="shared" si="36"/>
        <v>0</v>
      </c>
    </row>
    <row r="230" spans="1:22" x14ac:dyDescent="0.25">
      <c r="A230" s="4" t="s">
        <v>120</v>
      </c>
      <c r="B230" s="5" t="s">
        <v>83</v>
      </c>
      <c r="C230" s="4" t="s">
        <v>84</v>
      </c>
      <c r="D230" s="5" t="s">
        <v>143</v>
      </c>
      <c r="E230" s="4" t="s">
        <v>48</v>
      </c>
      <c r="F230" s="4" t="s">
        <v>49</v>
      </c>
      <c r="G230" s="4" t="s">
        <v>13</v>
      </c>
      <c r="H230" s="6">
        <v>8</v>
      </c>
      <c r="I230" s="7">
        <v>62000</v>
      </c>
      <c r="J230" s="7">
        <f t="shared" si="29"/>
        <v>496000</v>
      </c>
      <c r="K230" s="8" t="s">
        <v>12</v>
      </c>
      <c r="L230" s="35" t="str">
        <f>+VLOOKUP(E230,MÃ!$B$2:$F$229,2,0)</f>
        <v>NL300147</v>
      </c>
      <c r="M230" s="36">
        <f>+VLOOKUP(T230,Sheet2!$B$2:$N$305,10,0)</f>
        <v>7</v>
      </c>
      <c r="N230" s="37">
        <f>+VLOOKUP(L230,MÃ!$C$2:$F$226,4,0)</f>
        <v>62000</v>
      </c>
      <c r="O230" s="37">
        <f t="shared" si="30"/>
        <v>434000</v>
      </c>
      <c r="P230" s="37">
        <f t="shared" si="31"/>
        <v>62000</v>
      </c>
      <c r="Q230" s="35" t="str">
        <f t="shared" si="32"/>
        <v>SAI SL NHẬN</v>
      </c>
      <c r="R230" s="27">
        <f>+VLOOKUP(T230,Sheet2!$B$2:$N$305,13,0)</f>
        <v>434000</v>
      </c>
      <c r="S230" s="38">
        <f t="shared" si="33"/>
        <v>0</v>
      </c>
      <c r="T230" t="str">
        <f t="shared" si="34"/>
        <v>11/01/2026NL300147</v>
      </c>
      <c r="U230" s="29">
        <f t="shared" si="35"/>
        <v>1</v>
      </c>
      <c r="V230" s="39">
        <f t="shared" si="36"/>
        <v>0</v>
      </c>
    </row>
    <row r="231" spans="1:22" x14ac:dyDescent="0.25">
      <c r="A231" s="4" t="s">
        <v>123</v>
      </c>
      <c r="B231" s="5" t="s">
        <v>83</v>
      </c>
      <c r="C231" s="4" t="s">
        <v>84</v>
      </c>
      <c r="D231" s="5" t="s">
        <v>144</v>
      </c>
      <c r="E231" s="4" t="s">
        <v>31</v>
      </c>
      <c r="F231" s="4" t="s">
        <v>32</v>
      </c>
      <c r="G231" s="4" t="s">
        <v>33</v>
      </c>
      <c r="H231" s="6">
        <v>3</v>
      </c>
      <c r="I231" s="7">
        <v>8500</v>
      </c>
      <c r="J231" s="7">
        <f t="shared" si="29"/>
        <v>25500</v>
      </c>
      <c r="K231" s="8" t="s">
        <v>12</v>
      </c>
      <c r="L231" s="35" t="str">
        <f>+VLOOKUP(E231,MÃ!$B$2:$F$229,2,0)</f>
        <v>NL300107</v>
      </c>
      <c r="M231" s="36">
        <f>+VLOOKUP(T231,Sheet2!$B$2:$N$305,10,0)</f>
        <v>3</v>
      </c>
      <c r="N231" s="37">
        <f>+VLOOKUP(L231,MÃ!$C$2:$F$226,4,0)</f>
        <v>8500</v>
      </c>
      <c r="O231" s="37">
        <f t="shared" si="30"/>
        <v>25500</v>
      </c>
      <c r="P231" s="37">
        <f t="shared" si="31"/>
        <v>0</v>
      </c>
      <c r="Q231" s="35" t="str">
        <f t="shared" si="32"/>
        <v xml:space="preserve"> </v>
      </c>
      <c r="R231" s="27">
        <f>+VLOOKUP(T231,Sheet2!$B$2:$N$305,13,0)</f>
        <v>25500</v>
      </c>
      <c r="S231" s="38">
        <f t="shared" si="33"/>
        <v>0</v>
      </c>
      <c r="T231" t="str">
        <f t="shared" si="34"/>
        <v>12/01/2026NL300107</v>
      </c>
      <c r="U231" s="29">
        <f t="shared" si="35"/>
        <v>0</v>
      </c>
      <c r="V231" s="39">
        <f t="shared" si="36"/>
        <v>0</v>
      </c>
    </row>
    <row r="232" spans="1:22" x14ac:dyDescent="0.25">
      <c r="A232" s="4" t="s">
        <v>123</v>
      </c>
      <c r="B232" s="5" t="s">
        <v>83</v>
      </c>
      <c r="C232" s="4" t="s">
        <v>84</v>
      </c>
      <c r="D232" s="5" t="s">
        <v>144</v>
      </c>
      <c r="E232" s="4" t="s">
        <v>62</v>
      </c>
      <c r="F232" s="4" t="s">
        <v>63</v>
      </c>
      <c r="G232" s="4" t="s">
        <v>13</v>
      </c>
      <c r="H232" s="6">
        <v>1</v>
      </c>
      <c r="I232" s="7">
        <v>45000</v>
      </c>
      <c r="J232" s="7">
        <f t="shared" si="29"/>
        <v>45000</v>
      </c>
      <c r="K232" s="8" t="s">
        <v>12</v>
      </c>
      <c r="L232" s="35" t="str">
        <f>+VLOOKUP(E232,MÃ!$B$2:$F$229,2,0)</f>
        <v>NL300203</v>
      </c>
      <c r="M232" s="36">
        <f>+VLOOKUP(T232,Sheet2!$B$2:$N$305,10,0)</f>
        <v>1</v>
      </c>
      <c r="N232" s="37">
        <f>+VLOOKUP(L232,MÃ!$C$2:$F$226,4,0)</f>
        <v>45000</v>
      </c>
      <c r="O232" s="37">
        <f t="shared" si="30"/>
        <v>45000</v>
      </c>
      <c r="P232" s="37">
        <f t="shared" si="31"/>
        <v>0</v>
      </c>
      <c r="Q232" s="35" t="str">
        <f t="shared" si="32"/>
        <v xml:space="preserve"> </v>
      </c>
      <c r="R232" s="27">
        <f>+VLOOKUP(T232,Sheet2!$B$2:$N$305,13,0)</f>
        <v>45000</v>
      </c>
      <c r="S232" s="38">
        <f t="shared" si="33"/>
        <v>0</v>
      </c>
      <c r="T232" t="str">
        <f t="shared" si="34"/>
        <v>12/01/2026NL300203</v>
      </c>
      <c r="U232" s="29">
        <f t="shared" si="35"/>
        <v>0</v>
      </c>
      <c r="V232" s="39">
        <f t="shared" si="36"/>
        <v>0</v>
      </c>
    </row>
    <row r="233" spans="1:22" x14ac:dyDescent="0.25">
      <c r="A233" s="4" t="s">
        <v>123</v>
      </c>
      <c r="B233" s="5" t="s">
        <v>83</v>
      </c>
      <c r="C233" s="4" t="s">
        <v>84</v>
      </c>
      <c r="D233" s="5" t="s">
        <v>144</v>
      </c>
      <c r="E233" s="4" t="s">
        <v>64</v>
      </c>
      <c r="F233" s="4" t="s">
        <v>65</v>
      </c>
      <c r="G233" s="4" t="s">
        <v>13</v>
      </c>
      <c r="H233" s="6">
        <v>1.2</v>
      </c>
      <c r="I233" s="7">
        <v>50000</v>
      </c>
      <c r="J233" s="7">
        <f t="shared" si="29"/>
        <v>60000</v>
      </c>
      <c r="K233" s="8" t="s">
        <v>12</v>
      </c>
      <c r="L233" s="35" t="str">
        <f>+VLOOKUP(E233,MÃ!$B$2:$F$229,2,0)</f>
        <v>NL300013</v>
      </c>
      <c r="M233" s="36">
        <f>+VLOOKUP(T233,Sheet2!$B$2:$N$305,10,0)</f>
        <v>1.2</v>
      </c>
      <c r="N233" s="37">
        <f>+VLOOKUP(L233,MÃ!$C$2:$F$226,4,0)</f>
        <v>50000</v>
      </c>
      <c r="O233" s="37">
        <f t="shared" si="30"/>
        <v>60000</v>
      </c>
      <c r="P233" s="37">
        <f t="shared" si="31"/>
        <v>0</v>
      </c>
      <c r="Q233" s="35" t="str">
        <f t="shared" si="32"/>
        <v xml:space="preserve"> </v>
      </c>
      <c r="R233" s="27">
        <f>+VLOOKUP(T233,Sheet2!$B$2:$N$305,13,0)</f>
        <v>60000</v>
      </c>
      <c r="S233" s="38">
        <f t="shared" si="33"/>
        <v>0</v>
      </c>
      <c r="T233" t="str">
        <f t="shared" si="34"/>
        <v>12/01/2026NL300013</v>
      </c>
      <c r="U233" s="29">
        <f t="shared" si="35"/>
        <v>0</v>
      </c>
      <c r="V233" s="39">
        <f t="shared" si="36"/>
        <v>0</v>
      </c>
    </row>
    <row r="234" spans="1:22" x14ac:dyDescent="0.25">
      <c r="A234" s="4" t="s">
        <v>123</v>
      </c>
      <c r="B234" s="5" t="s">
        <v>83</v>
      </c>
      <c r="C234" s="4" t="s">
        <v>84</v>
      </c>
      <c r="D234" s="5" t="s">
        <v>144</v>
      </c>
      <c r="E234" s="4" t="s">
        <v>66</v>
      </c>
      <c r="F234" s="4" t="s">
        <v>67</v>
      </c>
      <c r="G234" s="4" t="s">
        <v>13</v>
      </c>
      <c r="H234" s="6">
        <v>8.4</v>
      </c>
      <c r="I234" s="7">
        <v>18000</v>
      </c>
      <c r="J234" s="7">
        <f t="shared" si="29"/>
        <v>151200</v>
      </c>
      <c r="K234" s="8" t="s">
        <v>12</v>
      </c>
      <c r="L234" s="35" t="str">
        <f>+VLOOKUP(E234,MÃ!$B$2:$F$229,2,0)</f>
        <v>NL300022</v>
      </c>
      <c r="M234" s="36">
        <f>+VLOOKUP(T234,Sheet2!$B$2:$N$305,10,0)</f>
        <v>8.4</v>
      </c>
      <c r="N234" s="37">
        <f>+VLOOKUP(L234,MÃ!$C$2:$F$226,4,0)</f>
        <v>18000</v>
      </c>
      <c r="O234" s="37">
        <f t="shared" si="30"/>
        <v>151200</v>
      </c>
      <c r="P234" s="37">
        <f t="shared" si="31"/>
        <v>0</v>
      </c>
      <c r="Q234" s="35" t="str">
        <f t="shared" si="32"/>
        <v xml:space="preserve"> </v>
      </c>
      <c r="R234" s="27">
        <f>+VLOOKUP(T234,Sheet2!$B$2:$N$305,13,0)</f>
        <v>151200</v>
      </c>
      <c r="S234" s="38">
        <f t="shared" si="33"/>
        <v>0</v>
      </c>
      <c r="T234" t="str">
        <f t="shared" si="34"/>
        <v>12/01/2026NL300022</v>
      </c>
      <c r="U234" s="29">
        <f t="shared" si="35"/>
        <v>0</v>
      </c>
      <c r="V234" s="39">
        <f t="shared" si="36"/>
        <v>0</v>
      </c>
    </row>
    <row r="235" spans="1:22" x14ac:dyDescent="0.25">
      <c r="A235" s="4" t="s">
        <v>123</v>
      </c>
      <c r="B235" s="5" t="s">
        <v>83</v>
      </c>
      <c r="C235" s="4" t="s">
        <v>84</v>
      </c>
      <c r="D235" s="5" t="s">
        <v>144</v>
      </c>
      <c r="E235" s="4" t="s">
        <v>56</v>
      </c>
      <c r="F235" s="4" t="s">
        <v>57</v>
      </c>
      <c r="G235" s="4" t="s">
        <v>13</v>
      </c>
      <c r="H235" s="6">
        <v>0.5</v>
      </c>
      <c r="I235" s="7">
        <v>34000</v>
      </c>
      <c r="J235" s="7">
        <f t="shared" si="29"/>
        <v>17000</v>
      </c>
      <c r="K235" s="8" t="s">
        <v>12</v>
      </c>
      <c r="L235" s="35" t="str">
        <f>+VLOOKUP(E235,MÃ!$B$2:$F$229,2,0)</f>
        <v>NL300030</v>
      </c>
      <c r="M235" s="36">
        <f>+VLOOKUP(T235,Sheet2!$B$2:$N$305,10,0)</f>
        <v>0.5</v>
      </c>
      <c r="N235" s="37">
        <f>+VLOOKUP(L235,MÃ!$C$2:$F$226,4,0)</f>
        <v>34000</v>
      </c>
      <c r="O235" s="37">
        <f t="shared" si="30"/>
        <v>17000</v>
      </c>
      <c r="P235" s="37">
        <f t="shared" si="31"/>
        <v>0</v>
      </c>
      <c r="Q235" s="35" t="str">
        <f t="shared" si="32"/>
        <v xml:space="preserve"> </v>
      </c>
      <c r="R235" s="27">
        <f>+VLOOKUP(T235,Sheet2!$B$2:$N$305,13,0)</f>
        <v>17000</v>
      </c>
      <c r="S235" s="38">
        <f t="shared" si="33"/>
        <v>0</v>
      </c>
      <c r="T235" t="str">
        <f t="shared" si="34"/>
        <v>12/01/2026NL300030</v>
      </c>
      <c r="U235" s="29">
        <f t="shared" si="35"/>
        <v>0</v>
      </c>
      <c r="V235" s="39">
        <f t="shared" si="36"/>
        <v>0</v>
      </c>
    </row>
    <row r="236" spans="1:22" x14ac:dyDescent="0.25">
      <c r="A236" s="4" t="s">
        <v>123</v>
      </c>
      <c r="B236" s="5" t="s">
        <v>83</v>
      </c>
      <c r="C236" s="4" t="s">
        <v>84</v>
      </c>
      <c r="D236" s="5" t="s">
        <v>144</v>
      </c>
      <c r="E236" s="4" t="s">
        <v>25</v>
      </c>
      <c r="F236" s="4" t="s">
        <v>26</v>
      </c>
      <c r="G236" s="4" t="s">
        <v>13</v>
      </c>
      <c r="H236" s="6">
        <v>0.5</v>
      </c>
      <c r="I236" s="7">
        <v>22000</v>
      </c>
      <c r="J236" s="7">
        <f t="shared" si="29"/>
        <v>11000</v>
      </c>
      <c r="K236" s="8" t="s">
        <v>12</v>
      </c>
      <c r="L236" s="35" t="str">
        <f>+VLOOKUP(E236,MÃ!$B$2:$F$229,2,0)</f>
        <v>NL300029</v>
      </c>
      <c r="M236" s="36">
        <f>+VLOOKUP(T236,Sheet2!$B$2:$N$305,10,0)</f>
        <v>0.5</v>
      </c>
      <c r="N236" s="37">
        <f>+VLOOKUP(L236,MÃ!$C$2:$F$226,4,0)</f>
        <v>22000</v>
      </c>
      <c r="O236" s="37">
        <f t="shared" si="30"/>
        <v>11000</v>
      </c>
      <c r="P236" s="37">
        <f t="shared" si="31"/>
        <v>0</v>
      </c>
      <c r="Q236" s="35" t="str">
        <f t="shared" si="32"/>
        <v xml:space="preserve"> </v>
      </c>
      <c r="R236" s="27">
        <f>+VLOOKUP(T236,Sheet2!$B$2:$N$305,13,0)</f>
        <v>11000</v>
      </c>
      <c r="S236" s="38">
        <f t="shared" si="33"/>
        <v>0</v>
      </c>
      <c r="T236" t="str">
        <f t="shared" si="34"/>
        <v>12/01/2026NL300029</v>
      </c>
      <c r="U236" s="29">
        <f t="shared" si="35"/>
        <v>0</v>
      </c>
      <c r="V236" s="39">
        <f t="shared" si="36"/>
        <v>0</v>
      </c>
    </row>
    <row r="237" spans="1:22" x14ac:dyDescent="0.25">
      <c r="A237" s="4" t="s">
        <v>123</v>
      </c>
      <c r="B237" s="5" t="s">
        <v>83</v>
      </c>
      <c r="C237" s="4" t="s">
        <v>84</v>
      </c>
      <c r="D237" s="5" t="s">
        <v>144</v>
      </c>
      <c r="E237" s="4" t="s">
        <v>58</v>
      </c>
      <c r="F237" s="4" t="s">
        <v>59</v>
      </c>
      <c r="G237" s="4" t="s">
        <v>13</v>
      </c>
      <c r="H237" s="6">
        <v>0.4</v>
      </c>
      <c r="I237" s="7">
        <v>95000</v>
      </c>
      <c r="J237" s="7">
        <f t="shared" si="29"/>
        <v>38000</v>
      </c>
      <c r="K237" s="8" t="s">
        <v>12</v>
      </c>
      <c r="L237" s="35" t="str">
        <f>+VLOOKUP(E237,MÃ!$B$2:$F$229,2,0)</f>
        <v>NL600068</v>
      </c>
      <c r="M237" s="36">
        <f>+VLOOKUP(T237,Sheet2!$B$2:$N$305,10,0)</f>
        <v>0.4</v>
      </c>
      <c r="N237" s="37">
        <f>+VLOOKUP(L237,MÃ!$C$2:$F$226,4,0)</f>
        <v>95000</v>
      </c>
      <c r="O237" s="37">
        <f t="shared" si="30"/>
        <v>38000</v>
      </c>
      <c r="P237" s="37">
        <f t="shared" si="31"/>
        <v>0</v>
      </c>
      <c r="Q237" s="35" t="str">
        <f t="shared" si="32"/>
        <v xml:space="preserve"> </v>
      </c>
      <c r="R237" s="27">
        <f>+VLOOKUP(T237,Sheet2!$B$2:$N$305,13,0)</f>
        <v>38000</v>
      </c>
      <c r="S237" s="38">
        <f t="shared" si="33"/>
        <v>0</v>
      </c>
      <c r="T237" t="str">
        <f t="shared" si="34"/>
        <v>12/01/2026NL600068</v>
      </c>
      <c r="U237" s="29">
        <f t="shared" si="35"/>
        <v>0</v>
      </c>
      <c r="V237" s="39">
        <f t="shared" si="36"/>
        <v>0</v>
      </c>
    </row>
    <row r="238" spans="1:22" x14ac:dyDescent="0.25">
      <c r="A238" s="4" t="s">
        <v>123</v>
      </c>
      <c r="B238" s="5" t="s">
        <v>83</v>
      </c>
      <c r="C238" s="4" t="s">
        <v>84</v>
      </c>
      <c r="D238" s="5" t="s">
        <v>144</v>
      </c>
      <c r="E238" s="4" t="s">
        <v>16</v>
      </c>
      <c r="F238" s="4" t="s">
        <v>17</v>
      </c>
      <c r="G238" s="4" t="s">
        <v>13</v>
      </c>
      <c r="H238" s="6">
        <v>0.6</v>
      </c>
      <c r="I238" s="7">
        <v>47000</v>
      </c>
      <c r="J238" s="7">
        <f t="shared" si="29"/>
        <v>28200</v>
      </c>
      <c r="K238" s="8" t="s">
        <v>12</v>
      </c>
      <c r="L238" s="35" t="str">
        <f>+VLOOKUP(E238,MÃ!$B$2:$F$229,2,0)</f>
        <v>NL300036</v>
      </c>
      <c r="M238" s="36">
        <f>+VLOOKUP(T238,Sheet2!$B$2:$N$305,10,0)</f>
        <v>0.6</v>
      </c>
      <c r="N238" s="37">
        <f>+VLOOKUP(L238,MÃ!$C$2:$F$226,4,0)</f>
        <v>47000</v>
      </c>
      <c r="O238" s="37">
        <f t="shared" si="30"/>
        <v>28200</v>
      </c>
      <c r="P238" s="37">
        <f t="shared" si="31"/>
        <v>0</v>
      </c>
      <c r="Q238" s="35" t="str">
        <f t="shared" si="32"/>
        <v xml:space="preserve"> </v>
      </c>
      <c r="R238" s="27">
        <f>+VLOOKUP(T238,Sheet2!$B$2:$N$305,13,0)</f>
        <v>28200</v>
      </c>
      <c r="S238" s="38">
        <f t="shared" si="33"/>
        <v>0</v>
      </c>
      <c r="T238" t="str">
        <f t="shared" si="34"/>
        <v>12/01/2026NL300036</v>
      </c>
      <c r="U238" s="29">
        <f t="shared" si="35"/>
        <v>0</v>
      </c>
      <c r="V238" s="39">
        <f t="shared" si="36"/>
        <v>0</v>
      </c>
    </row>
    <row r="239" spans="1:22" x14ac:dyDescent="0.25">
      <c r="A239" s="4" t="s">
        <v>123</v>
      </c>
      <c r="B239" s="5" t="s">
        <v>83</v>
      </c>
      <c r="C239" s="4" t="s">
        <v>84</v>
      </c>
      <c r="D239" s="5" t="s">
        <v>144</v>
      </c>
      <c r="E239" s="4" t="s">
        <v>50</v>
      </c>
      <c r="F239" s="4" t="s">
        <v>51</v>
      </c>
      <c r="G239" s="4" t="s">
        <v>13</v>
      </c>
      <c r="H239" s="6">
        <v>14</v>
      </c>
      <c r="I239" s="7">
        <v>18000</v>
      </c>
      <c r="J239" s="7">
        <f t="shared" si="29"/>
        <v>252000</v>
      </c>
      <c r="K239" s="8" t="s">
        <v>12</v>
      </c>
      <c r="L239" s="35" t="str">
        <f>+VLOOKUP(E239,MÃ!$B$2:$F$229,2,0)</f>
        <v>NL600004</v>
      </c>
      <c r="M239" s="36">
        <f>+VLOOKUP(T239,Sheet2!$B$2:$N$305,10,0)</f>
        <v>14</v>
      </c>
      <c r="N239" s="37">
        <f>+VLOOKUP(L239,MÃ!$C$2:$F$226,4,0)</f>
        <v>18000</v>
      </c>
      <c r="O239" s="37">
        <f t="shared" si="30"/>
        <v>252000</v>
      </c>
      <c r="P239" s="37">
        <f t="shared" si="31"/>
        <v>0</v>
      </c>
      <c r="Q239" s="35" t="str">
        <f t="shared" si="32"/>
        <v xml:space="preserve"> </v>
      </c>
      <c r="R239" s="27">
        <f>+VLOOKUP(T239,Sheet2!$B$2:$N$305,13,0)</f>
        <v>252000</v>
      </c>
      <c r="S239" s="38">
        <f t="shared" si="33"/>
        <v>0</v>
      </c>
      <c r="T239" t="str">
        <f t="shared" si="34"/>
        <v>12/01/2026NL600004</v>
      </c>
      <c r="U239" s="29">
        <f t="shared" si="35"/>
        <v>0</v>
      </c>
      <c r="V239" s="39">
        <f t="shared" si="36"/>
        <v>0</v>
      </c>
    </row>
    <row r="240" spans="1:22" x14ac:dyDescent="0.25">
      <c r="A240" s="4" t="s">
        <v>123</v>
      </c>
      <c r="B240" s="5" t="s">
        <v>83</v>
      </c>
      <c r="C240" s="4" t="s">
        <v>84</v>
      </c>
      <c r="D240" s="5" t="s">
        <v>144</v>
      </c>
      <c r="E240" s="4" t="s">
        <v>52</v>
      </c>
      <c r="F240" s="4" t="s">
        <v>53</v>
      </c>
      <c r="G240" s="4" t="s">
        <v>13</v>
      </c>
      <c r="H240" s="6">
        <v>0.1</v>
      </c>
      <c r="I240" s="7">
        <v>65000</v>
      </c>
      <c r="J240" s="7">
        <f t="shared" si="29"/>
        <v>6500</v>
      </c>
      <c r="K240" s="8" t="s">
        <v>12</v>
      </c>
      <c r="L240" s="35" t="str">
        <f>+VLOOKUP(E240,MÃ!$B$2:$F$229,2,0)</f>
        <v>NL300062</v>
      </c>
      <c r="M240" s="36">
        <f>+VLOOKUP(T240,Sheet2!$B$2:$N$305,10,0)</f>
        <v>0.1</v>
      </c>
      <c r="N240" s="37">
        <f>+VLOOKUP(L240,MÃ!$C$2:$F$226,4,0)</f>
        <v>65000</v>
      </c>
      <c r="O240" s="37">
        <f t="shared" si="30"/>
        <v>6500</v>
      </c>
      <c r="P240" s="37">
        <f t="shared" si="31"/>
        <v>0</v>
      </c>
      <c r="Q240" s="35" t="str">
        <f t="shared" si="32"/>
        <v xml:space="preserve"> </v>
      </c>
      <c r="R240" s="27">
        <f>+VLOOKUP(T240,Sheet2!$B$2:$N$305,13,0)</f>
        <v>6500</v>
      </c>
      <c r="S240" s="38">
        <f t="shared" si="33"/>
        <v>0</v>
      </c>
      <c r="T240" t="str">
        <f t="shared" si="34"/>
        <v>12/01/2026NL300062</v>
      </c>
      <c r="U240" s="29">
        <f t="shared" si="35"/>
        <v>0</v>
      </c>
      <c r="V240" s="39">
        <f t="shared" si="36"/>
        <v>0</v>
      </c>
    </row>
    <row r="241" spans="1:22" x14ac:dyDescent="0.25">
      <c r="A241" s="4" t="s">
        <v>123</v>
      </c>
      <c r="B241" s="5" t="s">
        <v>83</v>
      </c>
      <c r="C241" s="4" t="s">
        <v>84</v>
      </c>
      <c r="D241" s="5" t="s">
        <v>144</v>
      </c>
      <c r="E241" s="4" t="s">
        <v>70</v>
      </c>
      <c r="F241" s="4" t="s">
        <v>71</v>
      </c>
      <c r="G241" s="4" t="s">
        <v>13</v>
      </c>
      <c r="H241" s="6">
        <v>1.4</v>
      </c>
      <c r="I241" s="7">
        <v>30000</v>
      </c>
      <c r="J241" s="7">
        <f t="shared" si="29"/>
        <v>42000</v>
      </c>
      <c r="K241" s="8" t="s">
        <v>12</v>
      </c>
      <c r="L241" s="35" t="str">
        <f>+VLOOKUP(E241,MÃ!$B$2:$F$229,2,0)</f>
        <v>NL300209</v>
      </c>
      <c r="M241" s="36">
        <f>+VLOOKUP(T241,Sheet2!$B$2:$N$305,10,0)</f>
        <v>1.4</v>
      </c>
      <c r="N241" s="37">
        <f>+VLOOKUP(L241,MÃ!$C$2:$F$226,4,0)</f>
        <v>30000</v>
      </c>
      <c r="O241" s="37">
        <f t="shared" si="30"/>
        <v>42000</v>
      </c>
      <c r="P241" s="37">
        <f t="shared" si="31"/>
        <v>0</v>
      </c>
      <c r="Q241" s="35" t="str">
        <f t="shared" si="32"/>
        <v xml:space="preserve"> </v>
      </c>
      <c r="R241" s="27">
        <f>+VLOOKUP(T241,Sheet2!$B$2:$N$305,13,0)</f>
        <v>42000</v>
      </c>
      <c r="S241" s="38">
        <f t="shared" si="33"/>
        <v>0</v>
      </c>
      <c r="T241" t="str">
        <f t="shared" si="34"/>
        <v>12/01/2026NL300209</v>
      </c>
      <c r="U241" s="29">
        <f t="shared" si="35"/>
        <v>0</v>
      </c>
      <c r="V241" s="39">
        <f t="shared" si="36"/>
        <v>0</v>
      </c>
    </row>
    <row r="242" spans="1:22" x14ac:dyDescent="0.25">
      <c r="A242" s="4" t="s">
        <v>123</v>
      </c>
      <c r="B242" s="5" t="s">
        <v>83</v>
      </c>
      <c r="C242" s="4" t="s">
        <v>84</v>
      </c>
      <c r="D242" s="5" t="s">
        <v>144</v>
      </c>
      <c r="E242" s="4" t="s">
        <v>72</v>
      </c>
      <c r="F242" s="4" t="s">
        <v>73</v>
      </c>
      <c r="G242" s="4" t="s">
        <v>13</v>
      </c>
      <c r="H242" s="6">
        <v>0.5</v>
      </c>
      <c r="I242" s="7">
        <v>18000</v>
      </c>
      <c r="J242" s="7">
        <f t="shared" si="29"/>
        <v>9000</v>
      </c>
      <c r="K242" s="8" t="s">
        <v>12</v>
      </c>
      <c r="L242" s="35" t="str">
        <f>+VLOOKUP(E242,MÃ!$B$2:$F$229,2,0)</f>
        <v>NL300074</v>
      </c>
      <c r="M242" s="36">
        <f>+VLOOKUP(T242,Sheet2!$B$2:$N$305,10,0)</f>
        <v>0.5</v>
      </c>
      <c r="N242" s="37">
        <f>+VLOOKUP(L242,MÃ!$C$2:$F$226,4,0)</f>
        <v>18000</v>
      </c>
      <c r="O242" s="37">
        <f t="shared" si="30"/>
        <v>9000</v>
      </c>
      <c r="P242" s="37">
        <f t="shared" si="31"/>
        <v>0</v>
      </c>
      <c r="Q242" s="35" t="str">
        <f t="shared" si="32"/>
        <v xml:space="preserve"> </v>
      </c>
      <c r="R242" s="27">
        <f>+VLOOKUP(T242,Sheet2!$B$2:$N$305,13,0)</f>
        <v>9000</v>
      </c>
      <c r="S242" s="38">
        <f t="shared" si="33"/>
        <v>0</v>
      </c>
      <c r="T242" t="str">
        <f t="shared" si="34"/>
        <v>12/01/2026NL300074</v>
      </c>
      <c r="U242" s="29">
        <f t="shared" si="35"/>
        <v>0</v>
      </c>
      <c r="V242" s="39">
        <f t="shared" si="36"/>
        <v>0</v>
      </c>
    </row>
    <row r="243" spans="1:22" x14ac:dyDescent="0.25">
      <c r="A243" s="4" t="s">
        <v>123</v>
      </c>
      <c r="B243" s="5" t="s">
        <v>83</v>
      </c>
      <c r="C243" s="4" t="s">
        <v>84</v>
      </c>
      <c r="D243" s="5" t="s">
        <v>144</v>
      </c>
      <c r="E243" s="4" t="s">
        <v>74</v>
      </c>
      <c r="F243" s="4" t="s">
        <v>75</v>
      </c>
      <c r="G243" s="4" t="s">
        <v>13</v>
      </c>
      <c r="H243" s="6">
        <v>2</v>
      </c>
      <c r="I243" s="7">
        <v>22000</v>
      </c>
      <c r="J243" s="7">
        <f t="shared" si="29"/>
        <v>44000</v>
      </c>
      <c r="K243" s="8" t="s">
        <v>12</v>
      </c>
      <c r="L243" s="35" t="str">
        <f>+VLOOKUP(E243,MÃ!$B$2:$F$229,2,0)</f>
        <v>NL300084</v>
      </c>
      <c r="M243" s="36">
        <f>+VLOOKUP(T243,Sheet2!$B$2:$N$305,10,0)</f>
        <v>2</v>
      </c>
      <c r="N243" s="37">
        <f>+VLOOKUP(L243,MÃ!$C$2:$F$226,4,0)</f>
        <v>22000</v>
      </c>
      <c r="O243" s="37">
        <f t="shared" si="30"/>
        <v>44000</v>
      </c>
      <c r="P243" s="37">
        <f t="shared" si="31"/>
        <v>0</v>
      </c>
      <c r="Q243" s="35" t="str">
        <f t="shared" si="32"/>
        <v xml:space="preserve"> </v>
      </c>
      <c r="R243" s="27">
        <f>+VLOOKUP(T243,Sheet2!$B$2:$N$305,13,0)</f>
        <v>44000</v>
      </c>
      <c r="S243" s="38">
        <f t="shared" si="33"/>
        <v>0</v>
      </c>
      <c r="T243" t="str">
        <f t="shared" si="34"/>
        <v>12/01/2026NL300084</v>
      </c>
      <c r="U243" s="29">
        <f t="shared" si="35"/>
        <v>0</v>
      </c>
      <c r="V243" s="39">
        <f t="shared" si="36"/>
        <v>0</v>
      </c>
    </row>
    <row r="244" spans="1:22" x14ac:dyDescent="0.25">
      <c r="A244" s="4" t="s">
        <v>123</v>
      </c>
      <c r="B244" s="5" t="s">
        <v>83</v>
      </c>
      <c r="C244" s="4" t="s">
        <v>84</v>
      </c>
      <c r="D244" s="5" t="s">
        <v>144</v>
      </c>
      <c r="E244" s="4" t="s">
        <v>36</v>
      </c>
      <c r="F244" s="4" t="s">
        <v>37</v>
      </c>
      <c r="G244" s="4" t="s">
        <v>13</v>
      </c>
      <c r="H244" s="6">
        <v>2</v>
      </c>
      <c r="I244" s="7">
        <v>145000</v>
      </c>
      <c r="J244" s="7">
        <f t="shared" si="29"/>
        <v>290000</v>
      </c>
      <c r="K244" s="8" t="s">
        <v>12</v>
      </c>
      <c r="L244" s="35" t="str">
        <f>+VLOOKUP(E244,MÃ!$B$2:$F$229,2,0)</f>
        <v>NL300090</v>
      </c>
      <c r="M244" s="36">
        <f>+VLOOKUP(T244,Sheet2!$B$2:$N$305,10,0)</f>
        <v>2</v>
      </c>
      <c r="N244" s="37">
        <f>+VLOOKUP(L244,MÃ!$C$2:$F$226,4,0)</f>
        <v>145000</v>
      </c>
      <c r="O244" s="37">
        <f t="shared" si="30"/>
        <v>290000</v>
      </c>
      <c r="P244" s="37">
        <f t="shared" si="31"/>
        <v>0</v>
      </c>
      <c r="Q244" s="35" t="str">
        <f t="shared" si="32"/>
        <v xml:space="preserve"> </v>
      </c>
      <c r="R244" s="27">
        <f>+VLOOKUP(T244,Sheet2!$B$2:$N$305,13,0)</f>
        <v>290000</v>
      </c>
      <c r="S244" s="38">
        <f t="shared" si="33"/>
        <v>0</v>
      </c>
      <c r="T244" t="str">
        <f t="shared" si="34"/>
        <v>12/01/2026NL300090</v>
      </c>
      <c r="U244" s="29">
        <f t="shared" si="35"/>
        <v>0</v>
      </c>
      <c r="V244" s="39">
        <f t="shared" si="36"/>
        <v>0</v>
      </c>
    </row>
    <row r="245" spans="1:22" x14ac:dyDescent="0.25">
      <c r="A245" s="4" t="s">
        <v>123</v>
      </c>
      <c r="B245" s="5" t="s">
        <v>83</v>
      </c>
      <c r="C245" s="4" t="s">
        <v>84</v>
      </c>
      <c r="D245" s="5" t="s">
        <v>144</v>
      </c>
      <c r="E245" s="4" t="s">
        <v>38</v>
      </c>
      <c r="F245" s="4" t="s">
        <v>39</v>
      </c>
      <c r="G245" s="4" t="s">
        <v>13</v>
      </c>
      <c r="H245" s="6">
        <v>4</v>
      </c>
      <c r="I245" s="7">
        <v>47000</v>
      </c>
      <c r="J245" s="7">
        <f t="shared" si="29"/>
        <v>188000</v>
      </c>
      <c r="K245" s="8" t="s">
        <v>12</v>
      </c>
      <c r="L245" s="35" t="str">
        <f>+VLOOKUP(E245,MÃ!$B$2:$F$229,2,0)</f>
        <v>NL300091</v>
      </c>
      <c r="M245" s="36">
        <f>+VLOOKUP(T245,Sheet2!$B$2:$N$305,10,0)</f>
        <v>4</v>
      </c>
      <c r="N245" s="37">
        <f>+VLOOKUP(L245,MÃ!$C$2:$F$226,4,0)</f>
        <v>47000</v>
      </c>
      <c r="O245" s="37">
        <f t="shared" si="30"/>
        <v>188000</v>
      </c>
      <c r="P245" s="37">
        <f t="shared" si="31"/>
        <v>0</v>
      </c>
      <c r="Q245" s="35" t="str">
        <f t="shared" si="32"/>
        <v xml:space="preserve"> </v>
      </c>
      <c r="R245" s="27">
        <f>+VLOOKUP(T245,Sheet2!$B$2:$N$305,13,0)</f>
        <v>188000</v>
      </c>
      <c r="S245" s="38">
        <f t="shared" si="33"/>
        <v>0</v>
      </c>
      <c r="T245" t="str">
        <f t="shared" si="34"/>
        <v>12/01/2026NL300091</v>
      </c>
      <c r="U245" s="29">
        <f t="shared" si="35"/>
        <v>0</v>
      </c>
      <c r="V245" s="39">
        <f t="shared" si="36"/>
        <v>0</v>
      </c>
    </row>
    <row r="246" spans="1:22" x14ac:dyDescent="0.25">
      <c r="A246" s="4" t="s">
        <v>123</v>
      </c>
      <c r="B246" s="5" t="s">
        <v>83</v>
      </c>
      <c r="C246" s="4" t="s">
        <v>84</v>
      </c>
      <c r="D246" s="5" t="s">
        <v>144</v>
      </c>
      <c r="E246" s="4" t="s">
        <v>42</v>
      </c>
      <c r="F246" s="4" t="s">
        <v>43</v>
      </c>
      <c r="G246" s="4" t="s">
        <v>13</v>
      </c>
      <c r="H246" s="6">
        <v>4</v>
      </c>
      <c r="I246" s="7">
        <v>45000</v>
      </c>
      <c r="J246" s="7">
        <f t="shared" si="29"/>
        <v>180000</v>
      </c>
      <c r="K246" s="8" t="s">
        <v>12</v>
      </c>
      <c r="L246" s="35" t="str">
        <f>+VLOOKUP(E246,MÃ!$B$2:$F$229,2,0)</f>
        <v>NL300096</v>
      </c>
      <c r="M246" s="36">
        <f>+VLOOKUP(T246,Sheet2!$B$2:$N$305,10,0)</f>
        <v>4</v>
      </c>
      <c r="N246" s="37">
        <f>+VLOOKUP(L246,MÃ!$C$2:$F$226,4,0)</f>
        <v>45000</v>
      </c>
      <c r="O246" s="37">
        <f t="shared" si="30"/>
        <v>180000</v>
      </c>
      <c r="P246" s="37">
        <f t="shared" si="31"/>
        <v>0</v>
      </c>
      <c r="Q246" s="35" t="str">
        <f t="shared" si="32"/>
        <v xml:space="preserve"> </v>
      </c>
      <c r="R246" s="27">
        <f>+VLOOKUP(T246,Sheet2!$B$2:$N$305,13,0)</f>
        <v>180000</v>
      </c>
      <c r="S246" s="38">
        <f t="shared" si="33"/>
        <v>0</v>
      </c>
      <c r="T246" t="str">
        <f t="shared" si="34"/>
        <v>12/01/2026NL300096</v>
      </c>
      <c r="U246" s="29">
        <f t="shared" si="35"/>
        <v>0</v>
      </c>
      <c r="V246" s="39">
        <f t="shared" si="36"/>
        <v>0</v>
      </c>
    </row>
    <row r="247" spans="1:22" ht="28.5" x14ac:dyDescent="0.25">
      <c r="A247" s="4" t="s">
        <v>123</v>
      </c>
      <c r="B247" s="5" t="s">
        <v>83</v>
      </c>
      <c r="C247" s="4" t="s">
        <v>84</v>
      </c>
      <c r="D247" s="5" t="s">
        <v>144</v>
      </c>
      <c r="E247" s="4" t="s">
        <v>44</v>
      </c>
      <c r="F247" s="4" t="s">
        <v>45</v>
      </c>
      <c r="G247" s="4" t="s">
        <v>13</v>
      </c>
      <c r="H247" s="6">
        <v>4</v>
      </c>
      <c r="I247" s="7">
        <v>95000</v>
      </c>
      <c r="J247" s="7">
        <f t="shared" si="29"/>
        <v>380000</v>
      </c>
      <c r="K247" s="8" t="s">
        <v>12</v>
      </c>
      <c r="L247" s="35" t="str">
        <f>+VLOOKUP(E247,MÃ!$B$2:$F$229,2,0)</f>
        <v>NL300098</v>
      </c>
      <c r="M247" s="36">
        <v>4</v>
      </c>
      <c r="N247" s="37">
        <f>+VLOOKUP(L247,MÃ!$C$2:$F$226,4,0)</f>
        <v>95000</v>
      </c>
      <c r="O247" s="37">
        <f t="shared" si="30"/>
        <v>380000</v>
      </c>
      <c r="P247" s="37">
        <f t="shared" si="31"/>
        <v>0</v>
      </c>
      <c r="Q247" s="35" t="str">
        <f t="shared" si="32"/>
        <v xml:space="preserve"> </v>
      </c>
      <c r="R247" s="27">
        <v>380000</v>
      </c>
      <c r="S247" s="38">
        <f t="shared" si="33"/>
        <v>0</v>
      </c>
      <c r="T247" t="str">
        <f t="shared" si="34"/>
        <v>12/01/2026NL300098</v>
      </c>
      <c r="U247" s="29">
        <f t="shared" si="35"/>
        <v>0</v>
      </c>
      <c r="V247" s="39">
        <f t="shared" si="36"/>
        <v>0</v>
      </c>
    </row>
    <row r="248" spans="1:22" x14ac:dyDescent="0.25">
      <c r="A248" s="4" t="s">
        <v>123</v>
      </c>
      <c r="B248" s="5" t="s">
        <v>83</v>
      </c>
      <c r="C248" s="4" t="s">
        <v>84</v>
      </c>
      <c r="D248" s="5" t="s">
        <v>144</v>
      </c>
      <c r="E248" s="4" t="s">
        <v>46</v>
      </c>
      <c r="F248" s="4" t="s">
        <v>47</v>
      </c>
      <c r="G248" s="4" t="s">
        <v>13</v>
      </c>
      <c r="H248" s="6">
        <v>0.1</v>
      </c>
      <c r="I248" s="7">
        <v>70000</v>
      </c>
      <c r="J248" s="7">
        <f t="shared" si="29"/>
        <v>7000</v>
      </c>
      <c r="K248" s="8" t="s">
        <v>12</v>
      </c>
      <c r="L248" s="35" t="str">
        <f>+VLOOKUP(E248,MÃ!$B$2:$F$229,2,0)</f>
        <v>NL300126</v>
      </c>
      <c r="M248" s="36">
        <f>+VLOOKUP(T248,Sheet2!$B$2:$N$305,10,0)</f>
        <v>0.1</v>
      </c>
      <c r="N248" s="37">
        <f>+VLOOKUP(L248,MÃ!$C$2:$F$226,4,0)</f>
        <v>70000</v>
      </c>
      <c r="O248" s="37">
        <f t="shared" si="30"/>
        <v>7000</v>
      </c>
      <c r="P248" s="37">
        <f t="shared" si="31"/>
        <v>0</v>
      </c>
      <c r="Q248" s="35" t="str">
        <f t="shared" si="32"/>
        <v xml:space="preserve"> </v>
      </c>
      <c r="R248" s="27">
        <f>+VLOOKUP(T248,Sheet2!$B$2:$N$305,13,0)</f>
        <v>7000</v>
      </c>
      <c r="S248" s="38">
        <f t="shared" si="33"/>
        <v>0</v>
      </c>
      <c r="T248" t="str">
        <f t="shared" si="34"/>
        <v>12/01/2026NL300126</v>
      </c>
      <c r="U248" s="29">
        <f t="shared" si="35"/>
        <v>0</v>
      </c>
      <c r="V248" s="39">
        <f t="shared" si="36"/>
        <v>0</v>
      </c>
    </row>
    <row r="249" spans="1:22" x14ac:dyDescent="0.25">
      <c r="A249" s="4" t="s">
        <v>123</v>
      </c>
      <c r="B249" s="5" t="s">
        <v>83</v>
      </c>
      <c r="C249" s="4" t="s">
        <v>84</v>
      </c>
      <c r="D249" s="5" t="s">
        <v>144</v>
      </c>
      <c r="E249" s="4" t="s">
        <v>29</v>
      </c>
      <c r="F249" s="4" t="s">
        <v>30</v>
      </c>
      <c r="G249" s="4" t="s">
        <v>13</v>
      </c>
      <c r="H249" s="6">
        <v>0.3</v>
      </c>
      <c r="I249" s="7">
        <v>145000</v>
      </c>
      <c r="J249" s="7">
        <f t="shared" si="29"/>
        <v>43500</v>
      </c>
      <c r="K249" s="8" t="s">
        <v>12</v>
      </c>
      <c r="L249" s="35" t="str">
        <f>+VLOOKUP(E249,MÃ!$B$2:$F$229,2,0)</f>
        <v>NL300113</v>
      </c>
      <c r="M249" s="36">
        <f>+VLOOKUP(T249,Sheet2!$B$2:$N$305,10,0)</f>
        <v>0.3</v>
      </c>
      <c r="N249" s="37">
        <f>+VLOOKUP(L249,MÃ!$C$2:$F$226,4,0)</f>
        <v>145000</v>
      </c>
      <c r="O249" s="37">
        <f t="shared" si="30"/>
        <v>43500</v>
      </c>
      <c r="P249" s="37">
        <f t="shared" si="31"/>
        <v>0</v>
      </c>
      <c r="Q249" s="35" t="str">
        <f t="shared" si="32"/>
        <v xml:space="preserve"> </v>
      </c>
      <c r="R249" s="27">
        <f>+VLOOKUP(T249,Sheet2!$B$2:$N$305,13,0)</f>
        <v>43500</v>
      </c>
      <c r="S249" s="38">
        <f t="shared" si="33"/>
        <v>0</v>
      </c>
      <c r="T249" t="str">
        <f t="shared" si="34"/>
        <v>12/01/2026NL300113</v>
      </c>
      <c r="U249" s="29">
        <f t="shared" si="35"/>
        <v>0</v>
      </c>
      <c r="V249" s="39">
        <f t="shared" si="36"/>
        <v>0</v>
      </c>
    </row>
    <row r="250" spans="1:22" x14ac:dyDescent="0.25">
      <c r="A250" s="4" t="s">
        <v>123</v>
      </c>
      <c r="B250" s="5" t="s">
        <v>83</v>
      </c>
      <c r="C250" s="4" t="s">
        <v>84</v>
      </c>
      <c r="D250" s="5" t="s">
        <v>144</v>
      </c>
      <c r="E250" s="4" t="s">
        <v>27</v>
      </c>
      <c r="F250" s="4" t="s">
        <v>28</v>
      </c>
      <c r="G250" s="4" t="s">
        <v>13</v>
      </c>
      <c r="H250" s="6">
        <v>2</v>
      </c>
      <c r="I250" s="7">
        <v>21000</v>
      </c>
      <c r="J250" s="7">
        <f t="shared" si="29"/>
        <v>42000</v>
      </c>
      <c r="K250" s="8" t="s">
        <v>12</v>
      </c>
      <c r="L250" s="35" t="str">
        <f>+VLOOKUP(E250,MÃ!$B$2:$F$229,2,0)</f>
        <v>NL300119</v>
      </c>
      <c r="M250" s="36">
        <f>+VLOOKUP(T250,Sheet2!$B$2:$N$305,10,0)</f>
        <v>2</v>
      </c>
      <c r="N250" s="37">
        <f>+VLOOKUP(L250,MÃ!$C$2:$F$226,4,0)</f>
        <v>21000</v>
      </c>
      <c r="O250" s="37">
        <f t="shared" si="30"/>
        <v>42000</v>
      </c>
      <c r="P250" s="37">
        <f t="shared" si="31"/>
        <v>0</v>
      </c>
      <c r="Q250" s="35" t="str">
        <f t="shared" si="32"/>
        <v xml:space="preserve"> </v>
      </c>
      <c r="R250" s="27">
        <f>+VLOOKUP(T250,Sheet2!$B$2:$N$305,13,0)</f>
        <v>42000</v>
      </c>
      <c r="S250" s="38">
        <f t="shared" si="33"/>
        <v>0</v>
      </c>
      <c r="T250" t="str">
        <f t="shared" si="34"/>
        <v>12/01/2026NL300119</v>
      </c>
      <c r="U250" s="29">
        <f t="shared" si="35"/>
        <v>0</v>
      </c>
      <c r="V250" s="39">
        <f t="shared" si="36"/>
        <v>0</v>
      </c>
    </row>
    <row r="251" spans="1:22" x14ac:dyDescent="0.25">
      <c r="A251" s="4" t="s">
        <v>123</v>
      </c>
      <c r="B251" s="5" t="s">
        <v>83</v>
      </c>
      <c r="C251" s="4" t="s">
        <v>84</v>
      </c>
      <c r="D251" s="5" t="s">
        <v>144</v>
      </c>
      <c r="E251" s="4" t="s">
        <v>76</v>
      </c>
      <c r="F251" s="4" t="s">
        <v>77</v>
      </c>
      <c r="G251" s="4" t="s">
        <v>13</v>
      </c>
      <c r="H251" s="6">
        <v>2</v>
      </c>
      <c r="I251" s="7">
        <v>38000</v>
      </c>
      <c r="J251" s="7">
        <f t="shared" si="29"/>
        <v>76000</v>
      </c>
      <c r="K251" s="8" t="s">
        <v>12</v>
      </c>
      <c r="L251" s="35" t="str">
        <f>+VLOOKUP(E251,MÃ!$B$2:$F$229,2,0)</f>
        <v>NL300018</v>
      </c>
      <c r="M251" s="36">
        <f>+VLOOKUP(T251,Sheet2!$B$2:$N$305,10,0)</f>
        <v>2</v>
      </c>
      <c r="N251" s="37">
        <f>+VLOOKUP(L251,MÃ!$C$2:$F$226,4,0)</f>
        <v>38000</v>
      </c>
      <c r="O251" s="37">
        <f t="shared" si="30"/>
        <v>76000</v>
      </c>
      <c r="P251" s="37">
        <f t="shared" si="31"/>
        <v>0</v>
      </c>
      <c r="Q251" s="35" t="str">
        <f t="shared" si="32"/>
        <v xml:space="preserve"> </v>
      </c>
      <c r="R251" s="27">
        <f>+VLOOKUP(T251,Sheet2!$B$2:$N$305,13,0)</f>
        <v>76000</v>
      </c>
      <c r="S251" s="38">
        <f t="shared" si="33"/>
        <v>0</v>
      </c>
      <c r="T251" t="str">
        <f t="shared" si="34"/>
        <v>12/01/2026NL300018</v>
      </c>
      <c r="U251" s="29">
        <f t="shared" si="35"/>
        <v>0</v>
      </c>
      <c r="V251" s="39">
        <f t="shared" si="36"/>
        <v>0</v>
      </c>
    </row>
    <row r="252" spans="1:22" x14ac:dyDescent="0.25">
      <c r="A252" s="4" t="s">
        <v>123</v>
      </c>
      <c r="B252" s="5" t="s">
        <v>83</v>
      </c>
      <c r="C252" s="4" t="s">
        <v>84</v>
      </c>
      <c r="D252" s="5" t="s">
        <v>144</v>
      </c>
      <c r="E252" s="4" t="s">
        <v>14</v>
      </c>
      <c r="F252" s="4" t="s">
        <v>15</v>
      </c>
      <c r="G252" s="4" t="s">
        <v>13</v>
      </c>
      <c r="H252" s="6">
        <v>0.8</v>
      </c>
      <c r="I252" s="7">
        <v>50000</v>
      </c>
      <c r="J252" s="7">
        <f t="shared" si="29"/>
        <v>40000</v>
      </c>
      <c r="K252" s="8" t="s">
        <v>12</v>
      </c>
      <c r="L252" s="35" t="str">
        <f>+VLOOKUP(E252,MÃ!$B$2:$F$229,2,0)</f>
        <v>NL300142</v>
      </c>
      <c r="M252" s="36">
        <f>+VLOOKUP(T252,Sheet2!$B$2:$N$305,10,0)</f>
        <v>0.8</v>
      </c>
      <c r="N252" s="37">
        <f>+VLOOKUP(L252,MÃ!$C$2:$F$226,4,0)</f>
        <v>50000</v>
      </c>
      <c r="O252" s="37">
        <f t="shared" si="30"/>
        <v>40000</v>
      </c>
      <c r="P252" s="37">
        <f t="shared" si="31"/>
        <v>0</v>
      </c>
      <c r="Q252" s="35" t="str">
        <f t="shared" si="32"/>
        <v xml:space="preserve"> </v>
      </c>
      <c r="R252" s="27">
        <f>+VLOOKUP(T252,Sheet2!$B$2:$N$305,13,0)</f>
        <v>40000</v>
      </c>
      <c r="S252" s="38">
        <f t="shared" si="33"/>
        <v>0</v>
      </c>
      <c r="T252" t="str">
        <f t="shared" si="34"/>
        <v>12/01/2026NL300142</v>
      </c>
      <c r="U252" s="29">
        <f t="shared" si="35"/>
        <v>0</v>
      </c>
      <c r="V252" s="39">
        <f t="shared" si="36"/>
        <v>0</v>
      </c>
    </row>
    <row r="253" spans="1:22" x14ac:dyDescent="0.25">
      <c r="A253" s="4" t="s">
        <v>123</v>
      </c>
      <c r="B253" s="5" t="s">
        <v>83</v>
      </c>
      <c r="C253" s="4" t="s">
        <v>84</v>
      </c>
      <c r="D253" s="5" t="s">
        <v>144</v>
      </c>
      <c r="E253" s="4" t="s">
        <v>48</v>
      </c>
      <c r="F253" s="4" t="s">
        <v>49</v>
      </c>
      <c r="G253" s="4" t="s">
        <v>13</v>
      </c>
      <c r="H253" s="6">
        <v>4.9000000000000004</v>
      </c>
      <c r="I253" s="7">
        <v>62000</v>
      </c>
      <c r="J253" s="7">
        <f t="shared" si="29"/>
        <v>303800</v>
      </c>
      <c r="K253" s="8" t="s">
        <v>12</v>
      </c>
      <c r="L253" s="35" t="str">
        <f>+VLOOKUP(E253,MÃ!$B$2:$F$229,2,0)</f>
        <v>NL300147</v>
      </c>
      <c r="M253" s="36">
        <f>+VLOOKUP(T253,Sheet2!$B$2:$N$305,10,0)</f>
        <v>4.9000000000000004</v>
      </c>
      <c r="N253" s="37">
        <f>+VLOOKUP(L253,MÃ!$C$2:$F$226,4,0)</f>
        <v>62000</v>
      </c>
      <c r="O253" s="37">
        <f t="shared" si="30"/>
        <v>303800</v>
      </c>
      <c r="P253" s="37">
        <f t="shared" si="31"/>
        <v>0</v>
      </c>
      <c r="Q253" s="35" t="str">
        <f t="shared" si="32"/>
        <v xml:space="preserve"> </v>
      </c>
      <c r="R253" s="27">
        <f>+VLOOKUP(T253,Sheet2!$B$2:$N$305,13,0)</f>
        <v>303800</v>
      </c>
      <c r="S253" s="38">
        <f t="shared" si="33"/>
        <v>0</v>
      </c>
      <c r="T253" t="str">
        <f t="shared" si="34"/>
        <v>12/01/2026NL300147</v>
      </c>
      <c r="U253" s="29">
        <f t="shared" si="35"/>
        <v>0</v>
      </c>
      <c r="V253" s="39">
        <f t="shared" si="36"/>
        <v>0</v>
      </c>
    </row>
    <row r="254" spans="1:22" x14ac:dyDescent="0.25">
      <c r="A254" s="4" t="s">
        <v>125</v>
      </c>
      <c r="B254" s="5" t="s">
        <v>83</v>
      </c>
      <c r="C254" s="4" t="s">
        <v>84</v>
      </c>
      <c r="D254" s="5" t="s">
        <v>145</v>
      </c>
      <c r="E254" s="4" t="s">
        <v>66</v>
      </c>
      <c r="F254" s="4" t="s">
        <v>67</v>
      </c>
      <c r="G254" s="4" t="s">
        <v>13</v>
      </c>
      <c r="H254" s="6">
        <v>9</v>
      </c>
      <c r="I254" s="7">
        <v>18000</v>
      </c>
      <c r="J254" s="7">
        <f t="shared" si="29"/>
        <v>162000</v>
      </c>
      <c r="K254" s="8" t="s">
        <v>12</v>
      </c>
      <c r="L254" s="35" t="str">
        <f>+VLOOKUP(E254,MÃ!$B$2:$F$229,2,0)</f>
        <v>NL300022</v>
      </c>
      <c r="M254" s="36">
        <f>+VLOOKUP(T254,Sheet2!$B$2:$N$305,10,0)</f>
        <v>6.9</v>
      </c>
      <c r="N254" s="37">
        <f>+VLOOKUP(L254,MÃ!$C$2:$F$226,4,0)</f>
        <v>18000</v>
      </c>
      <c r="O254" s="37">
        <f t="shared" si="30"/>
        <v>124200</v>
      </c>
      <c r="P254" s="37">
        <f t="shared" si="31"/>
        <v>37800</v>
      </c>
      <c r="Q254" s="35" t="str">
        <f t="shared" si="32"/>
        <v>SAI SL NHẬN</v>
      </c>
      <c r="R254" s="27">
        <f>+VLOOKUP(T254,Sheet2!$B$2:$N$305,13,0)</f>
        <v>124200</v>
      </c>
      <c r="S254" s="38">
        <f t="shared" si="33"/>
        <v>0</v>
      </c>
      <c r="T254" t="str">
        <f t="shared" si="34"/>
        <v>13/01/2026NL300022</v>
      </c>
      <c r="U254" s="29">
        <f t="shared" si="35"/>
        <v>2.0999999999999996</v>
      </c>
      <c r="V254" s="39">
        <f t="shared" si="36"/>
        <v>0</v>
      </c>
    </row>
    <row r="255" spans="1:22" x14ac:dyDescent="0.25">
      <c r="A255" s="4" t="s">
        <v>125</v>
      </c>
      <c r="B255" s="5" t="s">
        <v>83</v>
      </c>
      <c r="C255" s="4" t="s">
        <v>84</v>
      </c>
      <c r="D255" s="5" t="s">
        <v>145</v>
      </c>
      <c r="E255" s="4" t="s">
        <v>50</v>
      </c>
      <c r="F255" s="4" t="s">
        <v>51</v>
      </c>
      <c r="G255" s="4" t="s">
        <v>13</v>
      </c>
      <c r="H255" s="6">
        <v>17.399999999999999</v>
      </c>
      <c r="I255" s="7">
        <v>18000</v>
      </c>
      <c r="J255" s="7">
        <f t="shared" si="29"/>
        <v>313200</v>
      </c>
      <c r="K255" s="8" t="s">
        <v>12</v>
      </c>
      <c r="L255" s="35" t="str">
        <f>+VLOOKUP(E255,MÃ!$B$2:$F$229,2,0)</f>
        <v>NL600004</v>
      </c>
      <c r="M255" s="36">
        <f>+VLOOKUP(T255,Sheet2!$B$2:$N$305,10,0)</f>
        <v>17.399999999999999</v>
      </c>
      <c r="N255" s="37">
        <f>+VLOOKUP(L255,MÃ!$C$2:$F$226,4,0)</f>
        <v>18000</v>
      </c>
      <c r="O255" s="37">
        <f t="shared" si="30"/>
        <v>313200</v>
      </c>
      <c r="P255" s="37">
        <f t="shared" si="31"/>
        <v>0</v>
      </c>
      <c r="Q255" s="35" t="str">
        <f t="shared" si="32"/>
        <v xml:space="preserve"> </v>
      </c>
      <c r="R255" s="27">
        <f>+VLOOKUP(T255,Sheet2!$B$2:$N$305,13,0)</f>
        <v>313200</v>
      </c>
      <c r="S255" s="38">
        <f t="shared" si="33"/>
        <v>0</v>
      </c>
      <c r="T255" t="str">
        <f t="shared" si="34"/>
        <v>13/01/2026NL600004</v>
      </c>
      <c r="U255" s="29">
        <f t="shared" si="35"/>
        <v>0</v>
      </c>
      <c r="V255" s="39">
        <f t="shared" si="36"/>
        <v>0</v>
      </c>
    </row>
    <row r="256" spans="1:22" x14ac:dyDescent="0.25">
      <c r="A256" s="4" t="s">
        <v>125</v>
      </c>
      <c r="B256" s="5" t="s">
        <v>83</v>
      </c>
      <c r="C256" s="4" t="s">
        <v>84</v>
      </c>
      <c r="D256" s="5" t="s">
        <v>145</v>
      </c>
      <c r="E256" s="4" t="s">
        <v>18</v>
      </c>
      <c r="F256" s="4" t="s">
        <v>19</v>
      </c>
      <c r="G256" s="4" t="s">
        <v>13</v>
      </c>
      <c r="H256" s="6">
        <v>0.3</v>
      </c>
      <c r="I256" s="7">
        <v>55000</v>
      </c>
      <c r="J256" s="7">
        <f t="shared" si="29"/>
        <v>16500</v>
      </c>
      <c r="K256" s="8" t="s">
        <v>12</v>
      </c>
      <c r="L256" s="35" t="str">
        <f>+VLOOKUP(E256,MÃ!$B$2:$F$229,2,0)</f>
        <v>NL300058</v>
      </c>
      <c r="M256" s="36">
        <f>+VLOOKUP(T256,Sheet2!$B$2:$N$305,10,0)</f>
        <v>0.3</v>
      </c>
      <c r="N256" s="37">
        <f>+VLOOKUP(L256,MÃ!$C$2:$F$226,4,0)</f>
        <v>55000</v>
      </c>
      <c r="O256" s="37">
        <f t="shared" si="30"/>
        <v>16500</v>
      </c>
      <c r="P256" s="37">
        <f t="shared" si="31"/>
        <v>0</v>
      </c>
      <c r="Q256" s="35" t="str">
        <f t="shared" si="32"/>
        <v xml:space="preserve"> </v>
      </c>
      <c r="R256" s="27">
        <f>+VLOOKUP(T256,Sheet2!$B$2:$N$305,13,0)</f>
        <v>16500</v>
      </c>
      <c r="S256" s="38">
        <f t="shared" si="33"/>
        <v>0</v>
      </c>
      <c r="T256" t="str">
        <f t="shared" si="34"/>
        <v>13/01/2026NL300058</v>
      </c>
      <c r="U256" s="29">
        <f t="shared" si="35"/>
        <v>0</v>
      </c>
      <c r="V256" s="39">
        <f t="shared" si="36"/>
        <v>0</v>
      </c>
    </row>
    <row r="257" spans="1:22" x14ac:dyDescent="0.25">
      <c r="A257" s="4" t="s">
        <v>125</v>
      </c>
      <c r="B257" s="5" t="s">
        <v>83</v>
      </c>
      <c r="C257" s="4" t="s">
        <v>84</v>
      </c>
      <c r="D257" s="5" t="s">
        <v>145</v>
      </c>
      <c r="E257" s="4" t="s">
        <v>52</v>
      </c>
      <c r="F257" s="4" t="s">
        <v>53</v>
      </c>
      <c r="G257" s="4" t="s">
        <v>13</v>
      </c>
      <c r="H257" s="6">
        <v>0.1</v>
      </c>
      <c r="I257" s="7">
        <v>65000</v>
      </c>
      <c r="J257" s="7">
        <f t="shared" si="29"/>
        <v>6500</v>
      </c>
      <c r="K257" s="8" t="s">
        <v>12</v>
      </c>
      <c r="L257" s="35" t="str">
        <f>+VLOOKUP(E257,MÃ!$B$2:$F$229,2,0)</f>
        <v>NL300062</v>
      </c>
      <c r="M257" s="36">
        <f>+VLOOKUP(T257,Sheet2!$B$2:$N$305,10,0)</f>
        <v>0.1</v>
      </c>
      <c r="N257" s="37">
        <f>+VLOOKUP(L257,MÃ!$C$2:$F$226,4,0)</f>
        <v>65000</v>
      </c>
      <c r="O257" s="37">
        <f t="shared" si="30"/>
        <v>6500</v>
      </c>
      <c r="P257" s="37">
        <f t="shared" si="31"/>
        <v>0</v>
      </c>
      <c r="Q257" s="35" t="str">
        <f t="shared" si="32"/>
        <v xml:space="preserve"> </v>
      </c>
      <c r="R257" s="27">
        <f>+VLOOKUP(T257,Sheet2!$B$2:$N$305,13,0)</f>
        <v>6500</v>
      </c>
      <c r="S257" s="38">
        <f t="shared" si="33"/>
        <v>0</v>
      </c>
      <c r="T257" t="str">
        <f t="shared" si="34"/>
        <v>13/01/2026NL300062</v>
      </c>
      <c r="U257" s="29">
        <f t="shared" si="35"/>
        <v>0</v>
      </c>
      <c r="V257" s="39">
        <f t="shared" si="36"/>
        <v>0</v>
      </c>
    </row>
    <row r="258" spans="1:22" x14ac:dyDescent="0.25">
      <c r="A258" s="4" t="s">
        <v>125</v>
      </c>
      <c r="B258" s="5" t="s">
        <v>83</v>
      </c>
      <c r="C258" s="4" t="s">
        <v>84</v>
      </c>
      <c r="D258" s="5" t="s">
        <v>145</v>
      </c>
      <c r="E258" s="4" t="s">
        <v>72</v>
      </c>
      <c r="F258" s="4" t="s">
        <v>73</v>
      </c>
      <c r="G258" s="4" t="s">
        <v>13</v>
      </c>
      <c r="H258" s="6">
        <v>1.2</v>
      </c>
      <c r="I258" s="7">
        <v>18000</v>
      </c>
      <c r="J258" s="7">
        <f t="shared" si="29"/>
        <v>21600</v>
      </c>
      <c r="K258" s="8" t="s">
        <v>12</v>
      </c>
      <c r="L258" s="35" t="str">
        <f>+VLOOKUP(E258,MÃ!$B$2:$F$229,2,0)</f>
        <v>NL300074</v>
      </c>
      <c r="M258" s="36">
        <f>+VLOOKUP(T258,Sheet2!$B$2:$N$305,10,0)</f>
        <v>1.2</v>
      </c>
      <c r="N258" s="37">
        <f>+VLOOKUP(L258,MÃ!$C$2:$F$226,4,0)</f>
        <v>18000</v>
      </c>
      <c r="O258" s="37">
        <f t="shared" si="30"/>
        <v>21600</v>
      </c>
      <c r="P258" s="37">
        <f t="shared" si="31"/>
        <v>0</v>
      </c>
      <c r="Q258" s="35" t="str">
        <f t="shared" si="32"/>
        <v xml:space="preserve"> </v>
      </c>
      <c r="R258" s="27">
        <f>+VLOOKUP(T258,Sheet2!$B$2:$N$305,13,0)</f>
        <v>21600</v>
      </c>
      <c r="S258" s="38">
        <f t="shared" si="33"/>
        <v>0</v>
      </c>
      <c r="T258" t="str">
        <f t="shared" si="34"/>
        <v>13/01/2026NL300074</v>
      </c>
      <c r="U258" s="29">
        <f t="shared" si="35"/>
        <v>0</v>
      </c>
      <c r="V258" s="39">
        <f t="shared" si="36"/>
        <v>0</v>
      </c>
    </row>
    <row r="259" spans="1:22" x14ac:dyDescent="0.25">
      <c r="A259" s="4" t="s">
        <v>125</v>
      </c>
      <c r="B259" s="5" t="s">
        <v>83</v>
      </c>
      <c r="C259" s="4" t="s">
        <v>84</v>
      </c>
      <c r="D259" s="5" t="s">
        <v>145</v>
      </c>
      <c r="E259" s="4" t="s">
        <v>74</v>
      </c>
      <c r="F259" s="4" t="s">
        <v>75</v>
      </c>
      <c r="G259" s="4" t="s">
        <v>13</v>
      </c>
      <c r="H259" s="6">
        <v>2</v>
      </c>
      <c r="I259" s="7">
        <v>22000</v>
      </c>
      <c r="J259" s="7">
        <f t="shared" si="29"/>
        <v>44000</v>
      </c>
      <c r="K259" s="8" t="s">
        <v>12</v>
      </c>
      <c r="L259" s="35" t="str">
        <f>+VLOOKUP(E259,MÃ!$B$2:$F$229,2,0)</f>
        <v>NL300084</v>
      </c>
      <c r="M259" s="36">
        <f>+VLOOKUP(T259,Sheet2!$B$2:$N$305,10,0)</f>
        <v>1.7</v>
      </c>
      <c r="N259" s="37">
        <f>+VLOOKUP(L259,MÃ!$C$2:$F$226,4,0)</f>
        <v>22000</v>
      </c>
      <c r="O259" s="37">
        <f t="shared" si="30"/>
        <v>37400</v>
      </c>
      <c r="P259" s="37">
        <f t="shared" si="31"/>
        <v>6600</v>
      </c>
      <c r="Q259" s="35" t="str">
        <f t="shared" si="32"/>
        <v>SAI SL NHẬN</v>
      </c>
      <c r="R259" s="27">
        <f>+VLOOKUP(T259,Sheet2!$B$2:$N$305,13,0)</f>
        <v>37400</v>
      </c>
      <c r="S259" s="38">
        <f t="shared" si="33"/>
        <v>0</v>
      </c>
      <c r="T259" t="str">
        <f t="shared" si="34"/>
        <v>13/01/2026NL300084</v>
      </c>
      <c r="U259" s="29">
        <f t="shared" si="35"/>
        <v>0.30000000000000004</v>
      </c>
      <c r="V259" s="39">
        <f t="shared" si="36"/>
        <v>0</v>
      </c>
    </row>
    <row r="260" spans="1:22" x14ac:dyDescent="0.25">
      <c r="A260" s="4" t="s">
        <v>125</v>
      </c>
      <c r="B260" s="5" t="s">
        <v>83</v>
      </c>
      <c r="C260" s="4" t="s">
        <v>84</v>
      </c>
      <c r="D260" s="5" t="s">
        <v>145</v>
      </c>
      <c r="E260" s="4" t="s">
        <v>36</v>
      </c>
      <c r="F260" s="4" t="s">
        <v>37</v>
      </c>
      <c r="G260" s="4" t="s">
        <v>13</v>
      </c>
      <c r="H260" s="6">
        <v>2</v>
      </c>
      <c r="I260" s="7">
        <v>145000</v>
      </c>
      <c r="J260" s="7">
        <f t="shared" si="29"/>
        <v>290000</v>
      </c>
      <c r="K260" s="8" t="s">
        <v>12</v>
      </c>
      <c r="L260" s="35" t="str">
        <f>+VLOOKUP(E260,MÃ!$B$2:$F$229,2,0)</f>
        <v>NL300090</v>
      </c>
      <c r="M260" s="36">
        <f>+VLOOKUP(T260,Sheet2!$B$2:$N$305,10,0)</f>
        <v>2</v>
      </c>
      <c r="N260" s="37">
        <f>+VLOOKUP(L260,MÃ!$C$2:$F$226,4,0)</f>
        <v>145000</v>
      </c>
      <c r="O260" s="37">
        <f t="shared" si="30"/>
        <v>290000</v>
      </c>
      <c r="P260" s="37">
        <f t="shared" si="31"/>
        <v>0</v>
      </c>
      <c r="Q260" s="35" t="str">
        <f t="shared" si="32"/>
        <v xml:space="preserve"> </v>
      </c>
      <c r="R260" s="27">
        <f>+VLOOKUP(T260,Sheet2!$B$2:$N$305,13,0)</f>
        <v>290000</v>
      </c>
      <c r="S260" s="38">
        <f t="shared" si="33"/>
        <v>0</v>
      </c>
      <c r="T260" t="str">
        <f t="shared" si="34"/>
        <v>13/01/2026NL300090</v>
      </c>
      <c r="U260" s="29">
        <f t="shared" si="35"/>
        <v>0</v>
      </c>
      <c r="V260" s="39">
        <f t="shared" si="36"/>
        <v>0</v>
      </c>
    </row>
    <row r="261" spans="1:22" x14ac:dyDescent="0.25">
      <c r="A261" s="4" t="s">
        <v>125</v>
      </c>
      <c r="B261" s="5" t="s">
        <v>83</v>
      </c>
      <c r="C261" s="4" t="s">
        <v>84</v>
      </c>
      <c r="D261" s="5" t="s">
        <v>145</v>
      </c>
      <c r="E261" s="4" t="s">
        <v>38</v>
      </c>
      <c r="F261" s="4" t="s">
        <v>39</v>
      </c>
      <c r="G261" s="4" t="s">
        <v>13</v>
      </c>
      <c r="H261" s="6">
        <v>4</v>
      </c>
      <c r="I261" s="7">
        <v>47000</v>
      </c>
      <c r="J261" s="7">
        <f t="shared" si="29"/>
        <v>188000</v>
      </c>
      <c r="K261" s="8" t="s">
        <v>12</v>
      </c>
      <c r="L261" s="35" t="str">
        <f>+VLOOKUP(E261,MÃ!$B$2:$F$229,2,0)</f>
        <v>NL300091</v>
      </c>
      <c r="M261" s="36">
        <f>+VLOOKUP(T261,Sheet2!$B$2:$N$305,10,0)</f>
        <v>4</v>
      </c>
      <c r="N261" s="37">
        <f>+VLOOKUP(L261,MÃ!$C$2:$F$226,4,0)</f>
        <v>47000</v>
      </c>
      <c r="O261" s="37">
        <f t="shared" si="30"/>
        <v>188000</v>
      </c>
      <c r="P261" s="37">
        <f t="shared" si="31"/>
        <v>0</v>
      </c>
      <c r="Q261" s="35" t="str">
        <f t="shared" si="32"/>
        <v xml:space="preserve"> </v>
      </c>
      <c r="R261" s="27">
        <f>+VLOOKUP(T261,Sheet2!$B$2:$N$305,13,0)</f>
        <v>188000</v>
      </c>
      <c r="S261" s="38">
        <f t="shared" si="33"/>
        <v>0</v>
      </c>
      <c r="T261" t="str">
        <f t="shared" si="34"/>
        <v>13/01/2026NL300091</v>
      </c>
      <c r="U261" s="29">
        <f t="shared" si="35"/>
        <v>0</v>
      </c>
      <c r="V261" s="39">
        <f t="shared" si="36"/>
        <v>0</v>
      </c>
    </row>
    <row r="262" spans="1:22" x14ac:dyDescent="0.25">
      <c r="A262" s="4" t="s">
        <v>125</v>
      </c>
      <c r="B262" s="5" t="s">
        <v>83</v>
      </c>
      <c r="C262" s="4" t="s">
        <v>84</v>
      </c>
      <c r="D262" s="5" t="s">
        <v>145</v>
      </c>
      <c r="E262" s="4" t="s">
        <v>42</v>
      </c>
      <c r="F262" s="4" t="s">
        <v>43</v>
      </c>
      <c r="G262" s="4" t="s">
        <v>13</v>
      </c>
      <c r="H262" s="6">
        <v>3</v>
      </c>
      <c r="I262" s="7">
        <v>45000</v>
      </c>
      <c r="J262" s="7">
        <f t="shared" si="29"/>
        <v>135000</v>
      </c>
      <c r="K262" s="8" t="s">
        <v>12</v>
      </c>
      <c r="L262" s="35" t="str">
        <f>+VLOOKUP(E262,MÃ!$B$2:$F$229,2,0)</f>
        <v>NL300096</v>
      </c>
      <c r="M262" s="36">
        <f>+VLOOKUP(T262,Sheet2!$B$2:$N$305,10,0)</f>
        <v>3</v>
      </c>
      <c r="N262" s="37">
        <f>+VLOOKUP(L262,MÃ!$C$2:$F$226,4,0)</f>
        <v>45000</v>
      </c>
      <c r="O262" s="37">
        <f t="shared" si="30"/>
        <v>135000</v>
      </c>
      <c r="P262" s="37">
        <f t="shared" si="31"/>
        <v>0</v>
      </c>
      <c r="Q262" s="35" t="str">
        <f t="shared" si="32"/>
        <v xml:space="preserve"> </v>
      </c>
      <c r="R262" s="27">
        <f>+VLOOKUP(T262,Sheet2!$B$2:$N$305,13,0)</f>
        <v>135000</v>
      </c>
      <c r="S262" s="38">
        <f t="shared" si="33"/>
        <v>0</v>
      </c>
      <c r="T262" t="str">
        <f t="shared" si="34"/>
        <v>13/01/2026NL300096</v>
      </c>
      <c r="U262" s="29">
        <f t="shared" si="35"/>
        <v>0</v>
      </c>
      <c r="V262" s="39">
        <f t="shared" si="36"/>
        <v>0</v>
      </c>
    </row>
    <row r="263" spans="1:22" ht="28.5" x14ac:dyDescent="0.25">
      <c r="A263" s="4" t="s">
        <v>125</v>
      </c>
      <c r="B263" s="5" t="s">
        <v>83</v>
      </c>
      <c r="C263" s="4" t="s">
        <v>84</v>
      </c>
      <c r="D263" s="5" t="s">
        <v>145</v>
      </c>
      <c r="E263" s="4" t="s">
        <v>44</v>
      </c>
      <c r="F263" s="4" t="s">
        <v>45</v>
      </c>
      <c r="G263" s="4" t="s">
        <v>13</v>
      </c>
      <c r="H263" s="6">
        <v>3</v>
      </c>
      <c r="I263" s="7">
        <v>95000</v>
      </c>
      <c r="J263" s="7">
        <f t="shared" si="29"/>
        <v>285000</v>
      </c>
      <c r="K263" s="8" t="s">
        <v>12</v>
      </c>
      <c r="L263" s="35" t="str">
        <f>+VLOOKUP(E263,MÃ!$B$2:$F$229,2,0)</f>
        <v>NL300098</v>
      </c>
      <c r="M263" s="36">
        <f>+VLOOKUP(T263,Sheet2!$B$2:$N$305,10,0)</f>
        <v>3</v>
      </c>
      <c r="N263" s="37">
        <f>+VLOOKUP(L263,MÃ!$C$2:$F$226,4,0)</f>
        <v>95000</v>
      </c>
      <c r="O263" s="37">
        <f t="shared" si="30"/>
        <v>285000</v>
      </c>
      <c r="P263" s="37">
        <f t="shared" si="31"/>
        <v>0</v>
      </c>
      <c r="Q263" s="35" t="str">
        <f t="shared" si="32"/>
        <v xml:space="preserve"> </v>
      </c>
      <c r="R263" s="27">
        <f>+VLOOKUP(T263,Sheet2!$B$2:$N$305,13,0)</f>
        <v>285000</v>
      </c>
      <c r="S263" s="38">
        <f t="shared" si="33"/>
        <v>0</v>
      </c>
      <c r="T263" t="str">
        <f t="shared" si="34"/>
        <v>13/01/2026NL300098</v>
      </c>
      <c r="U263" s="29">
        <f t="shared" si="35"/>
        <v>0</v>
      </c>
      <c r="V263" s="39">
        <f t="shared" si="36"/>
        <v>0</v>
      </c>
    </row>
    <row r="264" spans="1:22" x14ac:dyDescent="0.25">
      <c r="A264" s="4" t="s">
        <v>125</v>
      </c>
      <c r="B264" s="5" t="s">
        <v>83</v>
      </c>
      <c r="C264" s="4" t="s">
        <v>84</v>
      </c>
      <c r="D264" s="5" t="s">
        <v>145</v>
      </c>
      <c r="E264" s="4" t="s">
        <v>46</v>
      </c>
      <c r="F264" s="4" t="s">
        <v>47</v>
      </c>
      <c r="G264" s="4" t="s">
        <v>13</v>
      </c>
      <c r="H264" s="6">
        <v>0.1</v>
      </c>
      <c r="I264" s="7">
        <v>70000</v>
      </c>
      <c r="J264" s="7">
        <f t="shared" si="29"/>
        <v>7000</v>
      </c>
      <c r="K264" s="8" t="s">
        <v>12</v>
      </c>
      <c r="L264" s="35" t="str">
        <f>+VLOOKUP(E264,MÃ!$B$2:$F$229,2,0)</f>
        <v>NL300126</v>
      </c>
      <c r="M264" s="36">
        <f>+VLOOKUP(T264,Sheet2!$B$2:$N$305,10,0)</f>
        <v>0.1</v>
      </c>
      <c r="N264" s="37">
        <f>+VLOOKUP(L264,MÃ!$C$2:$F$226,4,0)</f>
        <v>70000</v>
      </c>
      <c r="O264" s="37">
        <f t="shared" si="30"/>
        <v>7000</v>
      </c>
      <c r="P264" s="37">
        <f t="shared" si="31"/>
        <v>0</v>
      </c>
      <c r="Q264" s="35" t="str">
        <f t="shared" si="32"/>
        <v xml:space="preserve"> </v>
      </c>
      <c r="R264" s="27">
        <f>+VLOOKUP(T264,Sheet2!$B$2:$N$305,13,0)</f>
        <v>7000</v>
      </c>
      <c r="S264" s="38">
        <f t="shared" si="33"/>
        <v>0</v>
      </c>
      <c r="T264" t="str">
        <f t="shared" si="34"/>
        <v>13/01/2026NL300126</v>
      </c>
      <c r="U264" s="29">
        <f t="shared" si="35"/>
        <v>0</v>
      </c>
      <c r="V264" s="39">
        <f t="shared" si="36"/>
        <v>0</v>
      </c>
    </row>
    <row r="265" spans="1:22" x14ac:dyDescent="0.25">
      <c r="A265" s="4" t="s">
        <v>125</v>
      </c>
      <c r="B265" s="5" t="s">
        <v>83</v>
      </c>
      <c r="C265" s="4" t="s">
        <v>84</v>
      </c>
      <c r="D265" s="5" t="s">
        <v>145</v>
      </c>
      <c r="E265" s="4" t="s">
        <v>27</v>
      </c>
      <c r="F265" s="4" t="s">
        <v>28</v>
      </c>
      <c r="G265" s="4" t="s">
        <v>13</v>
      </c>
      <c r="H265" s="6">
        <v>3</v>
      </c>
      <c r="I265" s="7">
        <v>21000</v>
      </c>
      <c r="J265" s="7">
        <f t="shared" si="29"/>
        <v>63000</v>
      </c>
      <c r="K265" s="8" t="s">
        <v>12</v>
      </c>
      <c r="L265" s="35" t="str">
        <f>+VLOOKUP(E265,MÃ!$B$2:$F$229,2,0)</f>
        <v>NL300119</v>
      </c>
      <c r="M265" s="36">
        <f>+VLOOKUP(T265,Sheet2!$B$2:$N$305,10,0)</f>
        <v>2.7</v>
      </c>
      <c r="N265" s="37">
        <f>+VLOOKUP(L265,MÃ!$C$2:$F$226,4,0)</f>
        <v>21000</v>
      </c>
      <c r="O265" s="37">
        <f t="shared" si="30"/>
        <v>56700.000000000007</v>
      </c>
      <c r="P265" s="37">
        <f t="shared" si="31"/>
        <v>6299.9999999999927</v>
      </c>
      <c r="Q265" s="35" t="str">
        <f t="shared" si="32"/>
        <v>SAI SL NHẬN</v>
      </c>
      <c r="R265" s="27">
        <f>+VLOOKUP(T265,Sheet2!$B$2:$N$305,13,0)</f>
        <v>56700.000000000007</v>
      </c>
      <c r="S265" s="38">
        <f t="shared" si="33"/>
        <v>0</v>
      </c>
      <c r="T265" t="str">
        <f t="shared" si="34"/>
        <v>13/01/2026NL300119</v>
      </c>
      <c r="U265" s="29">
        <f t="shared" si="35"/>
        <v>0.29999999999999982</v>
      </c>
      <c r="V265" s="39">
        <f t="shared" si="36"/>
        <v>0</v>
      </c>
    </row>
    <row r="266" spans="1:22" x14ac:dyDescent="0.25">
      <c r="A266" s="4" t="s">
        <v>125</v>
      </c>
      <c r="B266" s="5" t="s">
        <v>83</v>
      </c>
      <c r="C266" s="4" t="s">
        <v>84</v>
      </c>
      <c r="D266" s="5" t="s">
        <v>145</v>
      </c>
      <c r="E266" s="4" t="s">
        <v>76</v>
      </c>
      <c r="F266" s="4" t="s">
        <v>77</v>
      </c>
      <c r="G266" s="4" t="s">
        <v>13</v>
      </c>
      <c r="H266" s="6">
        <v>1</v>
      </c>
      <c r="I266" s="7">
        <v>38000</v>
      </c>
      <c r="J266" s="7">
        <f t="shared" si="29"/>
        <v>38000</v>
      </c>
      <c r="K266" s="8" t="s">
        <v>12</v>
      </c>
      <c r="L266" s="35" t="str">
        <f>+VLOOKUP(E266,MÃ!$B$2:$F$229,2,0)</f>
        <v>NL300018</v>
      </c>
      <c r="M266" s="36">
        <f>+VLOOKUP(T266,Sheet2!$B$2:$N$305,10,0)</f>
        <v>0.8</v>
      </c>
      <c r="N266" s="37">
        <f>+VLOOKUP(L266,MÃ!$C$2:$F$226,4,0)</f>
        <v>38000</v>
      </c>
      <c r="O266" s="37">
        <f t="shared" si="30"/>
        <v>30400</v>
      </c>
      <c r="P266" s="37">
        <f t="shared" si="31"/>
        <v>7600</v>
      </c>
      <c r="Q266" s="35" t="str">
        <f t="shared" si="32"/>
        <v>SAI SL NHẬN</v>
      </c>
      <c r="R266" s="27">
        <f>+VLOOKUP(T266,Sheet2!$B$2:$N$305,13,0)</f>
        <v>30400</v>
      </c>
      <c r="S266" s="38">
        <f t="shared" si="33"/>
        <v>0</v>
      </c>
      <c r="T266" t="str">
        <f t="shared" si="34"/>
        <v>13/01/2026NL300018</v>
      </c>
      <c r="U266" s="29">
        <f t="shared" si="35"/>
        <v>0.19999999999999996</v>
      </c>
      <c r="V266" s="39">
        <f t="shared" si="36"/>
        <v>0</v>
      </c>
    </row>
    <row r="267" spans="1:22" x14ac:dyDescent="0.25">
      <c r="A267" s="4" t="s">
        <v>125</v>
      </c>
      <c r="B267" s="5" t="s">
        <v>83</v>
      </c>
      <c r="C267" s="4" t="s">
        <v>84</v>
      </c>
      <c r="D267" s="5" t="s">
        <v>145</v>
      </c>
      <c r="E267" s="4" t="s">
        <v>14</v>
      </c>
      <c r="F267" s="4" t="s">
        <v>15</v>
      </c>
      <c r="G267" s="4" t="s">
        <v>13</v>
      </c>
      <c r="H267" s="6">
        <v>0.5</v>
      </c>
      <c r="I267" s="7">
        <v>50000</v>
      </c>
      <c r="J267" s="7">
        <f t="shared" si="29"/>
        <v>25000</v>
      </c>
      <c r="K267" s="8" t="s">
        <v>12</v>
      </c>
      <c r="L267" s="35" t="str">
        <f>+VLOOKUP(E267,MÃ!$B$2:$F$229,2,0)</f>
        <v>NL300142</v>
      </c>
      <c r="M267" s="36">
        <f>+VLOOKUP(T267,Sheet2!$B$2:$N$305,10,0)</f>
        <v>0.3</v>
      </c>
      <c r="N267" s="37">
        <f>+VLOOKUP(L267,MÃ!$C$2:$F$226,4,0)</f>
        <v>50000</v>
      </c>
      <c r="O267" s="37">
        <f t="shared" si="30"/>
        <v>15000</v>
      </c>
      <c r="P267" s="37">
        <f t="shared" si="31"/>
        <v>10000</v>
      </c>
      <c r="Q267" s="35" t="str">
        <f t="shared" si="32"/>
        <v>SAI SL NHẬN</v>
      </c>
      <c r="R267" s="27">
        <f>+VLOOKUP(T267,Sheet2!$B$2:$N$305,13,0)</f>
        <v>15000</v>
      </c>
      <c r="S267" s="38">
        <f t="shared" si="33"/>
        <v>0</v>
      </c>
      <c r="T267" t="str">
        <f t="shared" si="34"/>
        <v>13/01/2026NL300142</v>
      </c>
      <c r="U267" s="29">
        <f t="shared" si="35"/>
        <v>0.2</v>
      </c>
      <c r="V267" s="39">
        <f t="shared" si="36"/>
        <v>0</v>
      </c>
    </row>
    <row r="268" spans="1:22" x14ac:dyDescent="0.25">
      <c r="A268" s="4" t="s">
        <v>125</v>
      </c>
      <c r="B268" s="5" t="s">
        <v>83</v>
      </c>
      <c r="C268" s="4" t="s">
        <v>84</v>
      </c>
      <c r="D268" s="5" t="s">
        <v>145</v>
      </c>
      <c r="E268" s="4" t="s">
        <v>48</v>
      </c>
      <c r="F268" s="4" t="s">
        <v>49</v>
      </c>
      <c r="G268" s="4" t="s">
        <v>13</v>
      </c>
      <c r="H268" s="6">
        <v>4</v>
      </c>
      <c r="I268" s="7">
        <v>62000</v>
      </c>
      <c r="J268" s="7">
        <f t="shared" si="29"/>
        <v>248000</v>
      </c>
      <c r="K268" s="8" t="s">
        <v>12</v>
      </c>
      <c r="L268" s="35" t="str">
        <f>+VLOOKUP(E268,MÃ!$B$2:$F$229,2,0)</f>
        <v>NL300147</v>
      </c>
      <c r="M268" s="36">
        <f>+VLOOKUP(T268,Sheet2!$B$2:$N$305,10,0)</f>
        <v>4</v>
      </c>
      <c r="N268" s="37">
        <f>+VLOOKUP(L268,MÃ!$C$2:$F$226,4,0)</f>
        <v>62000</v>
      </c>
      <c r="O268" s="37">
        <f t="shared" si="30"/>
        <v>248000</v>
      </c>
      <c r="P268" s="37">
        <f t="shared" si="31"/>
        <v>0</v>
      </c>
      <c r="Q268" s="35" t="str">
        <f t="shared" si="32"/>
        <v xml:space="preserve"> </v>
      </c>
      <c r="R268" s="27">
        <f>+VLOOKUP(T268,Sheet2!$B$2:$N$305,13,0)</f>
        <v>248000</v>
      </c>
      <c r="S268" s="38">
        <f t="shared" si="33"/>
        <v>0</v>
      </c>
      <c r="T268" t="str">
        <f t="shared" si="34"/>
        <v>13/01/2026NL300147</v>
      </c>
      <c r="U268" s="29">
        <f t="shared" si="35"/>
        <v>0</v>
      </c>
      <c r="V268" s="39">
        <f t="shared" si="36"/>
        <v>0</v>
      </c>
    </row>
    <row r="269" spans="1:22" x14ac:dyDescent="0.25">
      <c r="A269" s="4" t="s">
        <v>128</v>
      </c>
      <c r="B269" s="5" t="s">
        <v>83</v>
      </c>
      <c r="C269" s="4" t="s">
        <v>84</v>
      </c>
      <c r="D269" s="5" t="s">
        <v>146</v>
      </c>
      <c r="E269" s="4" t="s">
        <v>64</v>
      </c>
      <c r="F269" s="4" t="s">
        <v>65</v>
      </c>
      <c r="G269" s="4" t="s">
        <v>13</v>
      </c>
      <c r="H269" s="6">
        <v>1</v>
      </c>
      <c r="I269" s="7">
        <v>50000</v>
      </c>
      <c r="J269" s="7">
        <f t="shared" si="29"/>
        <v>50000</v>
      </c>
      <c r="K269" s="8" t="s">
        <v>12</v>
      </c>
      <c r="L269" s="35" t="str">
        <f>+VLOOKUP(E269,MÃ!$B$2:$F$229,2,0)</f>
        <v>NL300013</v>
      </c>
      <c r="M269" s="36">
        <f>+VLOOKUP(T269,Sheet2!$B$2:$N$305,10,0)</f>
        <v>1</v>
      </c>
      <c r="N269" s="37">
        <f>+VLOOKUP(L269,MÃ!$C$2:$F$226,4,0)</f>
        <v>50000</v>
      </c>
      <c r="O269" s="37">
        <f t="shared" si="30"/>
        <v>50000</v>
      </c>
      <c r="P269" s="37">
        <f t="shared" si="31"/>
        <v>0</v>
      </c>
      <c r="Q269" s="35" t="str">
        <f t="shared" si="32"/>
        <v xml:space="preserve"> </v>
      </c>
      <c r="R269" s="27">
        <f>+VLOOKUP(T269,Sheet2!$B$2:$N$305,13,0)</f>
        <v>50000</v>
      </c>
      <c r="S269" s="38">
        <f t="shared" si="33"/>
        <v>0</v>
      </c>
      <c r="T269" t="str">
        <f t="shared" si="34"/>
        <v>14/01/2026NL300013</v>
      </c>
      <c r="U269" s="29">
        <f t="shared" si="35"/>
        <v>0</v>
      </c>
      <c r="V269" s="39">
        <f t="shared" si="36"/>
        <v>0</v>
      </c>
    </row>
    <row r="270" spans="1:22" x14ac:dyDescent="0.25">
      <c r="A270" s="4" t="s">
        <v>128</v>
      </c>
      <c r="B270" s="5" t="s">
        <v>83</v>
      </c>
      <c r="C270" s="4" t="s">
        <v>84</v>
      </c>
      <c r="D270" s="5" t="s">
        <v>146</v>
      </c>
      <c r="E270" s="4" t="s">
        <v>66</v>
      </c>
      <c r="F270" s="4" t="s">
        <v>67</v>
      </c>
      <c r="G270" s="4" t="s">
        <v>13</v>
      </c>
      <c r="H270" s="6">
        <v>12</v>
      </c>
      <c r="I270" s="7">
        <v>18000</v>
      </c>
      <c r="J270" s="7">
        <f t="shared" si="29"/>
        <v>216000</v>
      </c>
      <c r="K270" s="8" t="s">
        <v>12</v>
      </c>
      <c r="L270" s="35" t="str">
        <f>+VLOOKUP(E270,MÃ!$B$2:$F$229,2,0)</f>
        <v>NL300022</v>
      </c>
      <c r="M270" s="36">
        <f>+VLOOKUP(T270,Sheet2!$B$2:$N$305,10,0)</f>
        <v>9.3000000000000007</v>
      </c>
      <c r="N270" s="37">
        <f>+VLOOKUP(L270,MÃ!$C$2:$F$226,4,0)</f>
        <v>18000</v>
      </c>
      <c r="O270" s="37">
        <f t="shared" si="30"/>
        <v>167400</v>
      </c>
      <c r="P270" s="37">
        <f t="shared" si="31"/>
        <v>48600</v>
      </c>
      <c r="Q270" s="35" t="str">
        <f t="shared" si="32"/>
        <v>SAI SL NHẬN</v>
      </c>
      <c r="R270" s="27">
        <f>+VLOOKUP(T270,Sheet2!$B$2:$N$305,13,0)</f>
        <v>167400</v>
      </c>
      <c r="S270" s="38">
        <f t="shared" si="33"/>
        <v>0</v>
      </c>
      <c r="T270" t="str">
        <f t="shared" si="34"/>
        <v>14/01/2026NL300022</v>
      </c>
      <c r="U270" s="29">
        <f t="shared" si="35"/>
        <v>2.6999999999999993</v>
      </c>
      <c r="V270" s="39">
        <f t="shared" si="36"/>
        <v>0</v>
      </c>
    </row>
    <row r="271" spans="1:22" x14ac:dyDescent="0.25">
      <c r="A271" s="4" t="s">
        <v>128</v>
      </c>
      <c r="B271" s="5" t="s">
        <v>83</v>
      </c>
      <c r="C271" s="4" t="s">
        <v>84</v>
      </c>
      <c r="D271" s="5" t="s">
        <v>146</v>
      </c>
      <c r="E271" s="4" t="s">
        <v>54</v>
      </c>
      <c r="F271" s="4" t="s">
        <v>55</v>
      </c>
      <c r="G271" s="4" t="s">
        <v>13</v>
      </c>
      <c r="H271" s="6">
        <v>0.56999999999999995</v>
      </c>
      <c r="I271" s="7">
        <v>75000</v>
      </c>
      <c r="J271" s="7">
        <f t="shared" si="29"/>
        <v>42749.999999999993</v>
      </c>
      <c r="K271" s="8" t="s">
        <v>12</v>
      </c>
      <c r="L271" s="35" t="str">
        <f>+VLOOKUP(E271,MÃ!$B$2:$F$229,2,0)</f>
        <v>NL600067</v>
      </c>
      <c r="M271" s="36">
        <f>+VLOOKUP(T271,Sheet2!$B$2:$N$305,10,0)</f>
        <v>0.56999999999999995</v>
      </c>
      <c r="N271" s="37">
        <f>+VLOOKUP(L271,MÃ!$C$2:$F$226,4,0)</f>
        <v>75000</v>
      </c>
      <c r="O271" s="37">
        <f t="shared" si="30"/>
        <v>42749.999999999993</v>
      </c>
      <c r="P271" s="37">
        <f t="shared" si="31"/>
        <v>0</v>
      </c>
      <c r="Q271" s="35" t="str">
        <f t="shared" si="32"/>
        <v xml:space="preserve"> </v>
      </c>
      <c r="R271" s="27">
        <f>+VLOOKUP(T271,Sheet2!$B$2:$N$305,13,0)</f>
        <v>42749.999999999993</v>
      </c>
      <c r="S271" s="38">
        <f t="shared" si="33"/>
        <v>0</v>
      </c>
      <c r="T271" t="str">
        <f t="shared" si="34"/>
        <v>14/01/2026NL600067</v>
      </c>
      <c r="U271" s="29">
        <f t="shared" si="35"/>
        <v>0</v>
      </c>
      <c r="V271" s="39">
        <f t="shared" si="36"/>
        <v>0</v>
      </c>
    </row>
    <row r="272" spans="1:22" x14ac:dyDescent="0.25">
      <c r="A272" s="4" t="s">
        <v>128</v>
      </c>
      <c r="B272" s="5" t="s">
        <v>83</v>
      </c>
      <c r="C272" s="4" t="s">
        <v>84</v>
      </c>
      <c r="D272" s="5" t="s">
        <v>146</v>
      </c>
      <c r="E272" s="4" t="s">
        <v>92</v>
      </c>
      <c r="F272" s="4" t="s">
        <v>93</v>
      </c>
      <c r="G272" s="4" t="s">
        <v>13</v>
      </c>
      <c r="H272" s="6">
        <v>0.2</v>
      </c>
      <c r="I272" s="7">
        <v>38000</v>
      </c>
      <c r="J272" s="7">
        <f t="shared" ref="J272:J301" si="37">H272*I272</f>
        <v>7600</v>
      </c>
      <c r="K272" s="8" t="s">
        <v>12</v>
      </c>
      <c r="L272" s="35" t="str">
        <f>+VLOOKUP(E272,MÃ!$B$2:$F$229,2,0)</f>
        <v>NL300054</v>
      </c>
      <c r="M272" s="36">
        <f>+VLOOKUP(T272,Sheet2!$B$2:$N$305,10,0)</f>
        <v>0.2</v>
      </c>
      <c r="N272" s="37">
        <f>+VLOOKUP(L272,MÃ!$C$2:$F$226,4,0)</f>
        <v>38000</v>
      </c>
      <c r="O272" s="37">
        <f t="shared" ref="O272:O301" si="38">M272*N272</f>
        <v>7600</v>
      </c>
      <c r="P272" s="37">
        <f t="shared" ref="P272:P301" si="39">J272-O272</f>
        <v>0</v>
      </c>
      <c r="Q272" s="35" t="str">
        <f t="shared" ref="Q272:Q301" si="40">IF(U272=0," ","SAI SL NHẬN")</f>
        <v xml:space="preserve"> </v>
      </c>
      <c r="R272" s="27">
        <f>+VLOOKUP(T272,Sheet2!$B$2:$N$305,13,0)</f>
        <v>7600</v>
      </c>
      <c r="S272" s="38">
        <f t="shared" ref="S272:S301" si="41">O272-R272</f>
        <v>0</v>
      </c>
      <c r="T272" t="str">
        <f t="shared" ref="T272:T301" si="42">A272&amp;L272</f>
        <v>14/01/2026NL300054</v>
      </c>
      <c r="U272" s="29">
        <f t="shared" ref="U272:U301" si="43">H272-M272</f>
        <v>0</v>
      </c>
      <c r="V272" s="39">
        <f t="shared" ref="V272:V301" si="44">I272-N272</f>
        <v>0</v>
      </c>
    </row>
    <row r="273" spans="1:22" x14ac:dyDescent="0.25">
      <c r="A273" s="4" t="s">
        <v>128</v>
      </c>
      <c r="B273" s="5" t="s">
        <v>83</v>
      </c>
      <c r="C273" s="4" t="s">
        <v>84</v>
      </c>
      <c r="D273" s="5" t="s">
        <v>146</v>
      </c>
      <c r="E273" s="4" t="s">
        <v>50</v>
      </c>
      <c r="F273" s="4" t="s">
        <v>51</v>
      </c>
      <c r="G273" s="4" t="s">
        <v>13</v>
      </c>
      <c r="H273" s="6">
        <v>15</v>
      </c>
      <c r="I273" s="7">
        <v>18000</v>
      </c>
      <c r="J273" s="7">
        <f t="shared" si="37"/>
        <v>270000</v>
      </c>
      <c r="K273" s="8" t="s">
        <v>12</v>
      </c>
      <c r="L273" s="35" t="str">
        <f>+VLOOKUP(E273,MÃ!$B$2:$F$229,2,0)</f>
        <v>NL600004</v>
      </c>
      <c r="M273" s="36">
        <f>+VLOOKUP(T273,Sheet2!$B$2:$N$305,10,0)</f>
        <v>8</v>
      </c>
      <c r="N273" s="37">
        <f>+VLOOKUP(L273,MÃ!$C$2:$F$226,4,0)</f>
        <v>18000</v>
      </c>
      <c r="O273" s="37">
        <f t="shared" si="38"/>
        <v>144000</v>
      </c>
      <c r="P273" s="37">
        <f t="shared" si="39"/>
        <v>126000</v>
      </c>
      <c r="Q273" s="35" t="str">
        <f t="shared" si="40"/>
        <v>SAI SL NHẬN</v>
      </c>
      <c r="R273" s="27">
        <f>+VLOOKUP(T273,Sheet2!$B$2:$N$305,13,0)</f>
        <v>144000</v>
      </c>
      <c r="S273" s="38">
        <f t="shared" si="41"/>
        <v>0</v>
      </c>
      <c r="T273" t="str">
        <f t="shared" si="42"/>
        <v>14/01/2026NL600004</v>
      </c>
      <c r="U273" s="29">
        <f t="shared" si="43"/>
        <v>7</v>
      </c>
      <c r="V273" s="39">
        <f t="shared" si="44"/>
        <v>0</v>
      </c>
    </row>
    <row r="274" spans="1:22" x14ac:dyDescent="0.25">
      <c r="A274" s="4" t="s">
        <v>128</v>
      </c>
      <c r="B274" s="5" t="s">
        <v>83</v>
      </c>
      <c r="C274" s="4" t="s">
        <v>84</v>
      </c>
      <c r="D274" s="5" t="s">
        <v>146</v>
      </c>
      <c r="E274" s="4" t="s">
        <v>74</v>
      </c>
      <c r="F274" s="4" t="s">
        <v>75</v>
      </c>
      <c r="G274" s="4" t="s">
        <v>13</v>
      </c>
      <c r="H274" s="6">
        <v>1</v>
      </c>
      <c r="I274" s="7">
        <v>22000</v>
      </c>
      <c r="J274" s="7">
        <f t="shared" si="37"/>
        <v>22000</v>
      </c>
      <c r="K274" s="8" t="s">
        <v>12</v>
      </c>
      <c r="L274" s="35" t="str">
        <f>+VLOOKUP(E274,MÃ!$B$2:$F$229,2,0)</f>
        <v>NL300084</v>
      </c>
      <c r="M274" s="36">
        <f>+VLOOKUP(T274,Sheet2!$B$2:$N$305,10,0)</f>
        <v>0.7</v>
      </c>
      <c r="N274" s="37">
        <f>+VLOOKUP(L274,MÃ!$C$2:$F$226,4,0)</f>
        <v>22000</v>
      </c>
      <c r="O274" s="37">
        <f t="shared" si="38"/>
        <v>15399.999999999998</v>
      </c>
      <c r="P274" s="37">
        <f t="shared" si="39"/>
        <v>6600.0000000000018</v>
      </c>
      <c r="Q274" s="35" t="str">
        <f t="shared" si="40"/>
        <v>SAI SL NHẬN</v>
      </c>
      <c r="R274" s="27">
        <f>+VLOOKUP(T274,Sheet2!$B$2:$N$305,13,0)</f>
        <v>15399.999999999998</v>
      </c>
      <c r="S274" s="38">
        <f t="shared" si="41"/>
        <v>0</v>
      </c>
      <c r="T274" t="str">
        <f t="shared" si="42"/>
        <v>14/01/2026NL300084</v>
      </c>
      <c r="U274" s="29">
        <f t="shared" si="43"/>
        <v>0.30000000000000004</v>
      </c>
      <c r="V274" s="39">
        <f t="shared" si="44"/>
        <v>0</v>
      </c>
    </row>
    <row r="275" spans="1:22" x14ac:dyDescent="0.25">
      <c r="A275" s="4" t="s">
        <v>128</v>
      </c>
      <c r="B275" s="5" t="s">
        <v>83</v>
      </c>
      <c r="C275" s="4" t="s">
        <v>84</v>
      </c>
      <c r="D275" s="5" t="s">
        <v>146</v>
      </c>
      <c r="E275" s="4" t="s">
        <v>36</v>
      </c>
      <c r="F275" s="4" t="s">
        <v>37</v>
      </c>
      <c r="G275" s="4" t="s">
        <v>13</v>
      </c>
      <c r="H275" s="6">
        <v>2</v>
      </c>
      <c r="I275" s="7">
        <v>145000</v>
      </c>
      <c r="J275" s="7">
        <f t="shared" si="37"/>
        <v>290000</v>
      </c>
      <c r="K275" s="8" t="s">
        <v>12</v>
      </c>
      <c r="L275" s="35" t="str">
        <f>+VLOOKUP(E275,MÃ!$B$2:$F$229,2,0)</f>
        <v>NL300090</v>
      </c>
      <c r="M275" s="36">
        <f>+VLOOKUP(T275,Sheet2!$B$2:$N$305,10,0)</f>
        <v>2</v>
      </c>
      <c r="N275" s="37">
        <f>+VLOOKUP(L275,MÃ!$C$2:$F$226,4,0)</f>
        <v>145000</v>
      </c>
      <c r="O275" s="37">
        <f t="shared" si="38"/>
        <v>290000</v>
      </c>
      <c r="P275" s="37">
        <f t="shared" si="39"/>
        <v>0</v>
      </c>
      <c r="Q275" s="35" t="str">
        <f t="shared" si="40"/>
        <v xml:space="preserve"> </v>
      </c>
      <c r="R275" s="27">
        <f>+VLOOKUP(T275,Sheet2!$B$2:$N$305,13,0)</f>
        <v>290000</v>
      </c>
      <c r="S275" s="38">
        <f t="shared" si="41"/>
        <v>0</v>
      </c>
      <c r="T275" t="str">
        <f t="shared" si="42"/>
        <v>14/01/2026NL300090</v>
      </c>
      <c r="U275" s="29">
        <f t="shared" si="43"/>
        <v>0</v>
      </c>
      <c r="V275" s="39">
        <f t="shared" si="44"/>
        <v>0</v>
      </c>
    </row>
    <row r="276" spans="1:22" x14ac:dyDescent="0.25">
      <c r="A276" s="4" t="s">
        <v>128</v>
      </c>
      <c r="B276" s="5" t="s">
        <v>83</v>
      </c>
      <c r="C276" s="4" t="s">
        <v>84</v>
      </c>
      <c r="D276" s="5" t="s">
        <v>146</v>
      </c>
      <c r="E276" s="4" t="s">
        <v>38</v>
      </c>
      <c r="F276" s="4" t="s">
        <v>39</v>
      </c>
      <c r="G276" s="4" t="s">
        <v>13</v>
      </c>
      <c r="H276" s="6">
        <v>4</v>
      </c>
      <c r="I276" s="7">
        <v>47000</v>
      </c>
      <c r="J276" s="7">
        <f t="shared" si="37"/>
        <v>188000</v>
      </c>
      <c r="K276" s="8" t="s">
        <v>12</v>
      </c>
      <c r="L276" s="35" t="str">
        <f>+VLOOKUP(E276,MÃ!$B$2:$F$229,2,0)</f>
        <v>NL300091</v>
      </c>
      <c r="M276" s="36">
        <f>+VLOOKUP(T276,Sheet2!$B$2:$N$305,10,0)</f>
        <v>4</v>
      </c>
      <c r="N276" s="37">
        <f>+VLOOKUP(L276,MÃ!$C$2:$F$226,4,0)</f>
        <v>47000</v>
      </c>
      <c r="O276" s="37">
        <f t="shared" si="38"/>
        <v>188000</v>
      </c>
      <c r="P276" s="37">
        <f t="shared" si="39"/>
        <v>0</v>
      </c>
      <c r="Q276" s="35" t="str">
        <f t="shared" si="40"/>
        <v xml:space="preserve"> </v>
      </c>
      <c r="R276" s="27">
        <f>+VLOOKUP(T276,Sheet2!$B$2:$N$305,13,0)</f>
        <v>188000</v>
      </c>
      <c r="S276" s="38">
        <f t="shared" si="41"/>
        <v>0</v>
      </c>
      <c r="T276" t="str">
        <f t="shared" si="42"/>
        <v>14/01/2026NL300091</v>
      </c>
      <c r="U276" s="29">
        <f t="shared" si="43"/>
        <v>0</v>
      </c>
      <c r="V276" s="39">
        <f t="shared" si="44"/>
        <v>0</v>
      </c>
    </row>
    <row r="277" spans="1:22" x14ac:dyDescent="0.25">
      <c r="A277" s="4" t="s">
        <v>128</v>
      </c>
      <c r="B277" s="5" t="s">
        <v>83</v>
      </c>
      <c r="C277" s="4" t="s">
        <v>84</v>
      </c>
      <c r="D277" s="5" t="s">
        <v>146</v>
      </c>
      <c r="E277" s="4" t="s">
        <v>40</v>
      </c>
      <c r="F277" s="4" t="s">
        <v>41</v>
      </c>
      <c r="G277" s="4" t="s">
        <v>13</v>
      </c>
      <c r="H277" s="6">
        <v>1</v>
      </c>
      <c r="I277" s="7">
        <v>80000</v>
      </c>
      <c r="J277" s="7">
        <f t="shared" si="37"/>
        <v>80000</v>
      </c>
      <c r="K277" s="8" t="s">
        <v>12</v>
      </c>
      <c r="L277" s="35" t="str">
        <f>+VLOOKUP(E277,MÃ!$B$2:$F$229,2,0)</f>
        <v>NL300094</v>
      </c>
      <c r="M277" s="36">
        <f>+VLOOKUP(T277,Sheet2!$B$2:$N$305,10,0)</f>
        <v>1</v>
      </c>
      <c r="N277" s="37">
        <f>+VLOOKUP(L277,MÃ!$C$2:$F$226,4,0)</f>
        <v>80000</v>
      </c>
      <c r="O277" s="37">
        <f t="shared" si="38"/>
        <v>80000</v>
      </c>
      <c r="P277" s="37">
        <f t="shared" si="39"/>
        <v>0</v>
      </c>
      <c r="Q277" s="35" t="str">
        <f t="shared" si="40"/>
        <v xml:space="preserve"> </v>
      </c>
      <c r="R277" s="27">
        <f>+VLOOKUP(T277,Sheet2!$B$2:$N$305,13,0)</f>
        <v>80000</v>
      </c>
      <c r="S277" s="38">
        <f t="shared" si="41"/>
        <v>0</v>
      </c>
      <c r="T277" t="str">
        <f t="shared" si="42"/>
        <v>14/01/2026NL300094</v>
      </c>
      <c r="U277" s="29">
        <f t="shared" si="43"/>
        <v>0</v>
      </c>
      <c r="V277" s="39">
        <f t="shared" si="44"/>
        <v>0</v>
      </c>
    </row>
    <row r="278" spans="1:22" x14ac:dyDescent="0.25">
      <c r="A278" s="4" t="s">
        <v>128</v>
      </c>
      <c r="B278" s="5" t="s">
        <v>83</v>
      </c>
      <c r="C278" s="4" t="s">
        <v>84</v>
      </c>
      <c r="D278" s="5" t="s">
        <v>146</v>
      </c>
      <c r="E278" s="4" t="s">
        <v>42</v>
      </c>
      <c r="F278" s="4" t="s">
        <v>43</v>
      </c>
      <c r="G278" s="4" t="s">
        <v>13</v>
      </c>
      <c r="H278" s="6">
        <v>2</v>
      </c>
      <c r="I278" s="7">
        <v>45000</v>
      </c>
      <c r="J278" s="7">
        <f t="shared" si="37"/>
        <v>90000</v>
      </c>
      <c r="K278" s="8" t="s">
        <v>12</v>
      </c>
      <c r="L278" s="35" t="str">
        <f>+VLOOKUP(E278,MÃ!$B$2:$F$229,2,0)</f>
        <v>NL300096</v>
      </c>
      <c r="M278" s="36">
        <f>+VLOOKUP(T278,Sheet2!$B$2:$N$305,10,0)</f>
        <v>2</v>
      </c>
      <c r="N278" s="37">
        <f>+VLOOKUP(L278,MÃ!$C$2:$F$226,4,0)</f>
        <v>45000</v>
      </c>
      <c r="O278" s="37">
        <f t="shared" si="38"/>
        <v>90000</v>
      </c>
      <c r="P278" s="37">
        <f t="shared" si="39"/>
        <v>0</v>
      </c>
      <c r="Q278" s="35" t="str">
        <f t="shared" si="40"/>
        <v xml:space="preserve"> </v>
      </c>
      <c r="R278" s="27">
        <f>+VLOOKUP(T278,Sheet2!$B$2:$N$305,13,0)</f>
        <v>90000</v>
      </c>
      <c r="S278" s="38">
        <f t="shared" si="41"/>
        <v>0</v>
      </c>
      <c r="T278" t="str">
        <f t="shared" si="42"/>
        <v>14/01/2026NL300096</v>
      </c>
      <c r="U278" s="29">
        <f t="shared" si="43"/>
        <v>0</v>
      </c>
      <c r="V278" s="39">
        <f t="shared" si="44"/>
        <v>0</v>
      </c>
    </row>
    <row r="279" spans="1:22" ht="28.5" x14ac:dyDescent="0.25">
      <c r="A279" s="4" t="s">
        <v>128</v>
      </c>
      <c r="B279" s="5" t="s">
        <v>83</v>
      </c>
      <c r="C279" s="4" t="s">
        <v>84</v>
      </c>
      <c r="D279" s="5" t="s">
        <v>146</v>
      </c>
      <c r="E279" s="4" t="s">
        <v>44</v>
      </c>
      <c r="F279" s="4" t="s">
        <v>45</v>
      </c>
      <c r="G279" s="4" t="s">
        <v>13</v>
      </c>
      <c r="H279" s="6">
        <v>2</v>
      </c>
      <c r="I279" s="7">
        <v>95000</v>
      </c>
      <c r="J279" s="7">
        <f t="shared" si="37"/>
        <v>190000</v>
      </c>
      <c r="K279" s="8" t="s">
        <v>12</v>
      </c>
      <c r="L279" s="35" t="str">
        <f>+VLOOKUP(E279,MÃ!$B$2:$F$229,2,0)</f>
        <v>NL300098</v>
      </c>
      <c r="M279" s="36">
        <f>+VLOOKUP(T279,Sheet2!$B$2:$N$305,10,0)</f>
        <v>2</v>
      </c>
      <c r="N279" s="37">
        <f>+VLOOKUP(L279,MÃ!$C$2:$F$226,4,0)</f>
        <v>95000</v>
      </c>
      <c r="O279" s="37">
        <f t="shared" si="38"/>
        <v>190000</v>
      </c>
      <c r="P279" s="37">
        <f t="shared" si="39"/>
        <v>0</v>
      </c>
      <c r="Q279" s="35" t="str">
        <f t="shared" si="40"/>
        <v xml:space="preserve"> </v>
      </c>
      <c r="R279" s="27">
        <f>+VLOOKUP(T279,Sheet2!$B$2:$N$305,13,0)</f>
        <v>190000</v>
      </c>
      <c r="S279" s="38">
        <f t="shared" si="41"/>
        <v>0</v>
      </c>
      <c r="T279" t="str">
        <f t="shared" si="42"/>
        <v>14/01/2026NL300098</v>
      </c>
      <c r="U279" s="29">
        <f t="shared" si="43"/>
        <v>0</v>
      </c>
      <c r="V279" s="39">
        <f t="shared" si="44"/>
        <v>0</v>
      </c>
    </row>
    <row r="280" spans="1:22" x14ac:dyDescent="0.25">
      <c r="A280" s="4" t="s">
        <v>128</v>
      </c>
      <c r="B280" s="5" t="s">
        <v>83</v>
      </c>
      <c r="C280" s="4" t="s">
        <v>84</v>
      </c>
      <c r="D280" s="5" t="s">
        <v>146</v>
      </c>
      <c r="E280" s="4" t="s">
        <v>20</v>
      </c>
      <c r="F280" s="4" t="s">
        <v>21</v>
      </c>
      <c r="G280" s="4" t="s">
        <v>13</v>
      </c>
      <c r="H280" s="6">
        <v>0.5</v>
      </c>
      <c r="I280" s="7">
        <v>45000</v>
      </c>
      <c r="J280" s="7">
        <f t="shared" si="37"/>
        <v>22500</v>
      </c>
      <c r="K280" s="8" t="s">
        <v>12</v>
      </c>
      <c r="L280" s="35" t="str">
        <f>+VLOOKUP(E280,MÃ!$B$2:$F$229,2,0)</f>
        <v>NL300085</v>
      </c>
      <c r="M280" s="36">
        <f>+VLOOKUP(T280,Sheet2!$B$2:$N$305,10,0)</f>
        <v>0.4</v>
      </c>
      <c r="N280" s="37">
        <f>+VLOOKUP(L280,MÃ!$C$2:$F$226,4,0)</f>
        <v>45000</v>
      </c>
      <c r="O280" s="37">
        <f t="shared" si="38"/>
        <v>18000</v>
      </c>
      <c r="P280" s="37">
        <f t="shared" si="39"/>
        <v>4500</v>
      </c>
      <c r="Q280" s="35" t="str">
        <f t="shared" si="40"/>
        <v>SAI SL NHẬN</v>
      </c>
      <c r="R280" s="27">
        <f>+VLOOKUP(T280,Sheet2!$B$2:$N$305,13,0)</f>
        <v>18000</v>
      </c>
      <c r="S280" s="38">
        <f t="shared" si="41"/>
        <v>0</v>
      </c>
      <c r="T280" t="str">
        <f t="shared" si="42"/>
        <v>14/01/2026NL300085</v>
      </c>
      <c r="U280" s="29">
        <f t="shared" si="43"/>
        <v>9.9999999999999978E-2</v>
      </c>
      <c r="V280" s="39">
        <f t="shared" si="44"/>
        <v>0</v>
      </c>
    </row>
    <row r="281" spans="1:22" x14ac:dyDescent="0.25">
      <c r="A281" s="4" t="s">
        <v>128</v>
      </c>
      <c r="B281" s="5" t="s">
        <v>83</v>
      </c>
      <c r="C281" s="4" t="s">
        <v>84</v>
      </c>
      <c r="D281" s="5" t="s">
        <v>146</v>
      </c>
      <c r="E281" s="4" t="s">
        <v>46</v>
      </c>
      <c r="F281" s="4" t="s">
        <v>47</v>
      </c>
      <c r="G281" s="4" t="s">
        <v>13</v>
      </c>
      <c r="H281" s="6">
        <v>0.1</v>
      </c>
      <c r="I281" s="7">
        <v>70000</v>
      </c>
      <c r="J281" s="7">
        <f t="shared" si="37"/>
        <v>7000</v>
      </c>
      <c r="K281" s="8" t="s">
        <v>12</v>
      </c>
      <c r="L281" s="35" t="str">
        <f>+VLOOKUP(E281,MÃ!$B$2:$F$229,2,0)</f>
        <v>NL300126</v>
      </c>
      <c r="M281" s="36">
        <f>+VLOOKUP(T281,Sheet2!$B$2:$N$305,10,0)</f>
        <v>0.1</v>
      </c>
      <c r="N281" s="37">
        <f>+VLOOKUP(L281,MÃ!$C$2:$F$226,4,0)</f>
        <v>70000</v>
      </c>
      <c r="O281" s="37">
        <f t="shared" si="38"/>
        <v>7000</v>
      </c>
      <c r="P281" s="37">
        <f t="shared" si="39"/>
        <v>0</v>
      </c>
      <c r="Q281" s="35" t="str">
        <f t="shared" si="40"/>
        <v xml:space="preserve"> </v>
      </c>
      <c r="R281" s="27">
        <f>+VLOOKUP(T281,Sheet2!$B$2:$N$305,13,0)</f>
        <v>7000</v>
      </c>
      <c r="S281" s="38">
        <f t="shared" si="41"/>
        <v>0</v>
      </c>
      <c r="T281" t="str">
        <f t="shared" si="42"/>
        <v>14/01/2026NL300126</v>
      </c>
      <c r="U281" s="29">
        <f t="shared" si="43"/>
        <v>0</v>
      </c>
      <c r="V281" s="39">
        <f t="shared" si="44"/>
        <v>0</v>
      </c>
    </row>
    <row r="282" spans="1:22" x14ac:dyDescent="0.25">
      <c r="A282" s="4" t="s">
        <v>128</v>
      </c>
      <c r="B282" s="5" t="s">
        <v>83</v>
      </c>
      <c r="C282" s="4" t="s">
        <v>84</v>
      </c>
      <c r="D282" s="5" t="s">
        <v>146</v>
      </c>
      <c r="E282" s="4" t="s">
        <v>29</v>
      </c>
      <c r="F282" s="4" t="s">
        <v>30</v>
      </c>
      <c r="G282" s="4" t="s">
        <v>13</v>
      </c>
      <c r="H282" s="6">
        <v>0.3</v>
      </c>
      <c r="I282" s="7">
        <v>145000</v>
      </c>
      <c r="J282" s="7">
        <f t="shared" si="37"/>
        <v>43500</v>
      </c>
      <c r="K282" s="8" t="s">
        <v>12</v>
      </c>
      <c r="L282" s="35" t="str">
        <f>+VLOOKUP(E282,MÃ!$B$2:$F$229,2,0)</f>
        <v>NL300113</v>
      </c>
      <c r="M282" s="36">
        <f>+VLOOKUP(T282,Sheet2!$B$2:$N$305,10,0)</f>
        <v>0.3</v>
      </c>
      <c r="N282" s="37">
        <f>+VLOOKUP(L282,MÃ!$C$2:$F$226,4,0)</f>
        <v>145000</v>
      </c>
      <c r="O282" s="37">
        <f t="shared" si="38"/>
        <v>43500</v>
      </c>
      <c r="P282" s="37">
        <f t="shared" si="39"/>
        <v>0</v>
      </c>
      <c r="Q282" s="35" t="str">
        <f t="shared" si="40"/>
        <v xml:space="preserve"> </v>
      </c>
      <c r="R282" s="27">
        <f>+VLOOKUP(T282,Sheet2!$B$2:$N$305,13,0)</f>
        <v>43500</v>
      </c>
      <c r="S282" s="38">
        <f t="shared" si="41"/>
        <v>0</v>
      </c>
      <c r="T282" t="str">
        <f t="shared" si="42"/>
        <v>14/01/2026NL300113</v>
      </c>
      <c r="U282" s="29">
        <f t="shared" si="43"/>
        <v>0</v>
      </c>
      <c r="V282" s="39">
        <f t="shared" si="44"/>
        <v>0</v>
      </c>
    </row>
    <row r="283" spans="1:22" x14ac:dyDescent="0.25">
      <c r="A283" s="4" t="s">
        <v>128</v>
      </c>
      <c r="B283" s="5" t="s">
        <v>83</v>
      </c>
      <c r="C283" s="4" t="s">
        <v>84</v>
      </c>
      <c r="D283" s="5" t="s">
        <v>146</v>
      </c>
      <c r="E283" s="4" t="s">
        <v>27</v>
      </c>
      <c r="F283" s="4" t="s">
        <v>28</v>
      </c>
      <c r="G283" s="4" t="s">
        <v>13</v>
      </c>
      <c r="H283" s="6">
        <v>2.8</v>
      </c>
      <c r="I283" s="7">
        <v>21000</v>
      </c>
      <c r="J283" s="7">
        <f t="shared" si="37"/>
        <v>58799.999999999993</v>
      </c>
      <c r="K283" s="8" t="s">
        <v>12</v>
      </c>
      <c r="L283" s="35" t="str">
        <f>+VLOOKUP(E283,MÃ!$B$2:$F$229,2,0)</f>
        <v>NL300119</v>
      </c>
      <c r="M283" s="36">
        <f>+VLOOKUP(T283,Sheet2!$B$2:$N$305,10,0)</f>
        <v>2.8</v>
      </c>
      <c r="N283" s="37">
        <f>+VLOOKUP(L283,MÃ!$C$2:$F$226,4,0)</f>
        <v>21000</v>
      </c>
      <c r="O283" s="37">
        <f t="shared" si="38"/>
        <v>58799.999999999993</v>
      </c>
      <c r="P283" s="37">
        <f t="shared" si="39"/>
        <v>0</v>
      </c>
      <c r="Q283" s="35" t="str">
        <f t="shared" si="40"/>
        <v xml:space="preserve"> </v>
      </c>
      <c r="R283" s="27">
        <f>+VLOOKUP(T283,Sheet2!$B$2:$N$305,13,0)</f>
        <v>58799.999999999993</v>
      </c>
      <c r="S283" s="38">
        <f t="shared" si="41"/>
        <v>0</v>
      </c>
      <c r="T283" t="str">
        <f t="shared" si="42"/>
        <v>14/01/2026NL300119</v>
      </c>
      <c r="U283" s="29">
        <f t="shared" si="43"/>
        <v>0</v>
      </c>
      <c r="V283" s="39">
        <f t="shared" si="44"/>
        <v>0</v>
      </c>
    </row>
    <row r="284" spans="1:22" x14ac:dyDescent="0.25">
      <c r="A284" s="4" t="s">
        <v>128</v>
      </c>
      <c r="B284" s="5" t="s">
        <v>83</v>
      </c>
      <c r="C284" s="4" t="s">
        <v>84</v>
      </c>
      <c r="D284" s="5" t="s">
        <v>146</v>
      </c>
      <c r="E284" s="4" t="s">
        <v>76</v>
      </c>
      <c r="F284" s="4" t="s">
        <v>77</v>
      </c>
      <c r="G284" s="4" t="s">
        <v>13</v>
      </c>
      <c r="H284" s="6">
        <v>0.8</v>
      </c>
      <c r="I284" s="7">
        <v>38000</v>
      </c>
      <c r="J284" s="7">
        <f t="shared" si="37"/>
        <v>30400</v>
      </c>
      <c r="K284" s="8" t="s">
        <v>12</v>
      </c>
      <c r="L284" s="35" t="str">
        <f>+VLOOKUP(E284,MÃ!$B$2:$F$229,2,0)</f>
        <v>NL300018</v>
      </c>
      <c r="M284" s="36">
        <f>+VLOOKUP(T284,Sheet2!$B$2:$N$305,10,0)</f>
        <v>0.8</v>
      </c>
      <c r="N284" s="37">
        <f>+VLOOKUP(L284,MÃ!$C$2:$F$226,4,0)</f>
        <v>38000</v>
      </c>
      <c r="O284" s="37">
        <f t="shared" si="38"/>
        <v>30400</v>
      </c>
      <c r="P284" s="37">
        <f t="shared" si="39"/>
        <v>0</v>
      </c>
      <c r="Q284" s="35" t="str">
        <f t="shared" si="40"/>
        <v xml:space="preserve"> </v>
      </c>
      <c r="R284" s="27">
        <f>+VLOOKUP(T284,Sheet2!$B$2:$N$305,13,0)</f>
        <v>30400</v>
      </c>
      <c r="S284" s="38">
        <f t="shared" si="41"/>
        <v>0</v>
      </c>
      <c r="T284" t="str">
        <f t="shared" si="42"/>
        <v>14/01/2026NL300018</v>
      </c>
      <c r="U284" s="29">
        <f t="shared" si="43"/>
        <v>0</v>
      </c>
      <c r="V284" s="39">
        <f t="shared" si="44"/>
        <v>0</v>
      </c>
    </row>
    <row r="285" spans="1:22" x14ac:dyDescent="0.25">
      <c r="A285" s="4" t="s">
        <v>128</v>
      </c>
      <c r="B285" s="5" t="s">
        <v>83</v>
      </c>
      <c r="C285" s="4" t="s">
        <v>84</v>
      </c>
      <c r="D285" s="5" t="s">
        <v>146</v>
      </c>
      <c r="E285" s="4" t="s">
        <v>14</v>
      </c>
      <c r="F285" s="4" t="s">
        <v>15</v>
      </c>
      <c r="G285" s="4" t="s">
        <v>13</v>
      </c>
      <c r="H285" s="6">
        <v>0.65</v>
      </c>
      <c r="I285" s="7">
        <v>50000</v>
      </c>
      <c r="J285" s="7">
        <f t="shared" si="37"/>
        <v>32500</v>
      </c>
      <c r="K285" s="8" t="s">
        <v>12</v>
      </c>
      <c r="L285" s="35" t="str">
        <f>+VLOOKUP(E285,MÃ!$B$2:$F$229,2,0)</f>
        <v>NL300142</v>
      </c>
      <c r="M285" s="36">
        <f>+VLOOKUP(T285,Sheet2!$B$2:$N$305,10,0)</f>
        <v>0.65</v>
      </c>
      <c r="N285" s="37">
        <f>+VLOOKUP(L285,MÃ!$C$2:$F$226,4,0)</f>
        <v>50000</v>
      </c>
      <c r="O285" s="37">
        <f t="shared" si="38"/>
        <v>32500</v>
      </c>
      <c r="P285" s="37">
        <f t="shared" si="39"/>
        <v>0</v>
      </c>
      <c r="Q285" s="35" t="str">
        <f t="shared" si="40"/>
        <v xml:space="preserve"> </v>
      </c>
      <c r="R285" s="27">
        <f>+VLOOKUP(T285,Sheet2!$B$2:$N$305,13,0)</f>
        <v>32500</v>
      </c>
      <c r="S285" s="38">
        <f t="shared" si="41"/>
        <v>0</v>
      </c>
      <c r="T285" t="str">
        <f t="shared" si="42"/>
        <v>14/01/2026NL300142</v>
      </c>
      <c r="U285" s="29">
        <f t="shared" si="43"/>
        <v>0</v>
      </c>
      <c r="V285" s="39">
        <f t="shared" si="44"/>
        <v>0</v>
      </c>
    </row>
    <row r="286" spans="1:22" x14ac:dyDescent="0.25">
      <c r="A286" s="4" t="s">
        <v>128</v>
      </c>
      <c r="B286" s="5" t="s">
        <v>83</v>
      </c>
      <c r="C286" s="4" t="s">
        <v>84</v>
      </c>
      <c r="D286" s="5" t="s">
        <v>146</v>
      </c>
      <c r="E286" s="4" t="s">
        <v>48</v>
      </c>
      <c r="F286" s="4" t="s">
        <v>49</v>
      </c>
      <c r="G286" s="4" t="s">
        <v>13</v>
      </c>
      <c r="H286" s="6">
        <v>4</v>
      </c>
      <c r="I286" s="7">
        <v>62000</v>
      </c>
      <c r="J286" s="7">
        <f t="shared" si="37"/>
        <v>248000</v>
      </c>
      <c r="K286" s="8"/>
      <c r="L286" s="35" t="str">
        <f>+VLOOKUP(E286,MÃ!$B$2:$F$229,2,0)</f>
        <v>NL300147</v>
      </c>
      <c r="M286" s="36">
        <f>+VLOOKUP(T286,Sheet2!$B$2:$N$305,10,0)</f>
        <v>3.5</v>
      </c>
      <c r="N286" s="37">
        <f>+VLOOKUP(L286,MÃ!$C$2:$F$226,4,0)</f>
        <v>62000</v>
      </c>
      <c r="O286" s="37">
        <f t="shared" si="38"/>
        <v>217000</v>
      </c>
      <c r="P286" s="37">
        <f t="shared" si="39"/>
        <v>31000</v>
      </c>
      <c r="Q286" s="35" t="str">
        <f t="shared" si="40"/>
        <v>SAI SL NHẬN</v>
      </c>
      <c r="R286" s="27">
        <f>+VLOOKUP(T286,Sheet2!$B$2:$N$305,13,0)</f>
        <v>217000</v>
      </c>
      <c r="S286" s="38">
        <f t="shared" si="41"/>
        <v>0</v>
      </c>
      <c r="T286" t="str">
        <f t="shared" si="42"/>
        <v>14/01/2026NL300147</v>
      </c>
      <c r="U286" s="29">
        <f t="shared" si="43"/>
        <v>0.5</v>
      </c>
      <c r="V286" s="39">
        <f t="shared" si="44"/>
        <v>0</v>
      </c>
    </row>
    <row r="287" spans="1:22" x14ac:dyDescent="0.25">
      <c r="A287" s="4" t="s">
        <v>130</v>
      </c>
      <c r="B287" s="5" t="s">
        <v>83</v>
      </c>
      <c r="C287" s="4" t="s">
        <v>84</v>
      </c>
      <c r="D287" s="5" t="s">
        <v>147</v>
      </c>
      <c r="E287" s="4" t="s">
        <v>62</v>
      </c>
      <c r="F287" s="4" t="s">
        <v>63</v>
      </c>
      <c r="G287" s="4" t="s">
        <v>13</v>
      </c>
      <c r="H287" s="6">
        <v>0.5</v>
      </c>
      <c r="I287" s="7">
        <v>45000</v>
      </c>
      <c r="J287" s="7">
        <f t="shared" si="37"/>
        <v>22500</v>
      </c>
      <c r="K287" s="8"/>
      <c r="L287" s="35" t="str">
        <f>+VLOOKUP(E287,MÃ!$B$2:$F$229,2,0)</f>
        <v>NL300203</v>
      </c>
      <c r="M287" s="36">
        <f>+VLOOKUP(T287,Sheet2!$B$2:$N$305,10,0)</f>
        <v>0.5</v>
      </c>
      <c r="N287" s="37">
        <f>+VLOOKUP(L287,MÃ!$C$2:$F$226,4,0)</f>
        <v>45000</v>
      </c>
      <c r="O287" s="37">
        <f t="shared" si="38"/>
        <v>22500</v>
      </c>
      <c r="P287" s="37">
        <f t="shared" si="39"/>
        <v>0</v>
      </c>
      <c r="Q287" s="35" t="str">
        <f t="shared" si="40"/>
        <v xml:space="preserve"> </v>
      </c>
      <c r="R287" s="27">
        <f>+VLOOKUP(T287,Sheet2!$B$2:$N$305,13,0)</f>
        <v>22500</v>
      </c>
      <c r="S287" s="38">
        <f t="shared" si="41"/>
        <v>0</v>
      </c>
      <c r="T287" t="str">
        <f t="shared" si="42"/>
        <v>15/01/2026NL300203</v>
      </c>
      <c r="U287" s="29">
        <f t="shared" si="43"/>
        <v>0</v>
      </c>
      <c r="V287" s="39">
        <f t="shared" si="44"/>
        <v>0</v>
      </c>
    </row>
    <row r="288" spans="1:22" x14ac:dyDescent="0.25">
      <c r="A288" s="4" t="s">
        <v>130</v>
      </c>
      <c r="B288" s="5" t="s">
        <v>83</v>
      </c>
      <c r="C288" s="4" t="s">
        <v>84</v>
      </c>
      <c r="D288" s="5" t="s">
        <v>147</v>
      </c>
      <c r="E288" s="4" t="s">
        <v>66</v>
      </c>
      <c r="F288" s="4" t="s">
        <v>67</v>
      </c>
      <c r="G288" s="4" t="s">
        <v>13</v>
      </c>
      <c r="H288" s="6">
        <v>5.2</v>
      </c>
      <c r="I288" s="7">
        <v>18000</v>
      </c>
      <c r="J288" s="7">
        <f t="shared" si="37"/>
        <v>93600</v>
      </c>
      <c r="K288" s="8"/>
      <c r="L288" s="35" t="str">
        <f>+VLOOKUP(E288,MÃ!$B$2:$F$229,2,0)</f>
        <v>NL300022</v>
      </c>
      <c r="M288" s="36">
        <f>+VLOOKUP(T288,Sheet2!$B$2:$N$305,10,0)</f>
        <v>4</v>
      </c>
      <c r="N288" s="37">
        <f>+VLOOKUP(L288,MÃ!$C$2:$F$226,4,0)</f>
        <v>18000</v>
      </c>
      <c r="O288" s="37">
        <f t="shared" si="38"/>
        <v>72000</v>
      </c>
      <c r="P288" s="37">
        <f t="shared" si="39"/>
        <v>21600</v>
      </c>
      <c r="Q288" s="35" t="str">
        <f t="shared" si="40"/>
        <v>SAI SL NHẬN</v>
      </c>
      <c r="R288" s="27">
        <f>+VLOOKUP(T288,Sheet2!$B$2:$N$305,13,0)</f>
        <v>72000</v>
      </c>
      <c r="S288" s="38">
        <f t="shared" si="41"/>
        <v>0</v>
      </c>
      <c r="T288" t="str">
        <f t="shared" si="42"/>
        <v>15/01/2026NL300022</v>
      </c>
      <c r="U288" s="29">
        <f t="shared" si="43"/>
        <v>1.2000000000000002</v>
      </c>
      <c r="V288" s="39">
        <f t="shared" si="44"/>
        <v>0</v>
      </c>
    </row>
    <row r="289" spans="1:22" x14ac:dyDescent="0.25">
      <c r="A289" s="4" t="s">
        <v>130</v>
      </c>
      <c r="B289" s="5" t="s">
        <v>83</v>
      </c>
      <c r="C289" s="4" t="s">
        <v>84</v>
      </c>
      <c r="D289" s="5" t="s">
        <v>147</v>
      </c>
      <c r="E289" s="4" t="s">
        <v>56</v>
      </c>
      <c r="F289" s="4" t="s">
        <v>57</v>
      </c>
      <c r="G289" s="4" t="s">
        <v>13</v>
      </c>
      <c r="H289" s="6">
        <v>0.6</v>
      </c>
      <c r="I289" s="7">
        <v>34000</v>
      </c>
      <c r="J289" s="7">
        <f t="shared" si="37"/>
        <v>20400</v>
      </c>
      <c r="K289" s="8"/>
      <c r="L289" s="35" t="str">
        <f>+VLOOKUP(E289,MÃ!$B$2:$F$229,2,0)</f>
        <v>NL300030</v>
      </c>
      <c r="M289" s="36">
        <f>+VLOOKUP(T289,Sheet2!$B$2:$N$305,10,0)</f>
        <v>0.6</v>
      </c>
      <c r="N289" s="37">
        <f>+VLOOKUP(L289,MÃ!$C$2:$F$226,4,0)</f>
        <v>34000</v>
      </c>
      <c r="O289" s="37">
        <f t="shared" si="38"/>
        <v>20400</v>
      </c>
      <c r="P289" s="37">
        <f t="shared" si="39"/>
        <v>0</v>
      </c>
      <c r="Q289" s="35" t="str">
        <f t="shared" si="40"/>
        <v xml:space="preserve"> </v>
      </c>
      <c r="R289" s="27">
        <f>+VLOOKUP(T289,Sheet2!$B$2:$N$305,13,0)</f>
        <v>20400</v>
      </c>
      <c r="S289" s="38">
        <f t="shared" si="41"/>
        <v>0</v>
      </c>
      <c r="T289" t="str">
        <f t="shared" si="42"/>
        <v>15/01/2026NL300030</v>
      </c>
      <c r="U289" s="29">
        <f t="shared" si="43"/>
        <v>0</v>
      </c>
      <c r="V289" s="39">
        <f t="shared" si="44"/>
        <v>0</v>
      </c>
    </row>
    <row r="290" spans="1:22" x14ac:dyDescent="0.25">
      <c r="A290" s="4" t="s">
        <v>130</v>
      </c>
      <c r="B290" s="5" t="s">
        <v>83</v>
      </c>
      <c r="C290" s="4" t="s">
        <v>84</v>
      </c>
      <c r="D290" s="5" t="s">
        <v>147</v>
      </c>
      <c r="E290" s="4" t="s">
        <v>25</v>
      </c>
      <c r="F290" s="4" t="s">
        <v>26</v>
      </c>
      <c r="G290" s="4" t="s">
        <v>13</v>
      </c>
      <c r="H290" s="6">
        <v>0.6</v>
      </c>
      <c r="I290" s="7">
        <v>22000</v>
      </c>
      <c r="J290" s="7">
        <f t="shared" si="37"/>
        <v>13200</v>
      </c>
      <c r="K290" s="8"/>
      <c r="L290" s="35" t="str">
        <f>+VLOOKUP(E290,MÃ!$B$2:$F$229,2,0)</f>
        <v>NL300029</v>
      </c>
      <c r="M290" s="36">
        <f>+VLOOKUP(T290,Sheet2!$B$2:$N$305,10,0)</f>
        <v>0.6</v>
      </c>
      <c r="N290" s="37">
        <f>+VLOOKUP(L290,MÃ!$C$2:$F$226,4,0)</f>
        <v>22000</v>
      </c>
      <c r="O290" s="37">
        <f t="shared" si="38"/>
        <v>13200</v>
      </c>
      <c r="P290" s="37">
        <f t="shared" si="39"/>
        <v>0</v>
      </c>
      <c r="Q290" s="35" t="str">
        <f t="shared" si="40"/>
        <v xml:space="preserve"> </v>
      </c>
      <c r="R290" s="27">
        <f>+VLOOKUP(T290,Sheet2!$B$2:$N$305,13,0)</f>
        <v>13200</v>
      </c>
      <c r="S290" s="38">
        <f t="shared" si="41"/>
        <v>0</v>
      </c>
      <c r="T290" t="str">
        <f t="shared" si="42"/>
        <v>15/01/2026NL300029</v>
      </c>
      <c r="U290" s="29">
        <f t="shared" si="43"/>
        <v>0</v>
      </c>
      <c r="V290" s="39">
        <f t="shared" si="44"/>
        <v>0</v>
      </c>
    </row>
    <row r="291" spans="1:22" x14ac:dyDescent="0.25">
      <c r="A291" s="4" t="s">
        <v>130</v>
      </c>
      <c r="B291" s="5" t="s">
        <v>83</v>
      </c>
      <c r="C291" s="4" t="s">
        <v>84</v>
      </c>
      <c r="D291" s="5" t="s">
        <v>147</v>
      </c>
      <c r="E291" s="4" t="s">
        <v>68</v>
      </c>
      <c r="F291" s="4" t="s">
        <v>69</v>
      </c>
      <c r="G291" s="4" t="s">
        <v>13</v>
      </c>
      <c r="H291" s="6">
        <v>0.9</v>
      </c>
      <c r="I291" s="7">
        <v>13000</v>
      </c>
      <c r="J291" s="7">
        <f t="shared" si="37"/>
        <v>11700</v>
      </c>
      <c r="K291" s="8"/>
      <c r="L291" s="35" t="str">
        <f>+VLOOKUP(E291,MÃ!$B$2:$F$229,2,0)</f>
        <v>NL300033</v>
      </c>
      <c r="M291" s="36">
        <f>+VLOOKUP(T291,Sheet2!$B$2:$N$305,10,0)</f>
        <v>0.9</v>
      </c>
      <c r="N291" s="37">
        <f>+VLOOKUP(L291,MÃ!$C$2:$F$226,4,0)</f>
        <v>13000</v>
      </c>
      <c r="O291" s="37">
        <f t="shared" si="38"/>
        <v>11700</v>
      </c>
      <c r="P291" s="37">
        <f t="shared" si="39"/>
        <v>0</v>
      </c>
      <c r="Q291" s="35" t="str">
        <f t="shared" si="40"/>
        <v xml:space="preserve"> </v>
      </c>
      <c r="R291" s="27">
        <f>+VLOOKUP(T291,Sheet2!$B$2:$N$305,13,0)</f>
        <v>11700</v>
      </c>
      <c r="S291" s="38">
        <f t="shared" si="41"/>
        <v>0</v>
      </c>
      <c r="T291" t="str">
        <f t="shared" si="42"/>
        <v>15/01/2026NL300033</v>
      </c>
      <c r="U291" s="29">
        <f t="shared" si="43"/>
        <v>0</v>
      </c>
      <c r="V291" s="39">
        <f t="shared" si="44"/>
        <v>0</v>
      </c>
    </row>
    <row r="292" spans="1:22" x14ac:dyDescent="0.25">
      <c r="A292" s="4" t="s">
        <v>130</v>
      </c>
      <c r="B292" s="5" t="s">
        <v>83</v>
      </c>
      <c r="C292" s="4" t="s">
        <v>84</v>
      </c>
      <c r="D292" s="5" t="s">
        <v>147</v>
      </c>
      <c r="E292" s="4" t="s">
        <v>16</v>
      </c>
      <c r="F292" s="4" t="s">
        <v>17</v>
      </c>
      <c r="G292" s="4" t="s">
        <v>13</v>
      </c>
      <c r="H292" s="6">
        <v>0.8</v>
      </c>
      <c r="I292" s="7">
        <v>47000</v>
      </c>
      <c r="J292" s="7">
        <f t="shared" si="37"/>
        <v>37600</v>
      </c>
      <c r="K292" s="8"/>
      <c r="L292" s="35" t="str">
        <f>+VLOOKUP(E292,MÃ!$B$2:$F$229,2,0)</f>
        <v>NL300036</v>
      </c>
      <c r="M292" s="36">
        <f>+VLOOKUP(T292,Sheet2!$B$2:$N$305,10,0)</f>
        <v>0.8</v>
      </c>
      <c r="N292" s="37">
        <f>+VLOOKUP(L292,MÃ!$C$2:$F$226,4,0)</f>
        <v>47000</v>
      </c>
      <c r="O292" s="37">
        <f t="shared" si="38"/>
        <v>37600</v>
      </c>
      <c r="P292" s="37">
        <f t="shared" si="39"/>
        <v>0</v>
      </c>
      <c r="Q292" s="35" t="str">
        <f t="shared" si="40"/>
        <v xml:space="preserve"> </v>
      </c>
      <c r="R292" s="27">
        <f>+VLOOKUP(T292,Sheet2!$B$2:$N$305,13,0)</f>
        <v>37600</v>
      </c>
      <c r="S292" s="38">
        <f t="shared" si="41"/>
        <v>0</v>
      </c>
      <c r="T292" t="str">
        <f t="shared" si="42"/>
        <v>15/01/2026NL300036</v>
      </c>
      <c r="U292" s="29">
        <f t="shared" si="43"/>
        <v>0</v>
      </c>
      <c r="V292" s="39">
        <f t="shared" si="44"/>
        <v>0</v>
      </c>
    </row>
    <row r="293" spans="1:22" x14ac:dyDescent="0.25">
      <c r="A293" s="4" t="s">
        <v>130</v>
      </c>
      <c r="B293" s="5" t="s">
        <v>83</v>
      </c>
      <c r="C293" s="4" t="s">
        <v>84</v>
      </c>
      <c r="D293" s="5" t="s">
        <v>147</v>
      </c>
      <c r="E293" s="4" t="s">
        <v>50</v>
      </c>
      <c r="F293" s="4" t="s">
        <v>51</v>
      </c>
      <c r="G293" s="4" t="s">
        <v>13</v>
      </c>
      <c r="H293" s="6">
        <v>15.5</v>
      </c>
      <c r="I293" s="7">
        <v>18000</v>
      </c>
      <c r="J293" s="7">
        <f t="shared" si="37"/>
        <v>279000</v>
      </c>
      <c r="K293" s="8"/>
      <c r="L293" s="35" t="str">
        <f>+VLOOKUP(E293,MÃ!$B$2:$F$229,2,0)</f>
        <v>NL600004</v>
      </c>
      <c r="M293" s="36">
        <f>+VLOOKUP(T293,Sheet2!$B$2:$N$305,10,0)</f>
        <v>10</v>
      </c>
      <c r="N293" s="37">
        <f>+VLOOKUP(L293,MÃ!$C$2:$F$226,4,0)</f>
        <v>18000</v>
      </c>
      <c r="O293" s="37">
        <f t="shared" si="38"/>
        <v>180000</v>
      </c>
      <c r="P293" s="37">
        <f t="shared" si="39"/>
        <v>99000</v>
      </c>
      <c r="Q293" s="35" t="str">
        <f t="shared" si="40"/>
        <v>SAI SL NHẬN</v>
      </c>
      <c r="R293" s="27">
        <f>+VLOOKUP(T293,Sheet2!$B$2:$N$305,13,0)</f>
        <v>180000</v>
      </c>
      <c r="S293" s="38">
        <f t="shared" si="41"/>
        <v>0</v>
      </c>
      <c r="T293" t="str">
        <f t="shared" si="42"/>
        <v>15/01/2026NL600004</v>
      </c>
      <c r="U293" s="29">
        <f t="shared" si="43"/>
        <v>5.5</v>
      </c>
      <c r="V293" s="39">
        <f t="shared" si="44"/>
        <v>0</v>
      </c>
    </row>
    <row r="294" spans="1:22" x14ac:dyDescent="0.25">
      <c r="A294" s="4" t="s">
        <v>130</v>
      </c>
      <c r="B294" s="5" t="s">
        <v>83</v>
      </c>
      <c r="C294" s="4" t="s">
        <v>84</v>
      </c>
      <c r="D294" s="5" t="s">
        <v>147</v>
      </c>
      <c r="E294" s="4" t="s">
        <v>18</v>
      </c>
      <c r="F294" s="4" t="s">
        <v>19</v>
      </c>
      <c r="G294" s="4" t="s">
        <v>13</v>
      </c>
      <c r="H294" s="6">
        <v>1.5</v>
      </c>
      <c r="I294" s="7">
        <v>55000</v>
      </c>
      <c r="J294" s="7">
        <f t="shared" si="37"/>
        <v>82500</v>
      </c>
      <c r="K294" s="8"/>
      <c r="L294" s="35" t="str">
        <f>+VLOOKUP(E294,MÃ!$B$2:$F$229,2,0)</f>
        <v>NL300058</v>
      </c>
      <c r="M294" s="36">
        <f>+VLOOKUP(T294,Sheet2!$B$2:$N$305,10,0)</f>
        <v>1.5</v>
      </c>
      <c r="N294" s="37">
        <f>+VLOOKUP(L294,MÃ!$C$2:$F$226,4,0)</f>
        <v>55000</v>
      </c>
      <c r="O294" s="37">
        <f t="shared" si="38"/>
        <v>82500</v>
      </c>
      <c r="P294" s="37">
        <f t="shared" si="39"/>
        <v>0</v>
      </c>
      <c r="Q294" s="35" t="str">
        <f t="shared" si="40"/>
        <v xml:space="preserve"> </v>
      </c>
      <c r="R294" s="27">
        <f>+VLOOKUP(T294,Sheet2!$B$2:$N$305,13,0)</f>
        <v>82500</v>
      </c>
      <c r="S294" s="38">
        <f t="shared" si="41"/>
        <v>0</v>
      </c>
      <c r="T294" t="str">
        <f t="shared" si="42"/>
        <v>15/01/2026NL300058</v>
      </c>
      <c r="U294" s="29">
        <f t="shared" si="43"/>
        <v>0</v>
      </c>
      <c r="V294" s="39">
        <f t="shared" si="44"/>
        <v>0</v>
      </c>
    </row>
    <row r="295" spans="1:22" x14ac:dyDescent="0.25">
      <c r="A295" s="4" t="s">
        <v>130</v>
      </c>
      <c r="B295" s="5" t="s">
        <v>83</v>
      </c>
      <c r="C295" s="4" t="s">
        <v>84</v>
      </c>
      <c r="D295" s="5" t="s">
        <v>147</v>
      </c>
      <c r="E295" s="4" t="s">
        <v>38</v>
      </c>
      <c r="F295" s="4" t="s">
        <v>39</v>
      </c>
      <c r="G295" s="4" t="s">
        <v>13</v>
      </c>
      <c r="H295" s="6">
        <v>4</v>
      </c>
      <c r="I295" s="7">
        <v>47000</v>
      </c>
      <c r="J295" s="7">
        <f t="shared" si="37"/>
        <v>188000</v>
      </c>
      <c r="K295" s="8"/>
      <c r="L295" s="35" t="str">
        <f>+VLOOKUP(E295,MÃ!$B$2:$F$229,2,0)</f>
        <v>NL300091</v>
      </c>
      <c r="M295" s="36">
        <f>+VLOOKUP(T295,Sheet2!$B$2:$N$305,10,0)</f>
        <v>4</v>
      </c>
      <c r="N295" s="37">
        <f>+VLOOKUP(L295,MÃ!$C$2:$F$226,4,0)</f>
        <v>47000</v>
      </c>
      <c r="O295" s="37">
        <f t="shared" si="38"/>
        <v>188000</v>
      </c>
      <c r="P295" s="37">
        <f t="shared" si="39"/>
        <v>0</v>
      </c>
      <c r="Q295" s="35" t="str">
        <f t="shared" si="40"/>
        <v xml:space="preserve"> </v>
      </c>
      <c r="R295" s="27">
        <f>+VLOOKUP(T295,Sheet2!$B$2:$N$305,13,0)</f>
        <v>188000</v>
      </c>
      <c r="S295" s="38">
        <f t="shared" si="41"/>
        <v>0</v>
      </c>
      <c r="T295" t="str">
        <f t="shared" si="42"/>
        <v>15/01/2026NL300091</v>
      </c>
      <c r="U295" s="29">
        <f t="shared" si="43"/>
        <v>0</v>
      </c>
      <c r="V295" s="39">
        <f t="shared" si="44"/>
        <v>0</v>
      </c>
    </row>
    <row r="296" spans="1:22" x14ac:dyDescent="0.25">
      <c r="A296" s="4" t="s">
        <v>130</v>
      </c>
      <c r="B296" s="5" t="s">
        <v>83</v>
      </c>
      <c r="C296" s="4" t="s">
        <v>84</v>
      </c>
      <c r="D296" s="5" t="s">
        <v>147</v>
      </c>
      <c r="E296" s="4" t="s">
        <v>20</v>
      </c>
      <c r="F296" s="4" t="s">
        <v>21</v>
      </c>
      <c r="G296" s="4" t="s">
        <v>13</v>
      </c>
      <c r="H296" s="6">
        <v>1</v>
      </c>
      <c r="I296" s="7">
        <v>45000</v>
      </c>
      <c r="J296" s="7">
        <f t="shared" si="37"/>
        <v>45000</v>
      </c>
      <c r="K296" s="8"/>
      <c r="L296" s="35" t="str">
        <f>+VLOOKUP(E296,MÃ!$B$2:$F$229,2,0)</f>
        <v>NL300085</v>
      </c>
      <c r="M296" s="36">
        <f>+VLOOKUP(T296,Sheet2!$B$2:$N$305,10,0)</f>
        <v>1</v>
      </c>
      <c r="N296" s="37">
        <f>+VLOOKUP(L296,MÃ!$C$2:$F$226,4,0)</f>
        <v>45000</v>
      </c>
      <c r="O296" s="37">
        <f t="shared" si="38"/>
        <v>45000</v>
      </c>
      <c r="P296" s="37">
        <f t="shared" si="39"/>
        <v>0</v>
      </c>
      <c r="Q296" s="35" t="str">
        <f t="shared" si="40"/>
        <v xml:space="preserve"> </v>
      </c>
      <c r="R296" s="27">
        <f>+VLOOKUP(T296,Sheet2!$B$2:$N$305,13,0)</f>
        <v>45000</v>
      </c>
      <c r="S296" s="38">
        <f t="shared" si="41"/>
        <v>0</v>
      </c>
      <c r="T296" t="str">
        <f t="shared" si="42"/>
        <v>15/01/2026NL300085</v>
      </c>
      <c r="U296" s="29">
        <f t="shared" si="43"/>
        <v>0</v>
      </c>
      <c r="V296" s="39">
        <f t="shared" si="44"/>
        <v>0</v>
      </c>
    </row>
    <row r="297" spans="1:22" x14ac:dyDescent="0.25">
      <c r="A297" s="4" t="s">
        <v>130</v>
      </c>
      <c r="B297" s="5" t="s">
        <v>83</v>
      </c>
      <c r="C297" s="4" t="s">
        <v>84</v>
      </c>
      <c r="D297" s="5" t="s">
        <v>147</v>
      </c>
      <c r="E297" s="4" t="s">
        <v>29</v>
      </c>
      <c r="F297" s="4" t="s">
        <v>30</v>
      </c>
      <c r="G297" s="4" t="s">
        <v>13</v>
      </c>
      <c r="H297" s="6">
        <v>1</v>
      </c>
      <c r="I297" s="7">
        <v>145000</v>
      </c>
      <c r="J297" s="7">
        <f t="shared" si="37"/>
        <v>145000</v>
      </c>
      <c r="K297" s="8"/>
      <c r="L297" s="35" t="str">
        <f>+VLOOKUP(E297,MÃ!$B$2:$F$229,2,0)</f>
        <v>NL300113</v>
      </c>
      <c r="M297" s="36">
        <f>+VLOOKUP(T297,Sheet2!$B$2:$N$305,10,0)</f>
        <v>0.7</v>
      </c>
      <c r="N297" s="37">
        <f>+VLOOKUP(L297,MÃ!$C$2:$F$226,4,0)</f>
        <v>145000</v>
      </c>
      <c r="O297" s="37">
        <f t="shared" si="38"/>
        <v>101500</v>
      </c>
      <c r="P297" s="37">
        <f t="shared" si="39"/>
        <v>43500</v>
      </c>
      <c r="Q297" s="35" t="str">
        <f t="shared" si="40"/>
        <v>SAI SL NHẬN</v>
      </c>
      <c r="R297" s="27">
        <f>+VLOOKUP(T297,Sheet2!$B$2:$N$305,13,0)</f>
        <v>101500</v>
      </c>
      <c r="S297" s="38">
        <f t="shared" si="41"/>
        <v>0</v>
      </c>
      <c r="T297" t="str">
        <f t="shared" si="42"/>
        <v>15/01/2026NL300113</v>
      </c>
      <c r="U297" s="29">
        <f t="shared" si="43"/>
        <v>0.30000000000000004</v>
      </c>
      <c r="V297" s="39">
        <f t="shared" si="44"/>
        <v>0</v>
      </c>
    </row>
    <row r="298" spans="1:22" x14ac:dyDescent="0.25">
      <c r="A298" s="4" t="s">
        <v>130</v>
      </c>
      <c r="B298" s="5" t="s">
        <v>83</v>
      </c>
      <c r="C298" s="4" t="s">
        <v>84</v>
      </c>
      <c r="D298" s="5" t="s">
        <v>147</v>
      </c>
      <c r="E298" s="4" t="s">
        <v>27</v>
      </c>
      <c r="F298" s="4" t="s">
        <v>28</v>
      </c>
      <c r="G298" s="4" t="s">
        <v>13</v>
      </c>
      <c r="H298" s="6">
        <v>5</v>
      </c>
      <c r="I298" s="7">
        <v>21000</v>
      </c>
      <c r="J298" s="7">
        <f t="shared" si="37"/>
        <v>105000</v>
      </c>
      <c r="K298" s="8"/>
      <c r="L298" s="35" t="str">
        <f>+VLOOKUP(E298,MÃ!$B$2:$F$229,2,0)</f>
        <v>NL300119</v>
      </c>
      <c r="M298" s="36">
        <f>+VLOOKUP(T298,Sheet2!$B$2:$N$305,10,0)</f>
        <v>4</v>
      </c>
      <c r="N298" s="37">
        <f>+VLOOKUP(L298,MÃ!$C$2:$F$226,4,0)</f>
        <v>21000</v>
      </c>
      <c r="O298" s="37">
        <f t="shared" si="38"/>
        <v>84000</v>
      </c>
      <c r="P298" s="37">
        <f t="shared" si="39"/>
        <v>21000</v>
      </c>
      <c r="Q298" s="35" t="str">
        <f t="shared" si="40"/>
        <v>SAI SL NHẬN</v>
      </c>
      <c r="R298" s="27">
        <f>+VLOOKUP(T298,Sheet2!$B$2:$N$305,13,0)</f>
        <v>84000</v>
      </c>
      <c r="S298" s="38">
        <f t="shared" si="41"/>
        <v>0</v>
      </c>
      <c r="T298" t="str">
        <f t="shared" si="42"/>
        <v>15/01/2026NL300119</v>
      </c>
      <c r="U298" s="29">
        <f t="shared" si="43"/>
        <v>1</v>
      </c>
      <c r="V298" s="39">
        <f t="shared" si="44"/>
        <v>0</v>
      </c>
    </row>
    <row r="299" spans="1:22" x14ac:dyDescent="0.25">
      <c r="A299" s="4" t="s">
        <v>130</v>
      </c>
      <c r="B299" s="5" t="s">
        <v>83</v>
      </c>
      <c r="C299" s="4" t="s">
        <v>84</v>
      </c>
      <c r="D299" s="5" t="s">
        <v>147</v>
      </c>
      <c r="E299" s="4" t="s">
        <v>76</v>
      </c>
      <c r="F299" s="4" t="s">
        <v>77</v>
      </c>
      <c r="G299" s="4" t="s">
        <v>13</v>
      </c>
      <c r="H299" s="6">
        <v>1.5</v>
      </c>
      <c r="I299" s="7">
        <v>38000</v>
      </c>
      <c r="J299" s="7">
        <f t="shared" si="37"/>
        <v>57000</v>
      </c>
      <c r="K299" s="8"/>
      <c r="L299" s="35" t="str">
        <f>+VLOOKUP(E299,MÃ!$B$2:$F$229,2,0)</f>
        <v>NL300018</v>
      </c>
      <c r="M299" s="36">
        <f>+VLOOKUP(T299,Sheet2!$B$2:$N$305,10,0)</f>
        <v>1</v>
      </c>
      <c r="N299" s="37">
        <f>+VLOOKUP(L299,MÃ!$C$2:$F$226,4,0)</f>
        <v>38000</v>
      </c>
      <c r="O299" s="37">
        <f t="shared" si="38"/>
        <v>38000</v>
      </c>
      <c r="P299" s="37">
        <f t="shared" si="39"/>
        <v>19000</v>
      </c>
      <c r="Q299" s="35" t="str">
        <f t="shared" si="40"/>
        <v>SAI SL NHẬN</v>
      </c>
      <c r="R299" s="27">
        <f>+VLOOKUP(T299,Sheet2!$B$2:$N$305,13,0)</f>
        <v>38000</v>
      </c>
      <c r="S299" s="38">
        <f t="shared" si="41"/>
        <v>0</v>
      </c>
      <c r="T299" t="str">
        <f t="shared" si="42"/>
        <v>15/01/2026NL300018</v>
      </c>
      <c r="U299" s="29">
        <f t="shared" si="43"/>
        <v>0.5</v>
      </c>
      <c r="V299" s="39">
        <f t="shared" si="44"/>
        <v>0</v>
      </c>
    </row>
    <row r="300" spans="1:22" x14ac:dyDescent="0.25">
      <c r="A300" s="4" t="s">
        <v>130</v>
      </c>
      <c r="B300" s="5" t="s">
        <v>83</v>
      </c>
      <c r="C300" s="4" t="s">
        <v>84</v>
      </c>
      <c r="D300" s="5" t="s">
        <v>147</v>
      </c>
      <c r="E300" s="4" t="s">
        <v>14</v>
      </c>
      <c r="F300" s="4" t="s">
        <v>15</v>
      </c>
      <c r="G300" s="4" t="s">
        <v>13</v>
      </c>
      <c r="H300" s="6">
        <v>1</v>
      </c>
      <c r="I300" s="7">
        <v>50000</v>
      </c>
      <c r="J300" s="7">
        <f t="shared" si="37"/>
        <v>50000</v>
      </c>
      <c r="K300" s="8"/>
      <c r="L300" s="35" t="str">
        <f>+VLOOKUP(E300,MÃ!$B$2:$F$229,2,0)</f>
        <v>NL300142</v>
      </c>
      <c r="M300" s="36">
        <f>+VLOOKUP(T300,Sheet2!$B$2:$N$305,10,0)</f>
        <v>0.6</v>
      </c>
      <c r="N300" s="37">
        <f>+VLOOKUP(L300,MÃ!$C$2:$F$226,4,0)</f>
        <v>50000</v>
      </c>
      <c r="O300" s="37">
        <f t="shared" si="38"/>
        <v>30000</v>
      </c>
      <c r="P300" s="37">
        <f t="shared" si="39"/>
        <v>20000</v>
      </c>
      <c r="Q300" s="35" t="str">
        <f t="shared" si="40"/>
        <v>SAI SL NHẬN</v>
      </c>
      <c r="R300" s="27">
        <f>+VLOOKUP(T300,Sheet2!$B$2:$N$305,13,0)</f>
        <v>30000</v>
      </c>
      <c r="S300" s="38">
        <f t="shared" si="41"/>
        <v>0</v>
      </c>
      <c r="T300" t="str">
        <f t="shared" si="42"/>
        <v>15/01/2026NL300142</v>
      </c>
      <c r="U300" s="29">
        <f t="shared" si="43"/>
        <v>0.4</v>
      </c>
      <c r="V300" s="39">
        <f t="shared" si="44"/>
        <v>0</v>
      </c>
    </row>
    <row r="301" spans="1:22" x14ac:dyDescent="0.25">
      <c r="A301" s="4" t="s">
        <v>130</v>
      </c>
      <c r="B301" s="5" t="s">
        <v>83</v>
      </c>
      <c r="C301" s="4" t="s">
        <v>84</v>
      </c>
      <c r="D301" s="5" t="s">
        <v>147</v>
      </c>
      <c r="E301" s="4" t="s">
        <v>48</v>
      </c>
      <c r="F301" s="4" t="s">
        <v>49</v>
      </c>
      <c r="G301" s="4" t="s">
        <v>13</v>
      </c>
      <c r="H301" s="6">
        <v>5.2</v>
      </c>
      <c r="I301" s="7">
        <v>62000</v>
      </c>
      <c r="J301" s="7">
        <f t="shared" si="37"/>
        <v>322400</v>
      </c>
      <c r="K301" s="8"/>
      <c r="L301" s="35" t="str">
        <f>+VLOOKUP(E301,MÃ!$B$2:$F$229,2,0)</f>
        <v>NL300147</v>
      </c>
      <c r="M301" s="36">
        <f>+VLOOKUP(T301,Sheet2!$B$2:$N$305,10,0)</f>
        <v>4.5</v>
      </c>
      <c r="N301" s="37">
        <f>+VLOOKUP(L301,MÃ!$C$2:$F$226,4,0)</f>
        <v>62000</v>
      </c>
      <c r="O301" s="37">
        <f t="shared" si="38"/>
        <v>279000</v>
      </c>
      <c r="P301" s="37">
        <f t="shared" si="39"/>
        <v>43400</v>
      </c>
      <c r="Q301" s="35" t="str">
        <f t="shared" si="40"/>
        <v>SAI SL NHẬN</v>
      </c>
      <c r="R301" s="27">
        <f>+VLOOKUP(T301,Sheet2!$B$2:$N$305,13,0)</f>
        <v>279000</v>
      </c>
      <c r="S301" s="38">
        <f t="shared" si="41"/>
        <v>0</v>
      </c>
      <c r="T301" t="str">
        <f t="shared" si="42"/>
        <v>15/01/2026NL300147</v>
      </c>
      <c r="U301" s="29">
        <f t="shared" si="43"/>
        <v>0.70000000000000018</v>
      </c>
      <c r="V301" s="39">
        <f t="shared" si="44"/>
        <v>0</v>
      </c>
    </row>
  </sheetData>
  <autoFilter ref="A14:V301" xr:uid="{8168850A-FC3F-4425-922A-3A961DFAC361}"/>
  <mergeCells count="7">
    <mergeCell ref="A12:K12"/>
    <mergeCell ref="A2:C2"/>
    <mergeCell ref="D2:K2"/>
    <mergeCell ref="A4:K4"/>
    <mergeCell ref="A6:K6"/>
    <mergeCell ref="A8:K8"/>
    <mergeCell ref="A10:K10"/>
  </mergeCells>
  <conditionalFormatting sqref="L165:L184">
    <cfRule type="duplicateValues" dxfId="3" priority="2"/>
  </conditionalFormatting>
  <conditionalFormatting sqref="L209:L230">
    <cfRule type="duplicateValues" dxfId="2" priority="1"/>
  </conditionalFormatting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7185-50E4-4DF5-ADED-18226DF8A3C4}">
  <dimension ref="A1:W303"/>
  <sheetViews>
    <sheetView workbookViewId="0">
      <selection sqref="A1:XFD1"/>
    </sheetView>
  </sheetViews>
  <sheetFormatPr defaultRowHeight="15" x14ac:dyDescent="0.25"/>
  <cols>
    <col min="1" max="1" width="15.28515625" style="18" customWidth="1"/>
    <col min="2" max="2" width="11.42578125" style="18" customWidth="1"/>
    <col min="3" max="3" width="15.28515625" style="18" customWidth="1"/>
    <col min="4" max="4" width="5.140625" style="18" customWidth="1"/>
    <col min="5" max="5" width="13.42578125" style="18" customWidth="1"/>
    <col min="6" max="7" width="39.140625" style="18" customWidth="1"/>
    <col min="8" max="8" width="11.28515625" style="18" customWidth="1"/>
    <col min="9" max="9" width="14.5703125" style="18" customWidth="1"/>
    <col min="10" max="10" width="7" style="18" customWidth="1"/>
    <col min="11" max="13" width="19" style="18" customWidth="1"/>
    <col min="14" max="15" width="22.85546875" style="18" customWidth="1"/>
    <col min="16" max="23" width="19" style="18" customWidth="1"/>
    <col min="24" max="24" width="0" style="18" hidden="1" customWidth="1"/>
    <col min="25" max="16384" width="9.140625" style="18"/>
  </cols>
  <sheetData>
    <row r="1" spans="1:23" ht="21" customHeight="1" x14ac:dyDescent="0.25">
      <c r="A1" s="17" t="s">
        <v>799</v>
      </c>
      <c r="B1" s="17" t="s">
        <v>800</v>
      </c>
      <c r="C1" s="17" t="s">
        <v>801</v>
      </c>
      <c r="D1" s="17" t="s">
        <v>802</v>
      </c>
      <c r="E1" s="17" t="s">
        <v>803</v>
      </c>
      <c r="F1" s="17" t="s">
        <v>804</v>
      </c>
      <c r="G1" s="17" t="s">
        <v>805</v>
      </c>
      <c r="H1" s="17" t="s">
        <v>184</v>
      </c>
      <c r="I1" s="17" t="s">
        <v>185</v>
      </c>
      <c r="J1" s="17" t="s">
        <v>186</v>
      </c>
      <c r="K1" s="17" t="s">
        <v>806</v>
      </c>
      <c r="L1" s="17" t="s">
        <v>807</v>
      </c>
      <c r="M1" s="17" t="s">
        <v>808</v>
      </c>
      <c r="N1" s="17">
        <f>SUBTOTAL(9,N2:N303)</f>
        <v>30416030</v>
      </c>
      <c r="O1" s="17" t="s">
        <v>809</v>
      </c>
      <c r="P1" s="17" t="s">
        <v>810</v>
      </c>
      <c r="Q1" s="17" t="s">
        <v>811</v>
      </c>
      <c r="R1" s="17" t="s">
        <v>812</v>
      </c>
      <c r="S1" s="17" t="s">
        <v>813</v>
      </c>
      <c r="T1" s="17" t="s">
        <v>814</v>
      </c>
      <c r="U1" s="17" t="s">
        <v>815</v>
      </c>
      <c r="V1" s="17" t="s">
        <v>816</v>
      </c>
      <c r="W1" s="17" t="s">
        <v>817</v>
      </c>
    </row>
    <row r="2" spans="1:23" ht="10.5" customHeight="1" x14ac:dyDescent="0.25">
      <c r="A2" s="19">
        <v>46023</v>
      </c>
      <c r="B2" s="20" t="str">
        <f>"0"&amp;DAY(A2)&amp;"/01/2026"&amp;H2</f>
        <v>01/01/2026NL300033</v>
      </c>
      <c r="C2" s="21" t="s">
        <v>818</v>
      </c>
      <c r="D2" s="21" t="s">
        <v>819</v>
      </c>
      <c r="E2" s="20" t="s">
        <v>820</v>
      </c>
      <c r="F2" s="20" t="s">
        <v>821</v>
      </c>
      <c r="G2" s="20" t="s">
        <v>822</v>
      </c>
      <c r="H2" s="20" t="s">
        <v>335</v>
      </c>
      <c r="I2" s="20" t="s">
        <v>823</v>
      </c>
      <c r="J2" s="20" t="s">
        <v>190</v>
      </c>
      <c r="K2" s="22">
        <v>0.8</v>
      </c>
      <c r="L2" s="23">
        <v>13000</v>
      </c>
      <c r="M2" s="23">
        <v>0</v>
      </c>
      <c r="N2" s="24">
        <f>L2*K2</f>
        <v>10400</v>
      </c>
      <c r="O2" s="24">
        <v>0</v>
      </c>
      <c r="P2" s="23">
        <v>13000</v>
      </c>
      <c r="Q2" s="20" t="s">
        <v>824</v>
      </c>
      <c r="R2" s="20" t="s">
        <v>825</v>
      </c>
      <c r="S2" s="20" t="s">
        <v>12</v>
      </c>
      <c r="T2" s="20" t="s">
        <v>826</v>
      </c>
      <c r="U2" s="20" t="s">
        <v>12</v>
      </c>
      <c r="V2" s="20" t="s">
        <v>827</v>
      </c>
      <c r="W2" s="20" t="s">
        <v>827</v>
      </c>
    </row>
    <row r="3" spans="1:23" ht="10.5" customHeight="1" x14ac:dyDescent="0.25">
      <c r="A3" s="19">
        <v>46023</v>
      </c>
      <c r="B3" s="20" t="str">
        <f t="shared" ref="B3:B66" si="0">"0"&amp;DAY(A3)&amp;"/01/2026"&amp;H3</f>
        <v>01/01/2026NL300058</v>
      </c>
      <c r="C3" s="21" t="s">
        <v>818</v>
      </c>
      <c r="D3" s="21" t="s">
        <v>819</v>
      </c>
      <c r="E3" s="20" t="s">
        <v>820</v>
      </c>
      <c r="F3" s="20" t="s">
        <v>821</v>
      </c>
      <c r="G3" s="20" t="s">
        <v>822</v>
      </c>
      <c r="H3" s="20" t="s">
        <v>450</v>
      </c>
      <c r="I3" s="20" t="s">
        <v>19</v>
      </c>
      <c r="J3" s="20" t="s">
        <v>190</v>
      </c>
      <c r="K3" s="22">
        <v>0.27</v>
      </c>
      <c r="L3" s="23">
        <v>55000</v>
      </c>
      <c r="M3" s="23">
        <v>0</v>
      </c>
      <c r="N3" s="24">
        <f t="shared" ref="N3:N66" si="1">L3*K3</f>
        <v>14850.000000000002</v>
      </c>
      <c r="O3" s="24">
        <v>0</v>
      </c>
      <c r="P3" s="23">
        <v>55000</v>
      </c>
      <c r="Q3" s="20" t="s">
        <v>824</v>
      </c>
      <c r="R3" s="20" t="s">
        <v>825</v>
      </c>
      <c r="S3" s="20" t="s">
        <v>12</v>
      </c>
      <c r="T3" s="20" t="s">
        <v>826</v>
      </c>
      <c r="U3" s="20" t="s">
        <v>12</v>
      </c>
      <c r="V3" s="20" t="s">
        <v>827</v>
      </c>
      <c r="W3" s="20" t="s">
        <v>827</v>
      </c>
    </row>
    <row r="4" spans="1:23" ht="10.5" customHeight="1" x14ac:dyDescent="0.25">
      <c r="A4" s="19">
        <v>46023</v>
      </c>
      <c r="B4" s="20" t="str">
        <f t="shared" si="0"/>
        <v>01/01/2026NL300074</v>
      </c>
      <c r="C4" s="21" t="s">
        <v>818</v>
      </c>
      <c r="D4" s="21" t="s">
        <v>819</v>
      </c>
      <c r="E4" s="20" t="s">
        <v>820</v>
      </c>
      <c r="F4" s="20" t="s">
        <v>821</v>
      </c>
      <c r="G4" s="20" t="s">
        <v>822</v>
      </c>
      <c r="H4" s="20" t="s">
        <v>503</v>
      </c>
      <c r="I4" s="20" t="s">
        <v>73</v>
      </c>
      <c r="J4" s="20" t="s">
        <v>190</v>
      </c>
      <c r="K4" s="22">
        <v>0.7</v>
      </c>
      <c r="L4" s="23">
        <v>18000</v>
      </c>
      <c r="M4" s="23">
        <v>0</v>
      </c>
      <c r="N4" s="24">
        <f t="shared" si="1"/>
        <v>12600</v>
      </c>
      <c r="O4" s="24">
        <v>0</v>
      </c>
      <c r="P4" s="23">
        <v>18000</v>
      </c>
      <c r="Q4" s="20" t="s">
        <v>824</v>
      </c>
      <c r="R4" s="20" t="s">
        <v>825</v>
      </c>
      <c r="S4" s="20" t="s">
        <v>12</v>
      </c>
      <c r="T4" s="20" t="s">
        <v>826</v>
      </c>
      <c r="U4" s="20" t="s">
        <v>12</v>
      </c>
      <c r="V4" s="20" t="s">
        <v>827</v>
      </c>
      <c r="W4" s="20" t="s">
        <v>827</v>
      </c>
    </row>
    <row r="5" spans="1:23" ht="10.5" customHeight="1" x14ac:dyDescent="0.25">
      <c r="A5" s="19">
        <v>46023</v>
      </c>
      <c r="B5" s="20" t="str">
        <f t="shared" si="0"/>
        <v>01/01/2026NL300085</v>
      </c>
      <c r="C5" s="21" t="s">
        <v>818</v>
      </c>
      <c r="D5" s="21" t="s">
        <v>819</v>
      </c>
      <c r="E5" s="20" t="s">
        <v>820</v>
      </c>
      <c r="F5" s="20" t="s">
        <v>821</v>
      </c>
      <c r="G5" s="20" t="s">
        <v>822</v>
      </c>
      <c r="H5" s="20" t="s">
        <v>564</v>
      </c>
      <c r="I5" s="20" t="s">
        <v>565</v>
      </c>
      <c r="J5" s="20" t="s">
        <v>190</v>
      </c>
      <c r="K5" s="22">
        <v>0.2</v>
      </c>
      <c r="L5" s="23">
        <v>45000</v>
      </c>
      <c r="M5" s="23">
        <v>0</v>
      </c>
      <c r="N5" s="24">
        <f t="shared" si="1"/>
        <v>9000</v>
      </c>
      <c r="O5" s="24">
        <v>0</v>
      </c>
      <c r="P5" s="23">
        <v>45000</v>
      </c>
      <c r="Q5" s="20" t="s">
        <v>824</v>
      </c>
      <c r="R5" s="20" t="s">
        <v>825</v>
      </c>
      <c r="S5" s="20" t="s">
        <v>12</v>
      </c>
      <c r="T5" s="20" t="s">
        <v>826</v>
      </c>
      <c r="U5" s="20" t="s">
        <v>12</v>
      </c>
      <c r="V5" s="20" t="s">
        <v>827</v>
      </c>
      <c r="W5" s="20" t="s">
        <v>827</v>
      </c>
    </row>
    <row r="6" spans="1:23" ht="10.5" customHeight="1" x14ac:dyDescent="0.25">
      <c r="A6" s="19">
        <v>46023</v>
      </c>
      <c r="B6" s="20" t="str">
        <f t="shared" si="0"/>
        <v>01/01/2026NL300090</v>
      </c>
      <c r="C6" s="21" t="s">
        <v>818</v>
      </c>
      <c r="D6" s="21" t="s">
        <v>819</v>
      </c>
      <c r="E6" s="20" t="s">
        <v>820</v>
      </c>
      <c r="F6" s="20" t="s">
        <v>821</v>
      </c>
      <c r="G6" s="20" t="s">
        <v>822</v>
      </c>
      <c r="H6" s="20" t="s">
        <v>578</v>
      </c>
      <c r="I6" s="20" t="s">
        <v>37</v>
      </c>
      <c r="J6" s="20" t="s">
        <v>190</v>
      </c>
      <c r="K6" s="22">
        <v>2</v>
      </c>
      <c r="L6" s="23">
        <v>145000</v>
      </c>
      <c r="M6" s="23">
        <v>0</v>
      </c>
      <c r="N6" s="24">
        <f t="shared" si="1"/>
        <v>290000</v>
      </c>
      <c r="O6" s="24">
        <v>0</v>
      </c>
      <c r="P6" s="23">
        <v>145000</v>
      </c>
      <c r="Q6" s="20" t="s">
        <v>824</v>
      </c>
      <c r="R6" s="20" t="s">
        <v>825</v>
      </c>
      <c r="S6" s="20" t="s">
        <v>12</v>
      </c>
      <c r="T6" s="20" t="s">
        <v>826</v>
      </c>
      <c r="U6" s="20" t="s">
        <v>12</v>
      </c>
      <c r="V6" s="20" t="s">
        <v>827</v>
      </c>
      <c r="W6" s="20" t="s">
        <v>827</v>
      </c>
    </row>
    <row r="7" spans="1:23" ht="10.5" customHeight="1" x14ac:dyDescent="0.25">
      <c r="A7" s="19">
        <v>46023</v>
      </c>
      <c r="B7" s="20" t="str">
        <f t="shared" si="0"/>
        <v>01/01/2026NL300091</v>
      </c>
      <c r="C7" s="21" t="s">
        <v>818</v>
      </c>
      <c r="D7" s="21" t="s">
        <v>819</v>
      </c>
      <c r="E7" s="20" t="s">
        <v>820</v>
      </c>
      <c r="F7" s="20" t="s">
        <v>821</v>
      </c>
      <c r="G7" s="20" t="s">
        <v>822</v>
      </c>
      <c r="H7" s="20" t="s">
        <v>580</v>
      </c>
      <c r="I7" s="20" t="s">
        <v>39</v>
      </c>
      <c r="J7" s="20" t="s">
        <v>190</v>
      </c>
      <c r="K7" s="22">
        <v>3</v>
      </c>
      <c r="L7" s="23">
        <v>47000</v>
      </c>
      <c r="M7" s="23">
        <v>0</v>
      </c>
      <c r="N7" s="24">
        <f t="shared" si="1"/>
        <v>141000</v>
      </c>
      <c r="O7" s="24">
        <v>0</v>
      </c>
      <c r="P7" s="23">
        <v>47000</v>
      </c>
      <c r="Q7" s="20" t="s">
        <v>824</v>
      </c>
      <c r="R7" s="20" t="s">
        <v>825</v>
      </c>
      <c r="S7" s="20" t="s">
        <v>12</v>
      </c>
      <c r="T7" s="20" t="s">
        <v>826</v>
      </c>
      <c r="U7" s="20" t="s">
        <v>12</v>
      </c>
      <c r="V7" s="20" t="s">
        <v>827</v>
      </c>
      <c r="W7" s="20" t="s">
        <v>827</v>
      </c>
    </row>
    <row r="8" spans="1:23" ht="10.5" customHeight="1" x14ac:dyDescent="0.25">
      <c r="A8" s="19">
        <v>46023</v>
      </c>
      <c r="B8" s="20" t="str">
        <f t="shared" si="0"/>
        <v>01/01/2026NL300096</v>
      </c>
      <c r="C8" s="21" t="s">
        <v>818</v>
      </c>
      <c r="D8" s="21" t="s">
        <v>819</v>
      </c>
      <c r="E8" s="20" t="s">
        <v>820</v>
      </c>
      <c r="F8" s="20" t="s">
        <v>821</v>
      </c>
      <c r="G8" s="20" t="s">
        <v>822</v>
      </c>
      <c r="H8" s="20" t="s">
        <v>586</v>
      </c>
      <c r="I8" s="20" t="s">
        <v>43</v>
      </c>
      <c r="J8" s="20" t="s">
        <v>190</v>
      </c>
      <c r="K8" s="22">
        <v>3</v>
      </c>
      <c r="L8" s="23">
        <v>45000</v>
      </c>
      <c r="M8" s="23">
        <v>0</v>
      </c>
      <c r="N8" s="24">
        <f t="shared" si="1"/>
        <v>135000</v>
      </c>
      <c r="O8" s="24">
        <v>0</v>
      </c>
      <c r="P8" s="23">
        <v>45000</v>
      </c>
      <c r="Q8" s="20" t="s">
        <v>824</v>
      </c>
      <c r="R8" s="20" t="s">
        <v>825</v>
      </c>
      <c r="S8" s="20" t="s">
        <v>12</v>
      </c>
      <c r="T8" s="20" t="s">
        <v>826</v>
      </c>
      <c r="U8" s="20" t="s">
        <v>12</v>
      </c>
      <c r="V8" s="20" t="s">
        <v>827</v>
      </c>
      <c r="W8" s="20" t="s">
        <v>827</v>
      </c>
    </row>
    <row r="9" spans="1:23" ht="10.5" customHeight="1" x14ac:dyDescent="0.25">
      <c r="A9" s="19">
        <v>46023</v>
      </c>
      <c r="B9" s="20" t="str">
        <f t="shared" si="0"/>
        <v>01/01/2026NL300098</v>
      </c>
      <c r="C9" s="21" t="s">
        <v>818</v>
      </c>
      <c r="D9" s="21" t="s">
        <v>819</v>
      </c>
      <c r="E9" s="20" t="s">
        <v>820</v>
      </c>
      <c r="F9" s="20" t="s">
        <v>821</v>
      </c>
      <c r="G9" s="20" t="s">
        <v>822</v>
      </c>
      <c r="H9" s="20" t="s">
        <v>590</v>
      </c>
      <c r="I9" s="20" t="s">
        <v>591</v>
      </c>
      <c r="J9" s="20" t="s">
        <v>190</v>
      </c>
      <c r="K9" s="22">
        <v>2.2000000000000002</v>
      </c>
      <c r="L9" s="23">
        <v>95000</v>
      </c>
      <c r="M9" s="23">
        <v>0</v>
      </c>
      <c r="N9" s="24">
        <f t="shared" si="1"/>
        <v>209000.00000000003</v>
      </c>
      <c r="O9" s="24">
        <v>0</v>
      </c>
      <c r="P9" s="23">
        <v>95000</v>
      </c>
      <c r="Q9" s="20" t="s">
        <v>824</v>
      </c>
      <c r="R9" s="20" t="s">
        <v>825</v>
      </c>
      <c r="S9" s="20" t="s">
        <v>12</v>
      </c>
      <c r="T9" s="20" t="s">
        <v>826</v>
      </c>
      <c r="U9" s="20" t="s">
        <v>12</v>
      </c>
      <c r="V9" s="20" t="s">
        <v>827</v>
      </c>
      <c r="W9" s="20" t="s">
        <v>827</v>
      </c>
    </row>
    <row r="10" spans="1:23" ht="10.5" customHeight="1" x14ac:dyDescent="0.25">
      <c r="A10" s="19">
        <v>46023</v>
      </c>
      <c r="B10" s="20" t="str">
        <f t="shared" si="0"/>
        <v>01/01/2026NL300107</v>
      </c>
      <c r="C10" s="21" t="s">
        <v>818</v>
      </c>
      <c r="D10" s="21" t="s">
        <v>819</v>
      </c>
      <c r="E10" s="20" t="s">
        <v>820</v>
      </c>
      <c r="F10" s="20" t="s">
        <v>821</v>
      </c>
      <c r="G10" s="20" t="s">
        <v>822</v>
      </c>
      <c r="H10" s="20" t="s">
        <v>616</v>
      </c>
      <c r="I10" s="20" t="s">
        <v>828</v>
      </c>
      <c r="J10" s="20" t="s">
        <v>385</v>
      </c>
      <c r="K10" s="22">
        <v>3</v>
      </c>
      <c r="L10" s="23">
        <v>8500</v>
      </c>
      <c r="M10" s="23">
        <v>0</v>
      </c>
      <c r="N10" s="24">
        <f t="shared" si="1"/>
        <v>25500</v>
      </c>
      <c r="O10" s="24">
        <v>0</v>
      </c>
      <c r="P10" s="23">
        <v>8500</v>
      </c>
      <c r="Q10" s="20" t="s">
        <v>824</v>
      </c>
      <c r="R10" s="20" t="s">
        <v>825</v>
      </c>
      <c r="S10" s="20" t="s">
        <v>12</v>
      </c>
      <c r="T10" s="20" t="s">
        <v>826</v>
      </c>
      <c r="U10" s="20" t="s">
        <v>12</v>
      </c>
      <c r="V10" s="20" t="s">
        <v>827</v>
      </c>
      <c r="W10" s="20" t="s">
        <v>827</v>
      </c>
    </row>
    <row r="11" spans="1:23" ht="10.5" customHeight="1" x14ac:dyDescent="0.25">
      <c r="A11" s="19">
        <v>46023</v>
      </c>
      <c r="B11" s="20" t="str">
        <f t="shared" si="0"/>
        <v>01/01/2026NL300142</v>
      </c>
      <c r="C11" s="21" t="s">
        <v>818</v>
      </c>
      <c r="D11" s="21" t="s">
        <v>819</v>
      </c>
      <c r="E11" s="20" t="s">
        <v>820</v>
      </c>
      <c r="F11" s="20" t="s">
        <v>821</v>
      </c>
      <c r="G11" s="20" t="s">
        <v>822</v>
      </c>
      <c r="H11" s="20" t="s">
        <v>766</v>
      </c>
      <c r="I11" s="20" t="s">
        <v>829</v>
      </c>
      <c r="J11" s="20" t="s">
        <v>190</v>
      </c>
      <c r="K11" s="22">
        <v>0.5</v>
      </c>
      <c r="L11" s="23">
        <v>50000</v>
      </c>
      <c r="M11" s="23">
        <v>0</v>
      </c>
      <c r="N11" s="24">
        <f t="shared" si="1"/>
        <v>25000</v>
      </c>
      <c r="O11" s="24">
        <v>0</v>
      </c>
      <c r="P11" s="23">
        <v>50000</v>
      </c>
      <c r="Q11" s="20" t="s">
        <v>824</v>
      </c>
      <c r="R11" s="20" t="s">
        <v>825</v>
      </c>
      <c r="S11" s="20" t="s">
        <v>12</v>
      </c>
      <c r="T11" s="20" t="s">
        <v>826</v>
      </c>
      <c r="U11" s="20" t="s">
        <v>12</v>
      </c>
      <c r="V11" s="20" t="s">
        <v>827</v>
      </c>
      <c r="W11" s="20" t="s">
        <v>827</v>
      </c>
    </row>
    <row r="12" spans="1:23" ht="10.5" customHeight="1" x14ac:dyDescent="0.25">
      <c r="A12" s="19">
        <v>46023</v>
      </c>
      <c r="B12" s="20" t="str">
        <f t="shared" si="0"/>
        <v>01/01/2026NL300147</v>
      </c>
      <c r="C12" s="21" t="s">
        <v>818</v>
      </c>
      <c r="D12" s="21" t="s">
        <v>819</v>
      </c>
      <c r="E12" s="20" t="s">
        <v>820</v>
      </c>
      <c r="F12" s="20" t="s">
        <v>821</v>
      </c>
      <c r="G12" s="20" t="s">
        <v>822</v>
      </c>
      <c r="H12" s="20" t="s">
        <v>790</v>
      </c>
      <c r="I12" s="20" t="s">
        <v>791</v>
      </c>
      <c r="J12" s="20" t="s">
        <v>190</v>
      </c>
      <c r="K12" s="22">
        <v>7.1</v>
      </c>
      <c r="L12" s="23">
        <v>62000</v>
      </c>
      <c r="M12" s="23">
        <v>0</v>
      </c>
      <c r="N12" s="24">
        <f t="shared" si="1"/>
        <v>440200</v>
      </c>
      <c r="O12" s="24">
        <v>0</v>
      </c>
      <c r="P12" s="23">
        <v>62000</v>
      </c>
      <c r="Q12" s="20" t="s">
        <v>824</v>
      </c>
      <c r="R12" s="20" t="s">
        <v>825</v>
      </c>
      <c r="S12" s="20" t="s">
        <v>12</v>
      </c>
      <c r="T12" s="20" t="s">
        <v>826</v>
      </c>
      <c r="U12" s="20" t="s">
        <v>12</v>
      </c>
      <c r="V12" s="20" t="s">
        <v>827</v>
      </c>
      <c r="W12" s="20" t="s">
        <v>827</v>
      </c>
    </row>
    <row r="13" spans="1:23" ht="10.5" customHeight="1" x14ac:dyDescent="0.25">
      <c r="A13" s="19">
        <v>46023</v>
      </c>
      <c r="B13" s="20" t="str">
        <f t="shared" si="0"/>
        <v>01/01/2026NL300119</v>
      </c>
      <c r="C13" s="21" t="s">
        <v>818</v>
      </c>
      <c r="D13" s="21" t="s">
        <v>819</v>
      </c>
      <c r="E13" s="20" t="s">
        <v>820</v>
      </c>
      <c r="F13" s="20" t="s">
        <v>821</v>
      </c>
      <c r="G13" s="20" t="s">
        <v>822</v>
      </c>
      <c r="H13" s="20" t="s">
        <v>652</v>
      </c>
      <c r="I13" s="20" t="s">
        <v>653</v>
      </c>
      <c r="J13" s="20" t="s">
        <v>190</v>
      </c>
      <c r="K13" s="22">
        <v>5.0999999999999996</v>
      </c>
      <c r="L13" s="23">
        <v>21000</v>
      </c>
      <c r="M13" s="23">
        <v>0</v>
      </c>
      <c r="N13" s="24">
        <f t="shared" si="1"/>
        <v>107099.99999999999</v>
      </c>
      <c r="O13" s="24">
        <v>0</v>
      </c>
      <c r="P13" s="23">
        <v>21000</v>
      </c>
      <c r="Q13" s="20" t="s">
        <v>824</v>
      </c>
      <c r="R13" s="20" t="s">
        <v>825</v>
      </c>
      <c r="S13" s="20" t="s">
        <v>12</v>
      </c>
      <c r="T13" s="20" t="s">
        <v>826</v>
      </c>
      <c r="U13" s="20" t="s">
        <v>12</v>
      </c>
      <c r="V13" s="20" t="s">
        <v>827</v>
      </c>
      <c r="W13" s="20" t="s">
        <v>827</v>
      </c>
    </row>
    <row r="14" spans="1:23" ht="10.5" customHeight="1" x14ac:dyDescent="0.25">
      <c r="A14" s="19">
        <v>46023</v>
      </c>
      <c r="B14" s="20" t="str">
        <f t="shared" si="0"/>
        <v>01/01/2026NL600004</v>
      </c>
      <c r="C14" s="21" t="s">
        <v>818</v>
      </c>
      <c r="D14" s="21" t="s">
        <v>819</v>
      </c>
      <c r="E14" s="20" t="s">
        <v>820</v>
      </c>
      <c r="F14" s="20" t="s">
        <v>821</v>
      </c>
      <c r="G14" s="20" t="s">
        <v>822</v>
      </c>
      <c r="H14" s="20" t="s">
        <v>427</v>
      </c>
      <c r="I14" s="20" t="s">
        <v>51</v>
      </c>
      <c r="J14" s="20" t="s">
        <v>190</v>
      </c>
      <c r="K14" s="22">
        <v>8.8000000000000007</v>
      </c>
      <c r="L14" s="23">
        <v>18000</v>
      </c>
      <c r="M14" s="23">
        <v>0</v>
      </c>
      <c r="N14" s="24">
        <f t="shared" si="1"/>
        <v>158400</v>
      </c>
      <c r="O14" s="24">
        <v>0</v>
      </c>
      <c r="P14" s="23">
        <v>18000</v>
      </c>
      <c r="Q14" s="20" t="s">
        <v>824</v>
      </c>
      <c r="R14" s="20" t="s">
        <v>825</v>
      </c>
      <c r="S14" s="20" t="s">
        <v>12</v>
      </c>
      <c r="T14" s="20" t="s">
        <v>826</v>
      </c>
      <c r="U14" s="20" t="s">
        <v>12</v>
      </c>
      <c r="V14" s="20" t="s">
        <v>827</v>
      </c>
      <c r="W14" s="20" t="s">
        <v>827</v>
      </c>
    </row>
    <row r="15" spans="1:23" ht="10.5" customHeight="1" x14ac:dyDescent="0.25">
      <c r="A15" s="19">
        <v>46023</v>
      </c>
      <c r="B15" s="20" t="str">
        <f t="shared" si="0"/>
        <v>01/01/2026NL300018</v>
      </c>
      <c r="C15" s="21" t="s">
        <v>818</v>
      </c>
      <c r="D15" s="21" t="s">
        <v>819</v>
      </c>
      <c r="E15" s="20" t="s">
        <v>820</v>
      </c>
      <c r="F15" s="20" t="s">
        <v>821</v>
      </c>
      <c r="G15" s="20" t="s">
        <v>822</v>
      </c>
      <c r="H15" s="20" t="s">
        <v>294</v>
      </c>
      <c r="I15" s="20" t="s">
        <v>830</v>
      </c>
      <c r="J15" s="20" t="s">
        <v>190</v>
      </c>
      <c r="K15" s="22">
        <v>1</v>
      </c>
      <c r="L15" s="23">
        <v>38000</v>
      </c>
      <c r="M15" s="23">
        <v>0</v>
      </c>
      <c r="N15" s="24">
        <f t="shared" si="1"/>
        <v>38000</v>
      </c>
      <c r="O15" s="24">
        <v>0</v>
      </c>
      <c r="P15" s="23">
        <v>38000</v>
      </c>
      <c r="Q15" s="20" t="s">
        <v>824</v>
      </c>
      <c r="R15" s="20" t="s">
        <v>825</v>
      </c>
      <c r="S15" s="20" t="s">
        <v>12</v>
      </c>
      <c r="T15" s="20" t="s">
        <v>826</v>
      </c>
      <c r="U15" s="20" t="s">
        <v>12</v>
      </c>
      <c r="V15" s="20" t="s">
        <v>827</v>
      </c>
      <c r="W15" s="20" t="s">
        <v>827</v>
      </c>
    </row>
    <row r="16" spans="1:23" ht="10.5" customHeight="1" x14ac:dyDescent="0.25">
      <c r="A16" s="19">
        <v>46023</v>
      </c>
      <c r="B16" s="20" t="str">
        <f t="shared" si="0"/>
        <v>01/01/2026NL300022</v>
      </c>
      <c r="C16" s="21" t="s">
        <v>818</v>
      </c>
      <c r="D16" s="21" t="s">
        <v>819</v>
      </c>
      <c r="E16" s="20" t="s">
        <v>820</v>
      </c>
      <c r="F16" s="20" t="s">
        <v>821</v>
      </c>
      <c r="G16" s="20" t="s">
        <v>822</v>
      </c>
      <c r="H16" s="20" t="s">
        <v>305</v>
      </c>
      <c r="I16" s="20" t="s">
        <v>67</v>
      </c>
      <c r="J16" s="20" t="s">
        <v>190</v>
      </c>
      <c r="K16" s="22">
        <v>10.5</v>
      </c>
      <c r="L16" s="23">
        <v>18000</v>
      </c>
      <c r="M16" s="23">
        <v>0</v>
      </c>
      <c r="N16" s="24">
        <f t="shared" si="1"/>
        <v>189000</v>
      </c>
      <c r="O16" s="24">
        <v>0</v>
      </c>
      <c r="P16" s="23">
        <v>18000</v>
      </c>
      <c r="Q16" s="20" t="s">
        <v>824</v>
      </c>
      <c r="R16" s="20" t="s">
        <v>825</v>
      </c>
      <c r="S16" s="20" t="s">
        <v>12</v>
      </c>
      <c r="T16" s="20" t="s">
        <v>826</v>
      </c>
      <c r="U16" s="20" t="s">
        <v>12</v>
      </c>
      <c r="V16" s="20" t="s">
        <v>827</v>
      </c>
      <c r="W16" s="20" t="s">
        <v>827</v>
      </c>
    </row>
    <row r="17" spans="1:23" ht="10.5" customHeight="1" x14ac:dyDescent="0.25">
      <c r="A17" s="19">
        <v>46023</v>
      </c>
      <c r="B17" s="20" t="str">
        <f t="shared" si="0"/>
        <v>01/01/2026NL300209</v>
      </c>
      <c r="C17" s="21" t="s">
        <v>831</v>
      </c>
      <c r="D17" s="21" t="s">
        <v>819</v>
      </c>
      <c r="E17" s="20" t="s">
        <v>820</v>
      </c>
      <c r="F17" s="20" t="s">
        <v>821</v>
      </c>
      <c r="G17" s="20" t="s">
        <v>822</v>
      </c>
      <c r="H17" s="20" t="s">
        <v>797</v>
      </c>
      <c r="I17" s="20" t="s">
        <v>798</v>
      </c>
      <c r="J17" s="20" t="s">
        <v>190</v>
      </c>
      <c r="K17" s="22">
        <v>1</v>
      </c>
      <c r="L17" s="23">
        <v>30000</v>
      </c>
      <c r="M17" s="23">
        <v>0</v>
      </c>
      <c r="N17" s="24">
        <f t="shared" si="1"/>
        <v>30000</v>
      </c>
      <c r="O17" s="24">
        <v>0</v>
      </c>
      <c r="P17" s="23">
        <v>30000</v>
      </c>
      <c r="Q17" s="20" t="s">
        <v>824</v>
      </c>
      <c r="R17" s="20" t="s">
        <v>825</v>
      </c>
      <c r="S17" s="20" t="s">
        <v>12</v>
      </c>
      <c r="T17" s="20" t="s">
        <v>826</v>
      </c>
      <c r="U17" s="20" t="s">
        <v>12</v>
      </c>
      <c r="V17" s="20" t="s">
        <v>827</v>
      </c>
      <c r="W17" s="20" t="s">
        <v>827</v>
      </c>
    </row>
    <row r="18" spans="1:23" ht="10.5" customHeight="1" x14ac:dyDescent="0.25">
      <c r="A18" s="19">
        <v>46024</v>
      </c>
      <c r="B18" s="20" t="str">
        <f t="shared" si="0"/>
        <v>02/01/2026NL300113</v>
      </c>
      <c r="C18" s="21" t="s">
        <v>832</v>
      </c>
      <c r="D18" s="21" t="s">
        <v>819</v>
      </c>
      <c r="E18" s="20" t="s">
        <v>820</v>
      </c>
      <c r="F18" s="20" t="s">
        <v>821</v>
      </c>
      <c r="G18" s="20" t="s">
        <v>833</v>
      </c>
      <c r="H18" s="20" t="s">
        <v>627</v>
      </c>
      <c r="I18" s="20" t="s">
        <v>30</v>
      </c>
      <c r="J18" s="20" t="s">
        <v>190</v>
      </c>
      <c r="K18" s="22">
        <v>2.5</v>
      </c>
      <c r="L18" s="23">
        <v>145000</v>
      </c>
      <c r="M18" s="23">
        <v>0</v>
      </c>
      <c r="N18" s="24">
        <f t="shared" si="1"/>
        <v>362500</v>
      </c>
      <c r="O18" s="24">
        <v>0</v>
      </c>
      <c r="P18" s="23">
        <v>145000</v>
      </c>
      <c r="Q18" s="20" t="s">
        <v>824</v>
      </c>
      <c r="R18" s="20" t="s">
        <v>825</v>
      </c>
      <c r="S18" s="20" t="s">
        <v>12</v>
      </c>
      <c r="T18" s="20" t="s">
        <v>826</v>
      </c>
      <c r="U18" s="20" t="s">
        <v>12</v>
      </c>
      <c r="V18" s="20" t="s">
        <v>827</v>
      </c>
      <c r="W18" s="20" t="s">
        <v>827</v>
      </c>
    </row>
    <row r="19" spans="1:23" ht="10.5" customHeight="1" x14ac:dyDescent="0.25">
      <c r="A19" s="19">
        <v>46024</v>
      </c>
      <c r="B19" s="20" t="str">
        <f t="shared" si="0"/>
        <v>02/01/2026NL300142</v>
      </c>
      <c r="C19" s="21" t="s">
        <v>832</v>
      </c>
      <c r="D19" s="21" t="s">
        <v>819</v>
      </c>
      <c r="E19" s="20" t="s">
        <v>820</v>
      </c>
      <c r="F19" s="20" t="s">
        <v>821</v>
      </c>
      <c r="G19" s="20" t="s">
        <v>833</v>
      </c>
      <c r="H19" s="20" t="s">
        <v>766</v>
      </c>
      <c r="I19" s="20" t="s">
        <v>829</v>
      </c>
      <c r="J19" s="20" t="s">
        <v>190</v>
      </c>
      <c r="K19" s="22">
        <v>3</v>
      </c>
      <c r="L19" s="23">
        <v>50000</v>
      </c>
      <c r="M19" s="23">
        <v>0</v>
      </c>
      <c r="N19" s="24">
        <f t="shared" si="1"/>
        <v>150000</v>
      </c>
      <c r="O19" s="24">
        <v>0</v>
      </c>
      <c r="P19" s="23">
        <v>50000</v>
      </c>
      <c r="Q19" s="20" t="s">
        <v>824</v>
      </c>
      <c r="R19" s="20" t="s">
        <v>825</v>
      </c>
      <c r="S19" s="20" t="s">
        <v>12</v>
      </c>
      <c r="T19" s="20" t="s">
        <v>826</v>
      </c>
      <c r="U19" s="20" t="s">
        <v>12</v>
      </c>
      <c r="V19" s="20" t="s">
        <v>827</v>
      </c>
      <c r="W19" s="20" t="s">
        <v>827</v>
      </c>
    </row>
    <row r="20" spans="1:23" ht="10.5" customHeight="1" x14ac:dyDescent="0.25">
      <c r="A20" s="19">
        <v>46024</v>
      </c>
      <c r="B20" s="20" t="str">
        <f t="shared" si="0"/>
        <v>02/01/2026NL300147</v>
      </c>
      <c r="C20" s="21" t="s">
        <v>832</v>
      </c>
      <c r="D20" s="21" t="s">
        <v>819</v>
      </c>
      <c r="E20" s="20" t="s">
        <v>820</v>
      </c>
      <c r="F20" s="20" t="s">
        <v>821</v>
      </c>
      <c r="G20" s="20" t="s">
        <v>833</v>
      </c>
      <c r="H20" s="20" t="s">
        <v>790</v>
      </c>
      <c r="I20" s="20" t="s">
        <v>791</v>
      </c>
      <c r="J20" s="20" t="s">
        <v>190</v>
      </c>
      <c r="K20" s="22">
        <v>7</v>
      </c>
      <c r="L20" s="23">
        <v>62000</v>
      </c>
      <c r="M20" s="23">
        <v>0</v>
      </c>
      <c r="N20" s="24">
        <f t="shared" si="1"/>
        <v>434000</v>
      </c>
      <c r="O20" s="24">
        <v>0</v>
      </c>
      <c r="P20" s="23">
        <v>62000</v>
      </c>
      <c r="Q20" s="20" t="s">
        <v>824</v>
      </c>
      <c r="R20" s="20" t="s">
        <v>825</v>
      </c>
      <c r="S20" s="20" t="s">
        <v>12</v>
      </c>
      <c r="T20" s="20" t="s">
        <v>826</v>
      </c>
      <c r="U20" s="20" t="s">
        <v>12</v>
      </c>
      <c r="V20" s="20" t="s">
        <v>827</v>
      </c>
      <c r="W20" s="20" t="s">
        <v>827</v>
      </c>
    </row>
    <row r="21" spans="1:23" ht="10.5" customHeight="1" x14ac:dyDescent="0.25">
      <c r="A21" s="19">
        <v>46024</v>
      </c>
      <c r="B21" s="20" t="str">
        <f t="shared" si="0"/>
        <v>02/01/2026NL300203</v>
      </c>
      <c r="C21" s="21" t="s">
        <v>832</v>
      </c>
      <c r="D21" s="21" t="s">
        <v>819</v>
      </c>
      <c r="E21" s="20" t="s">
        <v>820</v>
      </c>
      <c r="F21" s="20" t="s">
        <v>821</v>
      </c>
      <c r="G21" s="20" t="s">
        <v>833</v>
      </c>
      <c r="H21" s="20" t="s">
        <v>346</v>
      </c>
      <c r="I21" s="20" t="s">
        <v>347</v>
      </c>
      <c r="J21" s="20" t="s">
        <v>190</v>
      </c>
      <c r="K21" s="22">
        <v>1.1000000000000001</v>
      </c>
      <c r="L21" s="23">
        <v>45000</v>
      </c>
      <c r="M21" s="23">
        <v>0</v>
      </c>
      <c r="N21" s="24">
        <f t="shared" si="1"/>
        <v>49500.000000000007</v>
      </c>
      <c r="O21" s="24">
        <v>0</v>
      </c>
      <c r="P21" s="23">
        <v>45000</v>
      </c>
      <c r="Q21" s="20" t="s">
        <v>824</v>
      </c>
      <c r="R21" s="20" t="s">
        <v>825</v>
      </c>
      <c r="S21" s="20" t="s">
        <v>12</v>
      </c>
      <c r="T21" s="20" t="s">
        <v>826</v>
      </c>
      <c r="U21" s="20" t="s">
        <v>12</v>
      </c>
      <c r="V21" s="20" t="s">
        <v>827</v>
      </c>
      <c r="W21" s="20" t="s">
        <v>827</v>
      </c>
    </row>
    <row r="22" spans="1:23" ht="10.5" customHeight="1" x14ac:dyDescent="0.25">
      <c r="A22" s="19">
        <v>46024</v>
      </c>
      <c r="B22" s="20" t="str">
        <f t="shared" si="0"/>
        <v>02/01/2026NL300209</v>
      </c>
      <c r="C22" s="21" t="s">
        <v>832</v>
      </c>
      <c r="D22" s="21" t="s">
        <v>819</v>
      </c>
      <c r="E22" s="20" t="s">
        <v>820</v>
      </c>
      <c r="F22" s="20" t="s">
        <v>821</v>
      </c>
      <c r="G22" s="20" t="s">
        <v>833</v>
      </c>
      <c r="H22" s="20" t="s">
        <v>797</v>
      </c>
      <c r="I22" s="20" t="s">
        <v>798</v>
      </c>
      <c r="J22" s="20" t="s">
        <v>190</v>
      </c>
      <c r="K22" s="22">
        <v>1</v>
      </c>
      <c r="L22" s="23">
        <v>30000</v>
      </c>
      <c r="M22" s="23">
        <v>0</v>
      </c>
      <c r="N22" s="24">
        <f t="shared" si="1"/>
        <v>30000</v>
      </c>
      <c r="O22" s="24">
        <v>0</v>
      </c>
      <c r="P22" s="23">
        <v>30000</v>
      </c>
      <c r="Q22" s="20" t="s">
        <v>824</v>
      </c>
      <c r="R22" s="20" t="s">
        <v>825</v>
      </c>
      <c r="S22" s="20" t="s">
        <v>12</v>
      </c>
      <c r="T22" s="20" t="s">
        <v>826</v>
      </c>
      <c r="U22" s="20" t="s">
        <v>12</v>
      </c>
      <c r="V22" s="20" t="s">
        <v>827</v>
      </c>
      <c r="W22" s="20" t="s">
        <v>827</v>
      </c>
    </row>
    <row r="23" spans="1:23" ht="10.5" customHeight="1" x14ac:dyDescent="0.25">
      <c r="A23" s="19">
        <v>46024</v>
      </c>
      <c r="B23" s="20" t="str">
        <f t="shared" si="0"/>
        <v>02/01/2026NL300029</v>
      </c>
      <c r="C23" s="21" t="s">
        <v>832</v>
      </c>
      <c r="D23" s="21" t="s">
        <v>819</v>
      </c>
      <c r="E23" s="20" t="s">
        <v>820</v>
      </c>
      <c r="F23" s="20" t="s">
        <v>821</v>
      </c>
      <c r="G23" s="20" t="s">
        <v>833</v>
      </c>
      <c r="H23" s="20" t="s">
        <v>322</v>
      </c>
      <c r="I23" s="20" t="s">
        <v>323</v>
      </c>
      <c r="J23" s="20" t="s">
        <v>190</v>
      </c>
      <c r="K23" s="22">
        <v>0.6</v>
      </c>
      <c r="L23" s="23">
        <v>22000</v>
      </c>
      <c r="M23" s="23">
        <v>0</v>
      </c>
      <c r="N23" s="24">
        <f t="shared" si="1"/>
        <v>13200</v>
      </c>
      <c r="O23" s="24">
        <v>0</v>
      </c>
      <c r="P23" s="23">
        <v>22000</v>
      </c>
      <c r="Q23" s="20" t="s">
        <v>824</v>
      </c>
      <c r="R23" s="20" t="s">
        <v>825</v>
      </c>
      <c r="S23" s="20" t="s">
        <v>12</v>
      </c>
      <c r="T23" s="20" t="s">
        <v>826</v>
      </c>
      <c r="U23" s="20" t="s">
        <v>12</v>
      </c>
      <c r="V23" s="20" t="s">
        <v>827</v>
      </c>
      <c r="W23" s="20" t="s">
        <v>827</v>
      </c>
    </row>
    <row r="24" spans="1:23" ht="10.5" customHeight="1" x14ac:dyDescent="0.25">
      <c r="A24" s="19">
        <v>46024</v>
      </c>
      <c r="B24" s="20" t="str">
        <f t="shared" si="0"/>
        <v>02/01/2026NL300030</v>
      </c>
      <c r="C24" s="21" t="s">
        <v>832</v>
      </c>
      <c r="D24" s="21" t="s">
        <v>819</v>
      </c>
      <c r="E24" s="20" t="s">
        <v>820</v>
      </c>
      <c r="F24" s="20" t="s">
        <v>821</v>
      </c>
      <c r="G24" s="20" t="s">
        <v>833</v>
      </c>
      <c r="H24" s="20" t="s">
        <v>326</v>
      </c>
      <c r="I24" s="20" t="s">
        <v>834</v>
      </c>
      <c r="J24" s="20" t="s">
        <v>190</v>
      </c>
      <c r="K24" s="22">
        <v>0.6</v>
      </c>
      <c r="L24" s="23">
        <v>34000</v>
      </c>
      <c r="M24" s="23">
        <v>0</v>
      </c>
      <c r="N24" s="24">
        <f t="shared" si="1"/>
        <v>20400</v>
      </c>
      <c r="O24" s="24">
        <v>0</v>
      </c>
      <c r="P24" s="23">
        <v>34000</v>
      </c>
      <c r="Q24" s="20" t="s">
        <v>824</v>
      </c>
      <c r="R24" s="20" t="s">
        <v>825</v>
      </c>
      <c r="S24" s="20" t="s">
        <v>12</v>
      </c>
      <c r="T24" s="20" t="s">
        <v>826</v>
      </c>
      <c r="U24" s="20" t="s">
        <v>12</v>
      </c>
      <c r="V24" s="20" t="s">
        <v>827</v>
      </c>
      <c r="W24" s="20" t="s">
        <v>827</v>
      </c>
    </row>
    <row r="25" spans="1:23" ht="10.5" customHeight="1" x14ac:dyDescent="0.25">
      <c r="A25" s="19">
        <v>46024</v>
      </c>
      <c r="B25" s="20" t="str">
        <f t="shared" si="0"/>
        <v>02/01/2026NL300062</v>
      </c>
      <c r="C25" s="21" t="s">
        <v>832</v>
      </c>
      <c r="D25" s="21" t="s">
        <v>819</v>
      </c>
      <c r="E25" s="20" t="s">
        <v>820</v>
      </c>
      <c r="F25" s="20" t="s">
        <v>821</v>
      </c>
      <c r="G25" s="20" t="s">
        <v>833</v>
      </c>
      <c r="H25" s="20" t="s">
        <v>468</v>
      </c>
      <c r="I25" s="20" t="s">
        <v>469</v>
      </c>
      <c r="J25" s="20" t="s">
        <v>190</v>
      </c>
      <c r="K25" s="22">
        <v>0.1</v>
      </c>
      <c r="L25" s="23">
        <v>65000</v>
      </c>
      <c r="M25" s="23">
        <v>0</v>
      </c>
      <c r="N25" s="24">
        <f t="shared" si="1"/>
        <v>6500</v>
      </c>
      <c r="O25" s="24">
        <v>0</v>
      </c>
      <c r="P25" s="23">
        <v>65000</v>
      </c>
      <c r="Q25" s="20" t="s">
        <v>824</v>
      </c>
      <c r="R25" s="20" t="s">
        <v>825</v>
      </c>
      <c r="S25" s="20" t="s">
        <v>12</v>
      </c>
      <c r="T25" s="20" t="s">
        <v>826</v>
      </c>
      <c r="U25" s="20" t="s">
        <v>12</v>
      </c>
      <c r="V25" s="20" t="s">
        <v>827</v>
      </c>
      <c r="W25" s="20" t="s">
        <v>827</v>
      </c>
    </row>
    <row r="26" spans="1:23" ht="10.5" customHeight="1" x14ac:dyDescent="0.25">
      <c r="A26" s="19">
        <v>46024</v>
      </c>
      <c r="B26" s="20" t="str">
        <f t="shared" si="0"/>
        <v>02/01/2026NL300119</v>
      </c>
      <c r="C26" s="21" t="s">
        <v>832</v>
      </c>
      <c r="D26" s="21" t="s">
        <v>819</v>
      </c>
      <c r="E26" s="20" t="s">
        <v>820</v>
      </c>
      <c r="F26" s="20" t="s">
        <v>821</v>
      </c>
      <c r="G26" s="20" t="s">
        <v>833</v>
      </c>
      <c r="H26" s="20" t="s">
        <v>652</v>
      </c>
      <c r="I26" s="20" t="s">
        <v>653</v>
      </c>
      <c r="J26" s="20" t="s">
        <v>190</v>
      </c>
      <c r="K26" s="22">
        <v>5</v>
      </c>
      <c r="L26" s="23">
        <v>21000</v>
      </c>
      <c r="M26" s="23">
        <v>0</v>
      </c>
      <c r="N26" s="24">
        <f t="shared" si="1"/>
        <v>105000</v>
      </c>
      <c r="O26" s="24">
        <v>0</v>
      </c>
      <c r="P26" s="23">
        <v>21000</v>
      </c>
      <c r="Q26" s="20" t="s">
        <v>824</v>
      </c>
      <c r="R26" s="20" t="s">
        <v>825</v>
      </c>
      <c r="S26" s="20" t="s">
        <v>12</v>
      </c>
      <c r="T26" s="20" t="s">
        <v>826</v>
      </c>
      <c r="U26" s="20" t="s">
        <v>12</v>
      </c>
      <c r="V26" s="20" t="s">
        <v>827</v>
      </c>
      <c r="W26" s="20" t="s">
        <v>827</v>
      </c>
    </row>
    <row r="27" spans="1:23" ht="10.5" customHeight="1" x14ac:dyDescent="0.25">
      <c r="A27" s="19">
        <v>46024</v>
      </c>
      <c r="B27" s="20" t="str">
        <f t="shared" si="0"/>
        <v>02/01/2026NL600004</v>
      </c>
      <c r="C27" s="21" t="s">
        <v>832</v>
      </c>
      <c r="D27" s="21" t="s">
        <v>819</v>
      </c>
      <c r="E27" s="20" t="s">
        <v>820</v>
      </c>
      <c r="F27" s="20" t="s">
        <v>821</v>
      </c>
      <c r="G27" s="20" t="s">
        <v>833</v>
      </c>
      <c r="H27" s="20" t="s">
        <v>427</v>
      </c>
      <c r="I27" s="20" t="s">
        <v>51</v>
      </c>
      <c r="J27" s="20" t="s">
        <v>190</v>
      </c>
      <c r="K27" s="22">
        <v>20</v>
      </c>
      <c r="L27" s="23">
        <v>18000</v>
      </c>
      <c r="M27" s="23">
        <v>0</v>
      </c>
      <c r="N27" s="24">
        <f t="shared" si="1"/>
        <v>360000</v>
      </c>
      <c r="O27" s="24">
        <v>0</v>
      </c>
      <c r="P27" s="23">
        <v>18000</v>
      </c>
      <c r="Q27" s="20" t="s">
        <v>824</v>
      </c>
      <c r="R27" s="20" t="s">
        <v>825</v>
      </c>
      <c r="S27" s="20" t="s">
        <v>12</v>
      </c>
      <c r="T27" s="20" t="s">
        <v>826</v>
      </c>
      <c r="U27" s="20" t="s">
        <v>12</v>
      </c>
      <c r="V27" s="20" t="s">
        <v>827</v>
      </c>
      <c r="W27" s="20" t="s">
        <v>827</v>
      </c>
    </row>
    <row r="28" spans="1:23" ht="10.5" customHeight="1" x14ac:dyDescent="0.25">
      <c r="A28" s="19">
        <v>46024</v>
      </c>
      <c r="B28" s="20" t="str">
        <f t="shared" si="0"/>
        <v>02/01/2026NL600067</v>
      </c>
      <c r="C28" s="21" t="s">
        <v>832</v>
      </c>
      <c r="D28" s="21" t="s">
        <v>819</v>
      </c>
      <c r="E28" s="20" t="s">
        <v>820</v>
      </c>
      <c r="F28" s="20" t="s">
        <v>821</v>
      </c>
      <c r="G28" s="20" t="s">
        <v>833</v>
      </c>
      <c r="H28" s="20" t="s">
        <v>312</v>
      </c>
      <c r="I28" s="20" t="s">
        <v>55</v>
      </c>
      <c r="J28" s="20" t="s">
        <v>190</v>
      </c>
      <c r="K28" s="22">
        <v>0.7</v>
      </c>
      <c r="L28" s="23">
        <v>75000</v>
      </c>
      <c r="M28" s="23">
        <v>0</v>
      </c>
      <c r="N28" s="24">
        <f t="shared" si="1"/>
        <v>52500</v>
      </c>
      <c r="O28" s="24">
        <v>0</v>
      </c>
      <c r="P28" s="23">
        <v>75000</v>
      </c>
      <c r="Q28" s="20" t="s">
        <v>824</v>
      </c>
      <c r="R28" s="20" t="s">
        <v>825</v>
      </c>
      <c r="S28" s="20" t="s">
        <v>12</v>
      </c>
      <c r="T28" s="20" t="s">
        <v>826</v>
      </c>
      <c r="U28" s="20" t="s">
        <v>12</v>
      </c>
      <c r="V28" s="20" t="s">
        <v>827</v>
      </c>
      <c r="W28" s="20" t="s">
        <v>827</v>
      </c>
    </row>
    <row r="29" spans="1:23" ht="10.5" customHeight="1" x14ac:dyDescent="0.25">
      <c r="A29" s="19">
        <v>46024</v>
      </c>
      <c r="B29" s="20" t="str">
        <f t="shared" si="0"/>
        <v>02/01/2026NL300018</v>
      </c>
      <c r="C29" s="21" t="s">
        <v>832</v>
      </c>
      <c r="D29" s="21" t="s">
        <v>819</v>
      </c>
      <c r="E29" s="20" t="s">
        <v>820</v>
      </c>
      <c r="F29" s="20" t="s">
        <v>821</v>
      </c>
      <c r="G29" s="20" t="s">
        <v>833</v>
      </c>
      <c r="H29" s="20" t="s">
        <v>294</v>
      </c>
      <c r="I29" s="20" t="s">
        <v>830</v>
      </c>
      <c r="J29" s="20" t="s">
        <v>190</v>
      </c>
      <c r="K29" s="22">
        <v>1.5</v>
      </c>
      <c r="L29" s="23">
        <v>38000</v>
      </c>
      <c r="M29" s="23">
        <v>0</v>
      </c>
      <c r="N29" s="24">
        <f t="shared" si="1"/>
        <v>57000</v>
      </c>
      <c r="O29" s="24">
        <v>0</v>
      </c>
      <c r="P29" s="23">
        <v>38000</v>
      </c>
      <c r="Q29" s="20" t="s">
        <v>824</v>
      </c>
      <c r="R29" s="20" t="s">
        <v>825</v>
      </c>
      <c r="S29" s="20" t="s">
        <v>12</v>
      </c>
      <c r="T29" s="20" t="s">
        <v>826</v>
      </c>
      <c r="U29" s="20" t="s">
        <v>12</v>
      </c>
      <c r="V29" s="20" t="s">
        <v>827</v>
      </c>
      <c r="W29" s="20" t="s">
        <v>827</v>
      </c>
    </row>
    <row r="30" spans="1:23" ht="10.5" customHeight="1" x14ac:dyDescent="0.25">
      <c r="A30" s="19">
        <v>46024</v>
      </c>
      <c r="B30" s="20" t="str">
        <f t="shared" si="0"/>
        <v>02/01/2026NL300022</v>
      </c>
      <c r="C30" s="21" t="s">
        <v>832</v>
      </c>
      <c r="D30" s="21" t="s">
        <v>819</v>
      </c>
      <c r="E30" s="20" t="s">
        <v>820</v>
      </c>
      <c r="F30" s="20" t="s">
        <v>821</v>
      </c>
      <c r="G30" s="20" t="s">
        <v>833</v>
      </c>
      <c r="H30" s="20" t="s">
        <v>305</v>
      </c>
      <c r="I30" s="20" t="s">
        <v>67</v>
      </c>
      <c r="J30" s="20" t="s">
        <v>190</v>
      </c>
      <c r="K30" s="22">
        <v>14</v>
      </c>
      <c r="L30" s="23">
        <v>18000</v>
      </c>
      <c r="M30" s="23">
        <v>0</v>
      </c>
      <c r="N30" s="24">
        <f t="shared" si="1"/>
        <v>252000</v>
      </c>
      <c r="O30" s="24">
        <v>0</v>
      </c>
      <c r="P30" s="23">
        <v>18000</v>
      </c>
      <c r="Q30" s="20" t="s">
        <v>824</v>
      </c>
      <c r="R30" s="20" t="s">
        <v>825</v>
      </c>
      <c r="S30" s="20" t="s">
        <v>12</v>
      </c>
      <c r="T30" s="20" t="s">
        <v>826</v>
      </c>
      <c r="U30" s="20" t="s">
        <v>12</v>
      </c>
      <c r="V30" s="20" t="s">
        <v>827</v>
      </c>
      <c r="W30" s="20" t="s">
        <v>827</v>
      </c>
    </row>
    <row r="31" spans="1:23" ht="10.5" customHeight="1" x14ac:dyDescent="0.25">
      <c r="A31" s="19">
        <v>46024</v>
      </c>
      <c r="B31" s="20" t="str">
        <f t="shared" si="0"/>
        <v>02/01/2026NL300033</v>
      </c>
      <c r="C31" s="21" t="s">
        <v>832</v>
      </c>
      <c r="D31" s="21" t="s">
        <v>819</v>
      </c>
      <c r="E31" s="20" t="s">
        <v>820</v>
      </c>
      <c r="F31" s="20" t="s">
        <v>821</v>
      </c>
      <c r="G31" s="20" t="s">
        <v>833</v>
      </c>
      <c r="H31" s="20" t="s">
        <v>335</v>
      </c>
      <c r="I31" s="20" t="s">
        <v>823</v>
      </c>
      <c r="J31" s="20" t="s">
        <v>190</v>
      </c>
      <c r="K31" s="22">
        <v>0.97</v>
      </c>
      <c r="L31" s="23">
        <v>13000</v>
      </c>
      <c r="M31" s="23">
        <v>0</v>
      </c>
      <c r="N31" s="24">
        <f t="shared" si="1"/>
        <v>12610</v>
      </c>
      <c r="O31" s="24">
        <v>0</v>
      </c>
      <c r="P31" s="23">
        <v>13000</v>
      </c>
      <c r="Q31" s="20" t="s">
        <v>824</v>
      </c>
      <c r="R31" s="20" t="s">
        <v>825</v>
      </c>
      <c r="S31" s="20" t="s">
        <v>12</v>
      </c>
      <c r="T31" s="20" t="s">
        <v>826</v>
      </c>
      <c r="U31" s="20" t="s">
        <v>12</v>
      </c>
      <c r="V31" s="20" t="s">
        <v>827</v>
      </c>
      <c r="W31" s="20" t="s">
        <v>827</v>
      </c>
    </row>
    <row r="32" spans="1:23" ht="10.5" customHeight="1" x14ac:dyDescent="0.25">
      <c r="A32" s="19">
        <v>46024</v>
      </c>
      <c r="B32" s="20" t="str">
        <f t="shared" si="0"/>
        <v>02/01/2026NL300036</v>
      </c>
      <c r="C32" s="21" t="s">
        <v>832</v>
      </c>
      <c r="D32" s="21" t="s">
        <v>819</v>
      </c>
      <c r="E32" s="20" t="s">
        <v>820</v>
      </c>
      <c r="F32" s="20" t="s">
        <v>821</v>
      </c>
      <c r="G32" s="20" t="s">
        <v>833</v>
      </c>
      <c r="H32" s="20" t="s">
        <v>357</v>
      </c>
      <c r="I32" s="20" t="s">
        <v>17</v>
      </c>
      <c r="J32" s="20" t="s">
        <v>190</v>
      </c>
      <c r="K32" s="22">
        <v>1</v>
      </c>
      <c r="L32" s="23">
        <v>47000</v>
      </c>
      <c r="M32" s="23">
        <v>0</v>
      </c>
      <c r="N32" s="24">
        <f t="shared" si="1"/>
        <v>47000</v>
      </c>
      <c r="O32" s="24">
        <v>0</v>
      </c>
      <c r="P32" s="23">
        <v>47000</v>
      </c>
      <c r="Q32" s="20" t="s">
        <v>824</v>
      </c>
      <c r="R32" s="20" t="s">
        <v>825</v>
      </c>
      <c r="S32" s="20" t="s">
        <v>12</v>
      </c>
      <c r="T32" s="20" t="s">
        <v>826</v>
      </c>
      <c r="U32" s="20" t="s">
        <v>12</v>
      </c>
      <c r="V32" s="20" t="s">
        <v>827</v>
      </c>
      <c r="W32" s="20" t="s">
        <v>827</v>
      </c>
    </row>
    <row r="33" spans="1:23" ht="10.5" customHeight="1" x14ac:dyDescent="0.25">
      <c r="A33" s="19">
        <v>46024</v>
      </c>
      <c r="B33" s="20" t="str">
        <f t="shared" si="0"/>
        <v>02/01/2026NL300058</v>
      </c>
      <c r="C33" s="21" t="s">
        <v>832</v>
      </c>
      <c r="D33" s="21" t="s">
        <v>819</v>
      </c>
      <c r="E33" s="20" t="s">
        <v>820</v>
      </c>
      <c r="F33" s="20" t="s">
        <v>821</v>
      </c>
      <c r="G33" s="20" t="s">
        <v>833</v>
      </c>
      <c r="H33" s="20" t="s">
        <v>450</v>
      </c>
      <c r="I33" s="20" t="s">
        <v>19</v>
      </c>
      <c r="J33" s="20" t="s">
        <v>190</v>
      </c>
      <c r="K33" s="22">
        <v>1.6</v>
      </c>
      <c r="L33" s="23">
        <v>55000</v>
      </c>
      <c r="M33" s="23">
        <v>0</v>
      </c>
      <c r="N33" s="24">
        <f t="shared" si="1"/>
        <v>88000</v>
      </c>
      <c r="O33" s="24">
        <v>0</v>
      </c>
      <c r="P33" s="23">
        <v>55000</v>
      </c>
      <c r="Q33" s="20" t="s">
        <v>824</v>
      </c>
      <c r="R33" s="20" t="s">
        <v>825</v>
      </c>
      <c r="S33" s="20" t="s">
        <v>12</v>
      </c>
      <c r="T33" s="20" t="s">
        <v>826</v>
      </c>
      <c r="U33" s="20" t="s">
        <v>12</v>
      </c>
      <c r="V33" s="20" t="s">
        <v>827</v>
      </c>
      <c r="W33" s="20" t="s">
        <v>827</v>
      </c>
    </row>
    <row r="34" spans="1:23" ht="10.5" customHeight="1" x14ac:dyDescent="0.25">
      <c r="A34" s="19">
        <v>46024</v>
      </c>
      <c r="B34" s="20" t="str">
        <f t="shared" si="0"/>
        <v>02/01/2026NL300074</v>
      </c>
      <c r="C34" s="21" t="s">
        <v>832</v>
      </c>
      <c r="D34" s="21" t="s">
        <v>819</v>
      </c>
      <c r="E34" s="20" t="s">
        <v>820</v>
      </c>
      <c r="F34" s="20" t="s">
        <v>821</v>
      </c>
      <c r="G34" s="20" t="s">
        <v>833</v>
      </c>
      <c r="H34" s="20" t="s">
        <v>503</v>
      </c>
      <c r="I34" s="20" t="s">
        <v>73</v>
      </c>
      <c r="J34" s="20" t="s">
        <v>190</v>
      </c>
      <c r="K34" s="22">
        <v>1.2</v>
      </c>
      <c r="L34" s="23">
        <v>18000</v>
      </c>
      <c r="M34" s="23">
        <v>0</v>
      </c>
      <c r="N34" s="24">
        <f t="shared" si="1"/>
        <v>21600</v>
      </c>
      <c r="O34" s="24">
        <v>0</v>
      </c>
      <c r="P34" s="23">
        <v>18000</v>
      </c>
      <c r="Q34" s="20" t="s">
        <v>824</v>
      </c>
      <c r="R34" s="20" t="s">
        <v>825</v>
      </c>
      <c r="S34" s="20" t="s">
        <v>12</v>
      </c>
      <c r="T34" s="20" t="s">
        <v>826</v>
      </c>
      <c r="U34" s="20" t="s">
        <v>12</v>
      </c>
      <c r="V34" s="20" t="s">
        <v>827</v>
      </c>
      <c r="W34" s="20" t="s">
        <v>827</v>
      </c>
    </row>
    <row r="35" spans="1:23" ht="10.5" customHeight="1" x14ac:dyDescent="0.25">
      <c r="A35" s="19">
        <v>46024</v>
      </c>
      <c r="B35" s="20" t="str">
        <f t="shared" si="0"/>
        <v>02/01/2026NL300084</v>
      </c>
      <c r="C35" s="21" t="s">
        <v>832</v>
      </c>
      <c r="D35" s="21" t="s">
        <v>819</v>
      </c>
      <c r="E35" s="20" t="s">
        <v>820</v>
      </c>
      <c r="F35" s="20" t="s">
        <v>821</v>
      </c>
      <c r="G35" s="20" t="s">
        <v>833</v>
      </c>
      <c r="H35" s="20" t="s">
        <v>562</v>
      </c>
      <c r="I35" s="20" t="s">
        <v>563</v>
      </c>
      <c r="J35" s="20" t="s">
        <v>190</v>
      </c>
      <c r="K35" s="22">
        <v>3.2</v>
      </c>
      <c r="L35" s="23">
        <v>22000</v>
      </c>
      <c r="M35" s="23">
        <v>0</v>
      </c>
      <c r="N35" s="24">
        <f t="shared" si="1"/>
        <v>70400</v>
      </c>
      <c r="O35" s="24">
        <v>0</v>
      </c>
      <c r="P35" s="23">
        <v>22000</v>
      </c>
      <c r="Q35" s="20" t="s">
        <v>824</v>
      </c>
      <c r="R35" s="20" t="s">
        <v>825</v>
      </c>
      <c r="S35" s="20" t="s">
        <v>12</v>
      </c>
      <c r="T35" s="20" t="s">
        <v>826</v>
      </c>
      <c r="U35" s="20" t="s">
        <v>12</v>
      </c>
      <c r="V35" s="20" t="s">
        <v>827</v>
      </c>
      <c r="W35" s="20" t="s">
        <v>827</v>
      </c>
    </row>
    <row r="36" spans="1:23" ht="10.5" customHeight="1" x14ac:dyDescent="0.25">
      <c r="A36" s="19">
        <v>46024</v>
      </c>
      <c r="B36" s="20" t="str">
        <f t="shared" si="0"/>
        <v>02/01/2026NL300085</v>
      </c>
      <c r="C36" s="21" t="s">
        <v>832</v>
      </c>
      <c r="D36" s="21" t="s">
        <v>819</v>
      </c>
      <c r="E36" s="20" t="s">
        <v>820</v>
      </c>
      <c r="F36" s="20" t="s">
        <v>821</v>
      </c>
      <c r="G36" s="20" t="s">
        <v>833</v>
      </c>
      <c r="H36" s="20" t="s">
        <v>564</v>
      </c>
      <c r="I36" s="20" t="s">
        <v>565</v>
      </c>
      <c r="J36" s="20" t="s">
        <v>190</v>
      </c>
      <c r="K36" s="22">
        <v>1.7</v>
      </c>
      <c r="L36" s="23">
        <v>45000</v>
      </c>
      <c r="M36" s="23">
        <v>0</v>
      </c>
      <c r="N36" s="24">
        <f t="shared" si="1"/>
        <v>76500</v>
      </c>
      <c r="O36" s="24">
        <v>0</v>
      </c>
      <c r="P36" s="23">
        <v>45000</v>
      </c>
      <c r="Q36" s="20" t="s">
        <v>824</v>
      </c>
      <c r="R36" s="20" t="s">
        <v>825</v>
      </c>
      <c r="S36" s="20" t="s">
        <v>12</v>
      </c>
      <c r="T36" s="20" t="s">
        <v>826</v>
      </c>
      <c r="U36" s="20" t="s">
        <v>12</v>
      </c>
      <c r="V36" s="20" t="s">
        <v>827</v>
      </c>
      <c r="W36" s="20" t="s">
        <v>827</v>
      </c>
    </row>
    <row r="37" spans="1:23" ht="10.5" customHeight="1" x14ac:dyDescent="0.25">
      <c r="A37" s="19">
        <v>46024</v>
      </c>
      <c r="B37" s="20" t="str">
        <f t="shared" si="0"/>
        <v>02/01/2026NL300090</v>
      </c>
      <c r="C37" s="21" t="s">
        <v>832</v>
      </c>
      <c r="D37" s="21" t="s">
        <v>819</v>
      </c>
      <c r="E37" s="20" t="s">
        <v>820</v>
      </c>
      <c r="F37" s="20" t="s">
        <v>821</v>
      </c>
      <c r="G37" s="20" t="s">
        <v>833</v>
      </c>
      <c r="H37" s="20" t="s">
        <v>578</v>
      </c>
      <c r="I37" s="20" t="s">
        <v>37</v>
      </c>
      <c r="J37" s="20" t="s">
        <v>190</v>
      </c>
      <c r="K37" s="22">
        <v>3</v>
      </c>
      <c r="L37" s="23">
        <v>145000</v>
      </c>
      <c r="M37" s="23">
        <v>0</v>
      </c>
      <c r="N37" s="24">
        <f t="shared" si="1"/>
        <v>435000</v>
      </c>
      <c r="O37" s="24">
        <v>0</v>
      </c>
      <c r="P37" s="23">
        <v>145000</v>
      </c>
      <c r="Q37" s="20" t="s">
        <v>824</v>
      </c>
      <c r="R37" s="20" t="s">
        <v>825</v>
      </c>
      <c r="S37" s="20" t="s">
        <v>12</v>
      </c>
      <c r="T37" s="20" t="s">
        <v>826</v>
      </c>
      <c r="U37" s="20" t="s">
        <v>12</v>
      </c>
      <c r="V37" s="20" t="s">
        <v>827</v>
      </c>
      <c r="W37" s="20" t="s">
        <v>827</v>
      </c>
    </row>
    <row r="38" spans="1:23" ht="10.5" customHeight="1" x14ac:dyDescent="0.25">
      <c r="A38" s="19">
        <v>46024</v>
      </c>
      <c r="B38" s="20" t="str">
        <f t="shared" si="0"/>
        <v>02/01/2026NL300091</v>
      </c>
      <c r="C38" s="21" t="s">
        <v>832</v>
      </c>
      <c r="D38" s="21" t="s">
        <v>819</v>
      </c>
      <c r="E38" s="20" t="s">
        <v>820</v>
      </c>
      <c r="F38" s="20" t="s">
        <v>821</v>
      </c>
      <c r="G38" s="20" t="s">
        <v>833</v>
      </c>
      <c r="H38" s="20" t="s">
        <v>580</v>
      </c>
      <c r="I38" s="20" t="s">
        <v>39</v>
      </c>
      <c r="J38" s="20" t="s">
        <v>190</v>
      </c>
      <c r="K38" s="22">
        <v>3</v>
      </c>
      <c r="L38" s="23">
        <v>47000</v>
      </c>
      <c r="M38" s="23">
        <v>0</v>
      </c>
      <c r="N38" s="24">
        <f t="shared" si="1"/>
        <v>141000</v>
      </c>
      <c r="O38" s="24">
        <v>0</v>
      </c>
      <c r="P38" s="23">
        <v>47000</v>
      </c>
      <c r="Q38" s="20" t="s">
        <v>824</v>
      </c>
      <c r="R38" s="20" t="s">
        <v>825</v>
      </c>
      <c r="S38" s="20" t="s">
        <v>12</v>
      </c>
      <c r="T38" s="20" t="s">
        <v>826</v>
      </c>
      <c r="U38" s="20" t="s">
        <v>12</v>
      </c>
      <c r="V38" s="20" t="s">
        <v>827</v>
      </c>
      <c r="W38" s="20" t="s">
        <v>827</v>
      </c>
    </row>
    <row r="39" spans="1:23" ht="10.5" customHeight="1" x14ac:dyDescent="0.25">
      <c r="A39" s="19">
        <v>46024</v>
      </c>
      <c r="B39" s="20" t="str">
        <f t="shared" si="0"/>
        <v>02/01/2026NL300096</v>
      </c>
      <c r="C39" s="21" t="s">
        <v>832</v>
      </c>
      <c r="D39" s="21" t="s">
        <v>819</v>
      </c>
      <c r="E39" s="20" t="s">
        <v>820</v>
      </c>
      <c r="F39" s="20" t="s">
        <v>821</v>
      </c>
      <c r="G39" s="20" t="s">
        <v>833</v>
      </c>
      <c r="H39" s="20" t="s">
        <v>586</v>
      </c>
      <c r="I39" s="20" t="s">
        <v>43</v>
      </c>
      <c r="J39" s="20" t="s">
        <v>190</v>
      </c>
      <c r="K39" s="22">
        <v>4</v>
      </c>
      <c r="L39" s="23">
        <v>45000</v>
      </c>
      <c r="M39" s="23">
        <v>0</v>
      </c>
      <c r="N39" s="24">
        <f t="shared" si="1"/>
        <v>180000</v>
      </c>
      <c r="O39" s="24">
        <v>0</v>
      </c>
      <c r="P39" s="23">
        <v>45000</v>
      </c>
      <c r="Q39" s="20" t="s">
        <v>824</v>
      </c>
      <c r="R39" s="20" t="s">
        <v>825</v>
      </c>
      <c r="S39" s="20" t="s">
        <v>12</v>
      </c>
      <c r="T39" s="20" t="s">
        <v>826</v>
      </c>
      <c r="U39" s="20" t="s">
        <v>12</v>
      </c>
      <c r="V39" s="20" t="s">
        <v>827</v>
      </c>
      <c r="W39" s="20" t="s">
        <v>827</v>
      </c>
    </row>
    <row r="40" spans="1:23" ht="10.5" customHeight="1" x14ac:dyDescent="0.25">
      <c r="A40" s="19">
        <v>46024</v>
      </c>
      <c r="B40" s="20" t="str">
        <f t="shared" si="0"/>
        <v>02/01/2026NL300098</v>
      </c>
      <c r="C40" s="21" t="s">
        <v>832</v>
      </c>
      <c r="D40" s="21" t="s">
        <v>819</v>
      </c>
      <c r="E40" s="20" t="s">
        <v>820</v>
      </c>
      <c r="F40" s="20" t="s">
        <v>821</v>
      </c>
      <c r="G40" s="20" t="s">
        <v>833</v>
      </c>
      <c r="H40" s="20" t="s">
        <v>590</v>
      </c>
      <c r="I40" s="20" t="s">
        <v>591</v>
      </c>
      <c r="J40" s="20" t="s">
        <v>190</v>
      </c>
      <c r="K40" s="22">
        <v>1.9</v>
      </c>
      <c r="L40" s="23">
        <v>95000</v>
      </c>
      <c r="M40" s="23">
        <v>0</v>
      </c>
      <c r="N40" s="24">
        <f t="shared" si="1"/>
        <v>180500</v>
      </c>
      <c r="O40" s="24">
        <v>0</v>
      </c>
      <c r="P40" s="23">
        <v>95000</v>
      </c>
      <c r="Q40" s="20" t="s">
        <v>824</v>
      </c>
      <c r="R40" s="20" t="s">
        <v>825</v>
      </c>
      <c r="S40" s="20" t="s">
        <v>12</v>
      </c>
      <c r="T40" s="20" t="s">
        <v>826</v>
      </c>
      <c r="U40" s="20" t="s">
        <v>12</v>
      </c>
      <c r="V40" s="20" t="s">
        <v>827</v>
      </c>
      <c r="W40" s="20" t="s">
        <v>827</v>
      </c>
    </row>
    <row r="41" spans="1:23" ht="10.5" customHeight="1" x14ac:dyDescent="0.25">
      <c r="A41" s="19">
        <v>46024</v>
      </c>
      <c r="B41" s="20" t="str">
        <f t="shared" si="0"/>
        <v>02/01/2026NL300107</v>
      </c>
      <c r="C41" s="21" t="s">
        <v>832</v>
      </c>
      <c r="D41" s="21" t="s">
        <v>819</v>
      </c>
      <c r="E41" s="20" t="s">
        <v>820</v>
      </c>
      <c r="F41" s="20" t="s">
        <v>821</v>
      </c>
      <c r="G41" s="20" t="s">
        <v>833</v>
      </c>
      <c r="H41" s="20" t="s">
        <v>616</v>
      </c>
      <c r="I41" s="20" t="s">
        <v>828</v>
      </c>
      <c r="J41" s="20" t="s">
        <v>385</v>
      </c>
      <c r="K41" s="22">
        <v>7</v>
      </c>
      <c r="L41" s="23">
        <v>8500</v>
      </c>
      <c r="M41" s="23">
        <v>0</v>
      </c>
      <c r="N41" s="24">
        <f t="shared" si="1"/>
        <v>59500</v>
      </c>
      <c r="O41" s="24">
        <v>0</v>
      </c>
      <c r="P41" s="23">
        <v>8500</v>
      </c>
      <c r="Q41" s="20" t="s">
        <v>824</v>
      </c>
      <c r="R41" s="20" t="s">
        <v>825</v>
      </c>
      <c r="S41" s="20" t="s">
        <v>12</v>
      </c>
      <c r="T41" s="20" t="s">
        <v>826</v>
      </c>
      <c r="U41" s="20" t="s">
        <v>12</v>
      </c>
      <c r="V41" s="20" t="s">
        <v>827</v>
      </c>
      <c r="W41" s="20" t="s">
        <v>827</v>
      </c>
    </row>
    <row r="42" spans="1:23" ht="10.5" customHeight="1" x14ac:dyDescent="0.25">
      <c r="A42" s="19">
        <v>46024</v>
      </c>
      <c r="B42" s="20" t="str">
        <f t="shared" si="0"/>
        <v>02/01/2026NL300142</v>
      </c>
      <c r="C42" s="21" t="s">
        <v>835</v>
      </c>
      <c r="D42" s="21" t="s">
        <v>819</v>
      </c>
      <c r="E42" s="20" t="s">
        <v>820</v>
      </c>
      <c r="F42" s="20" t="s">
        <v>821</v>
      </c>
      <c r="G42" s="20" t="s">
        <v>833</v>
      </c>
      <c r="H42" s="20" t="s">
        <v>766</v>
      </c>
      <c r="I42" s="20" t="s">
        <v>829</v>
      </c>
      <c r="J42" s="20" t="s">
        <v>190</v>
      </c>
      <c r="K42" s="22">
        <v>0</v>
      </c>
      <c r="L42" s="23">
        <v>50000</v>
      </c>
      <c r="M42" s="23">
        <v>0</v>
      </c>
      <c r="N42" s="24">
        <f t="shared" si="1"/>
        <v>0</v>
      </c>
      <c r="O42" s="24">
        <v>0</v>
      </c>
      <c r="P42" s="23">
        <v>50000</v>
      </c>
      <c r="Q42" s="20" t="s">
        <v>824</v>
      </c>
      <c r="R42" s="20" t="s">
        <v>825</v>
      </c>
      <c r="S42" s="20" t="s">
        <v>12</v>
      </c>
      <c r="T42" s="20" t="s">
        <v>826</v>
      </c>
      <c r="U42" s="20" t="s">
        <v>12</v>
      </c>
      <c r="V42" s="20" t="s">
        <v>827</v>
      </c>
      <c r="W42" s="20" t="s">
        <v>827</v>
      </c>
    </row>
    <row r="43" spans="1:23" ht="10.5" customHeight="1" x14ac:dyDescent="0.25">
      <c r="A43" s="19">
        <v>46024</v>
      </c>
      <c r="B43" s="20" t="str">
        <f t="shared" si="0"/>
        <v>02/01/2026NL300147</v>
      </c>
      <c r="C43" s="21" t="s">
        <v>835</v>
      </c>
      <c r="D43" s="21" t="s">
        <v>819</v>
      </c>
      <c r="E43" s="20" t="s">
        <v>820</v>
      </c>
      <c r="F43" s="20" t="s">
        <v>821</v>
      </c>
      <c r="G43" s="20" t="s">
        <v>833</v>
      </c>
      <c r="H43" s="20" t="s">
        <v>790</v>
      </c>
      <c r="I43" s="20" t="s">
        <v>791</v>
      </c>
      <c r="J43" s="20" t="s">
        <v>190</v>
      </c>
      <c r="K43" s="22">
        <v>0</v>
      </c>
      <c r="L43" s="23">
        <v>62000</v>
      </c>
      <c r="M43" s="23">
        <v>0</v>
      </c>
      <c r="N43" s="24">
        <f t="shared" si="1"/>
        <v>0</v>
      </c>
      <c r="O43" s="24">
        <v>0</v>
      </c>
      <c r="P43" s="23">
        <v>62000</v>
      </c>
      <c r="Q43" s="20" t="s">
        <v>824</v>
      </c>
      <c r="R43" s="20" t="s">
        <v>825</v>
      </c>
      <c r="S43" s="20" t="s">
        <v>12</v>
      </c>
      <c r="T43" s="20" t="s">
        <v>826</v>
      </c>
      <c r="U43" s="20" t="s">
        <v>12</v>
      </c>
      <c r="V43" s="20" t="s">
        <v>827</v>
      </c>
      <c r="W43" s="20" t="s">
        <v>827</v>
      </c>
    </row>
    <row r="44" spans="1:23" ht="10.5" customHeight="1" x14ac:dyDescent="0.25">
      <c r="A44" s="19">
        <v>46024</v>
      </c>
      <c r="B44" s="20" t="str">
        <f t="shared" si="0"/>
        <v>02/01/2026NL300018</v>
      </c>
      <c r="C44" s="21" t="s">
        <v>835</v>
      </c>
      <c r="D44" s="21" t="s">
        <v>819</v>
      </c>
      <c r="E44" s="20" t="s">
        <v>820</v>
      </c>
      <c r="F44" s="20" t="s">
        <v>821</v>
      </c>
      <c r="G44" s="20" t="s">
        <v>833</v>
      </c>
      <c r="H44" s="20" t="s">
        <v>294</v>
      </c>
      <c r="I44" s="20" t="s">
        <v>830</v>
      </c>
      <c r="J44" s="20" t="s">
        <v>190</v>
      </c>
      <c r="K44" s="22">
        <v>0</v>
      </c>
      <c r="L44" s="23">
        <v>38000</v>
      </c>
      <c r="M44" s="23">
        <v>0</v>
      </c>
      <c r="N44" s="24">
        <f t="shared" si="1"/>
        <v>0</v>
      </c>
      <c r="O44" s="24">
        <v>0</v>
      </c>
      <c r="P44" s="23">
        <v>38000</v>
      </c>
      <c r="Q44" s="20" t="s">
        <v>824</v>
      </c>
      <c r="R44" s="20" t="s">
        <v>825</v>
      </c>
      <c r="S44" s="20" t="s">
        <v>12</v>
      </c>
      <c r="T44" s="20" t="s">
        <v>826</v>
      </c>
      <c r="U44" s="20" t="s">
        <v>12</v>
      </c>
      <c r="V44" s="20" t="s">
        <v>827</v>
      </c>
      <c r="W44" s="20" t="s">
        <v>827</v>
      </c>
    </row>
    <row r="45" spans="1:23" ht="10.5" customHeight="1" x14ac:dyDescent="0.25">
      <c r="A45" s="19">
        <v>46024</v>
      </c>
      <c r="B45" s="20" t="str">
        <f t="shared" si="0"/>
        <v>02/01/2026NL300033</v>
      </c>
      <c r="C45" s="21" t="s">
        <v>835</v>
      </c>
      <c r="D45" s="21" t="s">
        <v>819</v>
      </c>
      <c r="E45" s="20" t="s">
        <v>820</v>
      </c>
      <c r="F45" s="20" t="s">
        <v>821</v>
      </c>
      <c r="G45" s="20" t="s">
        <v>833</v>
      </c>
      <c r="H45" s="20" t="s">
        <v>335</v>
      </c>
      <c r="I45" s="20" t="s">
        <v>823</v>
      </c>
      <c r="J45" s="20" t="s">
        <v>190</v>
      </c>
      <c r="K45" s="22">
        <v>0</v>
      </c>
      <c r="L45" s="23">
        <v>13000</v>
      </c>
      <c r="M45" s="23">
        <v>0</v>
      </c>
      <c r="N45" s="24">
        <f t="shared" si="1"/>
        <v>0</v>
      </c>
      <c r="O45" s="24">
        <v>0</v>
      </c>
      <c r="P45" s="23">
        <v>13000</v>
      </c>
      <c r="Q45" s="20" t="s">
        <v>824</v>
      </c>
      <c r="R45" s="20" t="s">
        <v>825</v>
      </c>
      <c r="S45" s="20" t="s">
        <v>12</v>
      </c>
      <c r="T45" s="20" t="s">
        <v>826</v>
      </c>
      <c r="U45" s="20" t="s">
        <v>12</v>
      </c>
      <c r="V45" s="20" t="s">
        <v>827</v>
      </c>
      <c r="W45" s="20" t="s">
        <v>827</v>
      </c>
    </row>
    <row r="46" spans="1:23" ht="10.5" customHeight="1" x14ac:dyDescent="0.25">
      <c r="A46" s="19">
        <v>46024</v>
      </c>
      <c r="B46" s="20" t="str">
        <f t="shared" si="0"/>
        <v>02/01/2026NL300058</v>
      </c>
      <c r="C46" s="21" t="s">
        <v>835</v>
      </c>
      <c r="D46" s="21" t="s">
        <v>819</v>
      </c>
      <c r="E46" s="20" t="s">
        <v>820</v>
      </c>
      <c r="F46" s="20" t="s">
        <v>821</v>
      </c>
      <c r="G46" s="20" t="s">
        <v>833</v>
      </c>
      <c r="H46" s="20" t="s">
        <v>450</v>
      </c>
      <c r="I46" s="20" t="s">
        <v>19</v>
      </c>
      <c r="J46" s="20" t="s">
        <v>190</v>
      </c>
      <c r="K46" s="22">
        <v>0</v>
      </c>
      <c r="L46" s="23">
        <v>55000</v>
      </c>
      <c r="M46" s="23">
        <v>0</v>
      </c>
      <c r="N46" s="24">
        <f t="shared" si="1"/>
        <v>0</v>
      </c>
      <c r="O46" s="24">
        <v>0</v>
      </c>
      <c r="P46" s="23">
        <v>55000</v>
      </c>
      <c r="Q46" s="20" t="s">
        <v>824</v>
      </c>
      <c r="R46" s="20" t="s">
        <v>825</v>
      </c>
      <c r="S46" s="20" t="s">
        <v>12</v>
      </c>
      <c r="T46" s="20" t="s">
        <v>826</v>
      </c>
      <c r="U46" s="20" t="s">
        <v>12</v>
      </c>
      <c r="V46" s="20" t="s">
        <v>827</v>
      </c>
      <c r="W46" s="20" t="s">
        <v>827</v>
      </c>
    </row>
    <row r="47" spans="1:23" ht="10.5" customHeight="1" x14ac:dyDescent="0.25">
      <c r="A47" s="19">
        <v>46024</v>
      </c>
      <c r="B47" s="20" t="str">
        <f t="shared" si="0"/>
        <v>02/01/2026NL300084</v>
      </c>
      <c r="C47" s="21" t="s">
        <v>835</v>
      </c>
      <c r="D47" s="21" t="s">
        <v>819</v>
      </c>
      <c r="E47" s="20" t="s">
        <v>820</v>
      </c>
      <c r="F47" s="20" t="s">
        <v>821</v>
      </c>
      <c r="G47" s="20" t="s">
        <v>833</v>
      </c>
      <c r="H47" s="20" t="s">
        <v>562</v>
      </c>
      <c r="I47" s="20" t="s">
        <v>563</v>
      </c>
      <c r="J47" s="20" t="s">
        <v>190</v>
      </c>
      <c r="K47" s="22">
        <v>0</v>
      </c>
      <c r="L47" s="23">
        <v>22000</v>
      </c>
      <c r="M47" s="23">
        <v>0</v>
      </c>
      <c r="N47" s="24">
        <f t="shared" si="1"/>
        <v>0</v>
      </c>
      <c r="O47" s="24">
        <v>0</v>
      </c>
      <c r="P47" s="23">
        <v>22000</v>
      </c>
      <c r="Q47" s="20" t="s">
        <v>824</v>
      </c>
      <c r="R47" s="20" t="s">
        <v>825</v>
      </c>
      <c r="S47" s="20" t="s">
        <v>12</v>
      </c>
      <c r="T47" s="20" t="s">
        <v>826</v>
      </c>
      <c r="U47" s="20" t="s">
        <v>12</v>
      </c>
      <c r="V47" s="20" t="s">
        <v>827</v>
      </c>
      <c r="W47" s="20" t="s">
        <v>827</v>
      </c>
    </row>
    <row r="48" spans="1:23" ht="10.5" customHeight="1" x14ac:dyDescent="0.25">
      <c r="A48" s="19">
        <v>46024</v>
      </c>
      <c r="B48" s="20" t="str">
        <f t="shared" si="0"/>
        <v>02/01/2026NL300085</v>
      </c>
      <c r="C48" s="21" t="s">
        <v>835</v>
      </c>
      <c r="D48" s="21" t="s">
        <v>819</v>
      </c>
      <c r="E48" s="20" t="s">
        <v>820</v>
      </c>
      <c r="F48" s="20" t="s">
        <v>821</v>
      </c>
      <c r="G48" s="20" t="s">
        <v>833</v>
      </c>
      <c r="H48" s="20" t="s">
        <v>564</v>
      </c>
      <c r="I48" s="20" t="s">
        <v>565</v>
      </c>
      <c r="J48" s="20" t="s">
        <v>190</v>
      </c>
      <c r="K48" s="22">
        <v>0</v>
      </c>
      <c r="L48" s="23">
        <v>45000</v>
      </c>
      <c r="M48" s="23">
        <v>0</v>
      </c>
      <c r="N48" s="24">
        <f t="shared" si="1"/>
        <v>0</v>
      </c>
      <c r="O48" s="24">
        <v>0</v>
      </c>
      <c r="P48" s="23">
        <v>45000</v>
      </c>
      <c r="Q48" s="20" t="s">
        <v>824</v>
      </c>
      <c r="R48" s="20" t="s">
        <v>825</v>
      </c>
      <c r="S48" s="20" t="s">
        <v>12</v>
      </c>
      <c r="T48" s="20" t="s">
        <v>826</v>
      </c>
      <c r="U48" s="20" t="s">
        <v>12</v>
      </c>
      <c r="V48" s="20" t="s">
        <v>827</v>
      </c>
      <c r="W48" s="20" t="s">
        <v>827</v>
      </c>
    </row>
    <row r="49" spans="1:23" ht="10.5" customHeight="1" x14ac:dyDescent="0.25">
      <c r="A49" s="19">
        <v>46024</v>
      </c>
      <c r="B49" s="20" t="str">
        <f t="shared" si="0"/>
        <v>02/01/2026NL300107</v>
      </c>
      <c r="C49" s="21" t="s">
        <v>835</v>
      </c>
      <c r="D49" s="21" t="s">
        <v>819</v>
      </c>
      <c r="E49" s="20" t="s">
        <v>820</v>
      </c>
      <c r="F49" s="20" t="s">
        <v>821</v>
      </c>
      <c r="G49" s="20" t="s">
        <v>833</v>
      </c>
      <c r="H49" s="20" t="s">
        <v>616</v>
      </c>
      <c r="I49" s="20" t="s">
        <v>828</v>
      </c>
      <c r="J49" s="20" t="s">
        <v>385</v>
      </c>
      <c r="K49" s="22">
        <v>0</v>
      </c>
      <c r="L49" s="23">
        <v>8500</v>
      </c>
      <c r="M49" s="23">
        <v>0</v>
      </c>
      <c r="N49" s="24">
        <f t="shared" si="1"/>
        <v>0</v>
      </c>
      <c r="O49" s="24">
        <v>0</v>
      </c>
      <c r="P49" s="23">
        <v>8500</v>
      </c>
      <c r="Q49" s="20" t="s">
        <v>824</v>
      </c>
      <c r="R49" s="20" t="s">
        <v>825</v>
      </c>
      <c r="S49" s="20" t="s">
        <v>12</v>
      </c>
      <c r="T49" s="20" t="s">
        <v>826</v>
      </c>
      <c r="U49" s="20" t="s">
        <v>12</v>
      </c>
      <c r="V49" s="20" t="s">
        <v>827</v>
      </c>
      <c r="W49" s="20" t="s">
        <v>827</v>
      </c>
    </row>
    <row r="50" spans="1:23" ht="10.5" customHeight="1" x14ac:dyDescent="0.25">
      <c r="A50" s="19">
        <v>46024</v>
      </c>
      <c r="B50" s="20" t="str">
        <f t="shared" si="0"/>
        <v>02/01/2026NL300113</v>
      </c>
      <c r="C50" s="21" t="s">
        <v>835</v>
      </c>
      <c r="D50" s="21" t="s">
        <v>819</v>
      </c>
      <c r="E50" s="20" t="s">
        <v>820</v>
      </c>
      <c r="F50" s="20" t="s">
        <v>821</v>
      </c>
      <c r="G50" s="20" t="s">
        <v>833</v>
      </c>
      <c r="H50" s="20" t="s">
        <v>627</v>
      </c>
      <c r="I50" s="20" t="s">
        <v>30</v>
      </c>
      <c r="J50" s="20" t="s">
        <v>190</v>
      </c>
      <c r="K50" s="22">
        <v>0</v>
      </c>
      <c r="L50" s="23">
        <v>145000</v>
      </c>
      <c r="M50" s="23">
        <v>0</v>
      </c>
      <c r="N50" s="24">
        <f t="shared" si="1"/>
        <v>0</v>
      </c>
      <c r="O50" s="24">
        <v>0</v>
      </c>
      <c r="P50" s="23">
        <v>145000</v>
      </c>
      <c r="Q50" s="20" t="s">
        <v>824</v>
      </c>
      <c r="R50" s="20" t="s">
        <v>825</v>
      </c>
      <c r="S50" s="20" t="s">
        <v>12</v>
      </c>
      <c r="T50" s="20" t="s">
        <v>826</v>
      </c>
      <c r="U50" s="20" t="s">
        <v>12</v>
      </c>
      <c r="V50" s="20" t="s">
        <v>827</v>
      </c>
      <c r="W50" s="20" t="s">
        <v>827</v>
      </c>
    </row>
    <row r="51" spans="1:23" ht="10.5" customHeight="1" x14ac:dyDescent="0.25">
      <c r="A51" s="19">
        <v>46025</v>
      </c>
      <c r="B51" s="20" t="str">
        <f t="shared" si="0"/>
        <v>03/01/2026NL300029</v>
      </c>
      <c r="C51" s="21" t="s">
        <v>836</v>
      </c>
      <c r="D51" s="21" t="s">
        <v>819</v>
      </c>
      <c r="E51" s="20" t="s">
        <v>820</v>
      </c>
      <c r="F51" s="20" t="s">
        <v>821</v>
      </c>
      <c r="G51" s="20" t="s">
        <v>837</v>
      </c>
      <c r="H51" s="20" t="s">
        <v>322</v>
      </c>
      <c r="I51" s="20" t="s">
        <v>323</v>
      </c>
      <c r="J51" s="20" t="s">
        <v>190</v>
      </c>
      <c r="K51" s="22">
        <v>0.5</v>
      </c>
      <c r="L51" s="23">
        <v>22000</v>
      </c>
      <c r="M51" s="23">
        <v>0</v>
      </c>
      <c r="N51" s="24">
        <f t="shared" si="1"/>
        <v>11000</v>
      </c>
      <c r="O51" s="24">
        <v>0</v>
      </c>
      <c r="P51" s="23">
        <v>22000</v>
      </c>
      <c r="Q51" s="20" t="s">
        <v>824</v>
      </c>
      <c r="R51" s="20" t="s">
        <v>825</v>
      </c>
      <c r="S51" s="20" t="s">
        <v>12</v>
      </c>
      <c r="T51" s="20" t="s">
        <v>826</v>
      </c>
      <c r="U51" s="20" t="s">
        <v>12</v>
      </c>
      <c r="V51" s="20" t="s">
        <v>827</v>
      </c>
      <c r="W51" s="20" t="s">
        <v>827</v>
      </c>
    </row>
    <row r="52" spans="1:23" ht="10.5" customHeight="1" x14ac:dyDescent="0.25">
      <c r="A52" s="19">
        <v>46025</v>
      </c>
      <c r="B52" s="20" t="str">
        <f t="shared" si="0"/>
        <v>03/01/2026NL300030</v>
      </c>
      <c r="C52" s="21" t="s">
        <v>836</v>
      </c>
      <c r="D52" s="21" t="s">
        <v>819</v>
      </c>
      <c r="E52" s="20" t="s">
        <v>820</v>
      </c>
      <c r="F52" s="20" t="s">
        <v>821</v>
      </c>
      <c r="G52" s="20" t="s">
        <v>837</v>
      </c>
      <c r="H52" s="20" t="s">
        <v>326</v>
      </c>
      <c r="I52" s="20" t="s">
        <v>834</v>
      </c>
      <c r="J52" s="20" t="s">
        <v>190</v>
      </c>
      <c r="K52" s="22">
        <v>0.5</v>
      </c>
      <c r="L52" s="23">
        <v>34000</v>
      </c>
      <c r="M52" s="23">
        <v>0</v>
      </c>
      <c r="N52" s="24">
        <f t="shared" si="1"/>
        <v>17000</v>
      </c>
      <c r="O52" s="24">
        <v>0</v>
      </c>
      <c r="P52" s="23">
        <v>34000</v>
      </c>
      <c r="Q52" s="20" t="s">
        <v>824</v>
      </c>
      <c r="R52" s="20" t="s">
        <v>825</v>
      </c>
      <c r="S52" s="20" t="s">
        <v>12</v>
      </c>
      <c r="T52" s="20" t="s">
        <v>826</v>
      </c>
      <c r="U52" s="20" t="s">
        <v>12</v>
      </c>
      <c r="V52" s="20" t="s">
        <v>827</v>
      </c>
      <c r="W52" s="20" t="s">
        <v>827</v>
      </c>
    </row>
    <row r="53" spans="1:23" ht="10.5" customHeight="1" x14ac:dyDescent="0.25">
      <c r="A53" s="19">
        <v>46025</v>
      </c>
      <c r="B53" s="20" t="str">
        <f t="shared" si="0"/>
        <v>03/01/2026NL300062</v>
      </c>
      <c r="C53" s="21" t="s">
        <v>836</v>
      </c>
      <c r="D53" s="21" t="s">
        <v>819</v>
      </c>
      <c r="E53" s="20" t="s">
        <v>820</v>
      </c>
      <c r="F53" s="20" t="s">
        <v>821</v>
      </c>
      <c r="G53" s="20" t="s">
        <v>837</v>
      </c>
      <c r="H53" s="20" t="s">
        <v>468</v>
      </c>
      <c r="I53" s="20" t="s">
        <v>469</v>
      </c>
      <c r="J53" s="20" t="s">
        <v>190</v>
      </c>
      <c r="K53" s="22">
        <v>0.1</v>
      </c>
      <c r="L53" s="23">
        <v>65000</v>
      </c>
      <c r="M53" s="23">
        <v>0</v>
      </c>
      <c r="N53" s="24">
        <f t="shared" si="1"/>
        <v>6500</v>
      </c>
      <c r="O53" s="24">
        <v>0</v>
      </c>
      <c r="P53" s="23">
        <v>65000</v>
      </c>
      <c r="Q53" s="20" t="s">
        <v>824</v>
      </c>
      <c r="R53" s="20" t="s">
        <v>825</v>
      </c>
      <c r="S53" s="20" t="s">
        <v>12</v>
      </c>
      <c r="T53" s="20" t="s">
        <v>826</v>
      </c>
      <c r="U53" s="20" t="s">
        <v>12</v>
      </c>
      <c r="V53" s="20" t="s">
        <v>827</v>
      </c>
      <c r="W53" s="20" t="s">
        <v>827</v>
      </c>
    </row>
    <row r="54" spans="1:23" ht="10.5" customHeight="1" x14ac:dyDescent="0.25">
      <c r="A54" s="19">
        <v>46025</v>
      </c>
      <c r="B54" s="20" t="str">
        <f t="shared" si="0"/>
        <v>03/01/2026NL300119</v>
      </c>
      <c r="C54" s="21" t="s">
        <v>836</v>
      </c>
      <c r="D54" s="21" t="s">
        <v>819</v>
      </c>
      <c r="E54" s="20" t="s">
        <v>820</v>
      </c>
      <c r="F54" s="20" t="s">
        <v>821</v>
      </c>
      <c r="G54" s="20" t="s">
        <v>837</v>
      </c>
      <c r="H54" s="20" t="s">
        <v>652</v>
      </c>
      <c r="I54" s="20" t="s">
        <v>653</v>
      </c>
      <c r="J54" s="20" t="s">
        <v>190</v>
      </c>
      <c r="K54" s="22">
        <v>5</v>
      </c>
      <c r="L54" s="23">
        <v>21000</v>
      </c>
      <c r="M54" s="23">
        <v>0</v>
      </c>
      <c r="N54" s="24">
        <f t="shared" si="1"/>
        <v>105000</v>
      </c>
      <c r="O54" s="24">
        <v>0</v>
      </c>
      <c r="P54" s="23">
        <v>21000</v>
      </c>
      <c r="Q54" s="20" t="s">
        <v>824</v>
      </c>
      <c r="R54" s="20" t="s">
        <v>825</v>
      </c>
      <c r="S54" s="20" t="s">
        <v>12</v>
      </c>
      <c r="T54" s="20" t="s">
        <v>826</v>
      </c>
      <c r="U54" s="20" t="s">
        <v>12</v>
      </c>
      <c r="V54" s="20" t="s">
        <v>827</v>
      </c>
      <c r="W54" s="20" t="s">
        <v>827</v>
      </c>
    </row>
    <row r="55" spans="1:23" ht="10.5" customHeight="1" x14ac:dyDescent="0.25">
      <c r="A55" s="19">
        <v>46025</v>
      </c>
      <c r="B55" s="20" t="str">
        <f t="shared" si="0"/>
        <v>03/01/2026NL600004</v>
      </c>
      <c r="C55" s="21" t="s">
        <v>836</v>
      </c>
      <c r="D55" s="21" t="s">
        <v>819</v>
      </c>
      <c r="E55" s="20" t="s">
        <v>820</v>
      </c>
      <c r="F55" s="20" t="s">
        <v>821</v>
      </c>
      <c r="G55" s="20" t="s">
        <v>837</v>
      </c>
      <c r="H55" s="20" t="s">
        <v>427</v>
      </c>
      <c r="I55" s="20" t="s">
        <v>51</v>
      </c>
      <c r="J55" s="20" t="s">
        <v>190</v>
      </c>
      <c r="K55" s="22">
        <v>14.5</v>
      </c>
      <c r="L55" s="23">
        <v>18000</v>
      </c>
      <c r="M55" s="23">
        <v>0</v>
      </c>
      <c r="N55" s="24">
        <f t="shared" si="1"/>
        <v>261000</v>
      </c>
      <c r="O55" s="24">
        <v>0</v>
      </c>
      <c r="P55" s="23">
        <v>18000</v>
      </c>
      <c r="Q55" s="20" t="s">
        <v>824</v>
      </c>
      <c r="R55" s="20" t="s">
        <v>825</v>
      </c>
      <c r="S55" s="20" t="s">
        <v>12</v>
      </c>
      <c r="T55" s="20" t="s">
        <v>826</v>
      </c>
      <c r="U55" s="20" t="s">
        <v>12</v>
      </c>
      <c r="V55" s="20" t="s">
        <v>827</v>
      </c>
      <c r="W55" s="20" t="s">
        <v>827</v>
      </c>
    </row>
    <row r="56" spans="1:23" ht="10.5" customHeight="1" x14ac:dyDescent="0.25">
      <c r="A56" s="19">
        <v>46025</v>
      </c>
      <c r="B56" s="20" t="str">
        <f t="shared" si="0"/>
        <v>03/01/2026NL300074</v>
      </c>
      <c r="C56" s="21" t="s">
        <v>838</v>
      </c>
      <c r="D56" s="21" t="s">
        <v>819</v>
      </c>
      <c r="E56" s="20" t="s">
        <v>820</v>
      </c>
      <c r="F56" s="20" t="s">
        <v>821</v>
      </c>
      <c r="G56" s="20" t="s">
        <v>837</v>
      </c>
      <c r="H56" s="20" t="s">
        <v>503</v>
      </c>
      <c r="I56" s="20" t="s">
        <v>73</v>
      </c>
      <c r="J56" s="20" t="s">
        <v>190</v>
      </c>
      <c r="K56" s="22">
        <v>1.4</v>
      </c>
      <c r="L56" s="23">
        <v>18000</v>
      </c>
      <c r="M56" s="23">
        <v>0</v>
      </c>
      <c r="N56" s="24">
        <f t="shared" si="1"/>
        <v>25200</v>
      </c>
      <c r="O56" s="24">
        <v>0</v>
      </c>
      <c r="P56" s="23">
        <v>18000</v>
      </c>
      <c r="Q56" s="20" t="s">
        <v>824</v>
      </c>
      <c r="R56" s="20" t="s">
        <v>825</v>
      </c>
      <c r="S56" s="20" t="s">
        <v>12</v>
      </c>
      <c r="T56" s="20" t="s">
        <v>826</v>
      </c>
      <c r="U56" s="20" t="s">
        <v>12</v>
      </c>
      <c r="V56" s="20" t="s">
        <v>827</v>
      </c>
      <c r="W56" s="20" t="s">
        <v>827</v>
      </c>
    </row>
    <row r="57" spans="1:23" ht="10.5" customHeight="1" x14ac:dyDescent="0.25">
      <c r="A57" s="19">
        <v>46025</v>
      </c>
      <c r="B57" s="20" t="str">
        <f t="shared" si="0"/>
        <v>03/01/2026NL300084</v>
      </c>
      <c r="C57" s="21" t="s">
        <v>838</v>
      </c>
      <c r="D57" s="21" t="s">
        <v>819</v>
      </c>
      <c r="E57" s="20" t="s">
        <v>820</v>
      </c>
      <c r="F57" s="20" t="s">
        <v>821</v>
      </c>
      <c r="G57" s="20" t="s">
        <v>837</v>
      </c>
      <c r="H57" s="20" t="s">
        <v>562</v>
      </c>
      <c r="I57" s="20" t="s">
        <v>563</v>
      </c>
      <c r="J57" s="20" t="s">
        <v>190</v>
      </c>
      <c r="K57" s="22">
        <v>0</v>
      </c>
      <c r="L57" s="23">
        <v>22000</v>
      </c>
      <c r="M57" s="23">
        <v>0</v>
      </c>
      <c r="N57" s="24">
        <f t="shared" si="1"/>
        <v>0</v>
      </c>
      <c r="O57" s="24">
        <v>0</v>
      </c>
      <c r="P57" s="23">
        <v>22000</v>
      </c>
      <c r="Q57" s="20" t="s">
        <v>824</v>
      </c>
      <c r="R57" s="20" t="s">
        <v>825</v>
      </c>
      <c r="S57" s="20" t="s">
        <v>12</v>
      </c>
      <c r="T57" s="20" t="s">
        <v>826</v>
      </c>
      <c r="U57" s="20" t="s">
        <v>12</v>
      </c>
      <c r="V57" s="20" t="s">
        <v>827</v>
      </c>
      <c r="W57" s="20" t="s">
        <v>827</v>
      </c>
    </row>
    <row r="58" spans="1:23" ht="10.5" customHeight="1" x14ac:dyDescent="0.25">
      <c r="A58" s="19">
        <v>46025</v>
      </c>
      <c r="B58" s="20" t="str">
        <f t="shared" si="0"/>
        <v>03/01/2026NL300085</v>
      </c>
      <c r="C58" s="21" t="s">
        <v>838</v>
      </c>
      <c r="D58" s="21" t="s">
        <v>819</v>
      </c>
      <c r="E58" s="20" t="s">
        <v>820</v>
      </c>
      <c r="F58" s="20" t="s">
        <v>821</v>
      </c>
      <c r="G58" s="20" t="s">
        <v>837</v>
      </c>
      <c r="H58" s="20" t="s">
        <v>564</v>
      </c>
      <c r="I58" s="20" t="s">
        <v>565</v>
      </c>
      <c r="J58" s="20" t="s">
        <v>190</v>
      </c>
      <c r="K58" s="22">
        <v>0.9</v>
      </c>
      <c r="L58" s="23">
        <v>45000</v>
      </c>
      <c r="M58" s="23">
        <v>0</v>
      </c>
      <c r="N58" s="24">
        <f t="shared" si="1"/>
        <v>40500</v>
      </c>
      <c r="O58" s="24">
        <v>0</v>
      </c>
      <c r="P58" s="23">
        <v>45000</v>
      </c>
      <c r="Q58" s="20" t="s">
        <v>824</v>
      </c>
      <c r="R58" s="20" t="s">
        <v>825</v>
      </c>
      <c r="S58" s="20" t="s">
        <v>12</v>
      </c>
      <c r="T58" s="20" t="s">
        <v>826</v>
      </c>
      <c r="U58" s="20" t="s">
        <v>12</v>
      </c>
      <c r="V58" s="20" t="s">
        <v>827</v>
      </c>
      <c r="W58" s="20" t="s">
        <v>827</v>
      </c>
    </row>
    <row r="59" spans="1:23" ht="10.5" customHeight="1" x14ac:dyDescent="0.25">
      <c r="A59" s="19">
        <v>46025</v>
      </c>
      <c r="B59" s="20" t="str">
        <f t="shared" si="0"/>
        <v>03/01/2026NL300090</v>
      </c>
      <c r="C59" s="21" t="s">
        <v>838</v>
      </c>
      <c r="D59" s="21" t="s">
        <v>819</v>
      </c>
      <c r="E59" s="20" t="s">
        <v>820</v>
      </c>
      <c r="F59" s="20" t="s">
        <v>821</v>
      </c>
      <c r="G59" s="20" t="s">
        <v>837</v>
      </c>
      <c r="H59" s="20" t="s">
        <v>578</v>
      </c>
      <c r="I59" s="20" t="s">
        <v>37</v>
      </c>
      <c r="J59" s="20" t="s">
        <v>190</v>
      </c>
      <c r="K59" s="22">
        <v>3</v>
      </c>
      <c r="L59" s="23">
        <v>145000</v>
      </c>
      <c r="M59" s="23">
        <v>0</v>
      </c>
      <c r="N59" s="24">
        <f t="shared" si="1"/>
        <v>435000</v>
      </c>
      <c r="O59" s="24">
        <v>0</v>
      </c>
      <c r="P59" s="23">
        <v>145000</v>
      </c>
      <c r="Q59" s="20" t="s">
        <v>824</v>
      </c>
      <c r="R59" s="20" t="s">
        <v>825</v>
      </c>
      <c r="S59" s="20" t="s">
        <v>12</v>
      </c>
      <c r="T59" s="20" t="s">
        <v>826</v>
      </c>
      <c r="U59" s="20" t="s">
        <v>12</v>
      </c>
      <c r="V59" s="20" t="s">
        <v>827</v>
      </c>
      <c r="W59" s="20" t="s">
        <v>827</v>
      </c>
    </row>
    <row r="60" spans="1:23" ht="10.5" customHeight="1" x14ac:dyDescent="0.25">
      <c r="A60" s="19">
        <v>46025</v>
      </c>
      <c r="B60" s="20" t="str">
        <f t="shared" si="0"/>
        <v>03/01/2026NL300091</v>
      </c>
      <c r="C60" s="21" t="s">
        <v>838</v>
      </c>
      <c r="D60" s="21" t="s">
        <v>819</v>
      </c>
      <c r="E60" s="20" t="s">
        <v>820</v>
      </c>
      <c r="F60" s="20" t="s">
        <v>821</v>
      </c>
      <c r="G60" s="20" t="s">
        <v>837</v>
      </c>
      <c r="H60" s="20" t="s">
        <v>580</v>
      </c>
      <c r="I60" s="20" t="s">
        <v>39</v>
      </c>
      <c r="J60" s="20" t="s">
        <v>190</v>
      </c>
      <c r="K60" s="22">
        <v>3</v>
      </c>
      <c r="L60" s="23">
        <v>47000</v>
      </c>
      <c r="M60" s="23">
        <v>0</v>
      </c>
      <c r="N60" s="24">
        <f t="shared" si="1"/>
        <v>141000</v>
      </c>
      <c r="O60" s="24">
        <v>0</v>
      </c>
      <c r="P60" s="23">
        <v>47000</v>
      </c>
      <c r="Q60" s="20" t="s">
        <v>824</v>
      </c>
      <c r="R60" s="20" t="s">
        <v>825</v>
      </c>
      <c r="S60" s="20" t="s">
        <v>12</v>
      </c>
      <c r="T60" s="20" t="s">
        <v>826</v>
      </c>
      <c r="U60" s="20" t="s">
        <v>12</v>
      </c>
      <c r="V60" s="20" t="s">
        <v>827</v>
      </c>
      <c r="W60" s="20" t="s">
        <v>827</v>
      </c>
    </row>
    <row r="61" spans="1:23" ht="10.5" customHeight="1" x14ac:dyDescent="0.25">
      <c r="A61" s="19">
        <v>46025</v>
      </c>
      <c r="B61" s="20" t="str">
        <f t="shared" si="0"/>
        <v>03/01/2026NL300094</v>
      </c>
      <c r="C61" s="21" t="s">
        <v>838</v>
      </c>
      <c r="D61" s="21" t="s">
        <v>819</v>
      </c>
      <c r="E61" s="20" t="s">
        <v>820</v>
      </c>
      <c r="F61" s="20" t="s">
        <v>821</v>
      </c>
      <c r="G61" s="20" t="s">
        <v>837</v>
      </c>
      <c r="H61" s="20" t="s">
        <v>584</v>
      </c>
      <c r="I61" s="20" t="s">
        <v>585</v>
      </c>
      <c r="J61" s="20" t="s">
        <v>190</v>
      </c>
      <c r="K61" s="22">
        <v>2.1</v>
      </c>
      <c r="L61" s="23">
        <v>80000</v>
      </c>
      <c r="M61" s="23">
        <v>0</v>
      </c>
      <c r="N61" s="24">
        <f t="shared" si="1"/>
        <v>168000</v>
      </c>
      <c r="O61" s="24">
        <v>0</v>
      </c>
      <c r="P61" s="23">
        <v>80000</v>
      </c>
      <c r="Q61" s="20" t="s">
        <v>824</v>
      </c>
      <c r="R61" s="20" t="s">
        <v>825</v>
      </c>
      <c r="S61" s="20" t="s">
        <v>12</v>
      </c>
      <c r="T61" s="20" t="s">
        <v>826</v>
      </c>
      <c r="U61" s="20" t="s">
        <v>12</v>
      </c>
      <c r="V61" s="20" t="s">
        <v>827</v>
      </c>
      <c r="W61" s="20" t="s">
        <v>827</v>
      </c>
    </row>
    <row r="62" spans="1:23" ht="10.5" customHeight="1" x14ac:dyDescent="0.25">
      <c r="A62" s="19">
        <v>46025</v>
      </c>
      <c r="B62" s="20" t="str">
        <f t="shared" si="0"/>
        <v>03/01/2026NL300096</v>
      </c>
      <c r="C62" s="21" t="s">
        <v>838</v>
      </c>
      <c r="D62" s="21" t="s">
        <v>819</v>
      </c>
      <c r="E62" s="20" t="s">
        <v>820</v>
      </c>
      <c r="F62" s="20" t="s">
        <v>821</v>
      </c>
      <c r="G62" s="20" t="s">
        <v>837</v>
      </c>
      <c r="H62" s="20" t="s">
        <v>586</v>
      </c>
      <c r="I62" s="20" t="s">
        <v>43</v>
      </c>
      <c r="J62" s="20" t="s">
        <v>190</v>
      </c>
      <c r="K62" s="22">
        <v>4</v>
      </c>
      <c r="L62" s="23">
        <v>45000</v>
      </c>
      <c r="M62" s="23">
        <v>0</v>
      </c>
      <c r="N62" s="24">
        <f t="shared" si="1"/>
        <v>180000</v>
      </c>
      <c r="O62" s="24">
        <v>0</v>
      </c>
      <c r="P62" s="23">
        <v>45000</v>
      </c>
      <c r="Q62" s="20" t="s">
        <v>824</v>
      </c>
      <c r="R62" s="20" t="s">
        <v>825</v>
      </c>
      <c r="S62" s="20" t="s">
        <v>12</v>
      </c>
      <c r="T62" s="20" t="s">
        <v>826</v>
      </c>
      <c r="U62" s="20" t="s">
        <v>12</v>
      </c>
      <c r="V62" s="20" t="s">
        <v>827</v>
      </c>
      <c r="W62" s="20" t="s">
        <v>827</v>
      </c>
    </row>
    <row r="63" spans="1:23" ht="10.5" customHeight="1" x14ac:dyDescent="0.25">
      <c r="A63" s="19">
        <v>46025</v>
      </c>
      <c r="B63" s="20" t="str">
        <f t="shared" si="0"/>
        <v>03/01/2026NL300007</v>
      </c>
      <c r="C63" s="21" t="s">
        <v>838</v>
      </c>
      <c r="D63" s="21" t="s">
        <v>819</v>
      </c>
      <c r="E63" s="20" t="s">
        <v>820</v>
      </c>
      <c r="F63" s="20" t="s">
        <v>821</v>
      </c>
      <c r="G63" s="20" t="s">
        <v>837</v>
      </c>
      <c r="H63" s="20" t="s">
        <v>208</v>
      </c>
      <c r="I63" s="20" t="s">
        <v>209</v>
      </c>
      <c r="J63" s="20" t="s">
        <v>190</v>
      </c>
      <c r="K63" s="22">
        <v>0.5</v>
      </c>
      <c r="L63" s="23">
        <v>30000</v>
      </c>
      <c r="M63" s="23">
        <v>0</v>
      </c>
      <c r="N63" s="24">
        <f t="shared" si="1"/>
        <v>15000</v>
      </c>
      <c r="O63" s="24">
        <v>0</v>
      </c>
      <c r="P63" s="23">
        <v>30000</v>
      </c>
      <c r="Q63" s="20" t="s">
        <v>824</v>
      </c>
      <c r="R63" s="20" t="s">
        <v>825</v>
      </c>
      <c r="S63" s="20" t="s">
        <v>12</v>
      </c>
      <c r="T63" s="20" t="s">
        <v>826</v>
      </c>
      <c r="U63" s="20" t="s">
        <v>12</v>
      </c>
      <c r="V63" s="20" t="s">
        <v>827</v>
      </c>
      <c r="W63" s="20" t="s">
        <v>827</v>
      </c>
    </row>
    <row r="64" spans="1:23" ht="10.5" customHeight="1" x14ac:dyDescent="0.25">
      <c r="A64" s="19">
        <v>46025</v>
      </c>
      <c r="B64" s="20" t="str">
        <f t="shared" si="0"/>
        <v>03/01/2026NL300013</v>
      </c>
      <c r="C64" s="21" t="s">
        <v>838</v>
      </c>
      <c r="D64" s="21" t="s">
        <v>819</v>
      </c>
      <c r="E64" s="20" t="s">
        <v>820</v>
      </c>
      <c r="F64" s="20" t="s">
        <v>821</v>
      </c>
      <c r="G64" s="20" t="s">
        <v>837</v>
      </c>
      <c r="H64" s="20" t="s">
        <v>236</v>
      </c>
      <c r="I64" s="20" t="s">
        <v>65</v>
      </c>
      <c r="J64" s="20" t="s">
        <v>190</v>
      </c>
      <c r="K64" s="22">
        <v>0</v>
      </c>
      <c r="L64" s="23">
        <v>50000</v>
      </c>
      <c r="M64" s="23">
        <v>0</v>
      </c>
      <c r="N64" s="24">
        <f t="shared" si="1"/>
        <v>0</v>
      </c>
      <c r="O64" s="24">
        <v>0</v>
      </c>
      <c r="P64" s="23">
        <v>50000</v>
      </c>
      <c r="Q64" s="20" t="s">
        <v>824</v>
      </c>
      <c r="R64" s="20" t="s">
        <v>825</v>
      </c>
      <c r="S64" s="20" t="s">
        <v>12</v>
      </c>
      <c r="T64" s="20" t="s">
        <v>826</v>
      </c>
      <c r="U64" s="20" t="s">
        <v>12</v>
      </c>
      <c r="V64" s="20" t="s">
        <v>827</v>
      </c>
      <c r="W64" s="20" t="s">
        <v>827</v>
      </c>
    </row>
    <row r="65" spans="1:23" ht="10.5" customHeight="1" x14ac:dyDescent="0.25">
      <c r="A65" s="19">
        <v>46025</v>
      </c>
      <c r="B65" s="20" t="str">
        <f t="shared" si="0"/>
        <v>03/01/2026NL300018</v>
      </c>
      <c r="C65" s="21" t="s">
        <v>838</v>
      </c>
      <c r="D65" s="21" t="s">
        <v>819</v>
      </c>
      <c r="E65" s="20" t="s">
        <v>820</v>
      </c>
      <c r="F65" s="20" t="s">
        <v>821</v>
      </c>
      <c r="G65" s="20" t="s">
        <v>837</v>
      </c>
      <c r="H65" s="20" t="s">
        <v>294</v>
      </c>
      <c r="I65" s="20" t="s">
        <v>830</v>
      </c>
      <c r="J65" s="20" t="s">
        <v>190</v>
      </c>
      <c r="K65" s="22">
        <v>3.7</v>
      </c>
      <c r="L65" s="23">
        <v>38000</v>
      </c>
      <c r="M65" s="23">
        <v>0</v>
      </c>
      <c r="N65" s="24">
        <f t="shared" si="1"/>
        <v>140600</v>
      </c>
      <c r="O65" s="24">
        <v>0</v>
      </c>
      <c r="P65" s="23">
        <v>38000</v>
      </c>
      <c r="Q65" s="20" t="s">
        <v>824</v>
      </c>
      <c r="R65" s="20" t="s">
        <v>825</v>
      </c>
      <c r="S65" s="20" t="s">
        <v>12</v>
      </c>
      <c r="T65" s="20" t="s">
        <v>826</v>
      </c>
      <c r="U65" s="20" t="s">
        <v>12</v>
      </c>
      <c r="V65" s="20" t="s">
        <v>827</v>
      </c>
      <c r="W65" s="20" t="s">
        <v>827</v>
      </c>
    </row>
    <row r="66" spans="1:23" ht="10.5" customHeight="1" x14ac:dyDescent="0.25">
      <c r="A66" s="19">
        <v>46025</v>
      </c>
      <c r="B66" s="20" t="str">
        <f t="shared" si="0"/>
        <v>03/01/2026NL300022</v>
      </c>
      <c r="C66" s="21" t="s">
        <v>838</v>
      </c>
      <c r="D66" s="21" t="s">
        <v>819</v>
      </c>
      <c r="E66" s="20" t="s">
        <v>820</v>
      </c>
      <c r="F66" s="20" t="s">
        <v>821</v>
      </c>
      <c r="G66" s="20" t="s">
        <v>837</v>
      </c>
      <c r="H66" s="20" t="s">
        <v>305</v>
      </c>
      <c r="I66" s="20" t="s">
        <v>67</v>
      </c>
      <c r="J66" s="20" t="s">
        <v>190</v>
      </c>
      <c r="K66" s="22">
        <v>9.6999999999999993</v>
      </c>
      <c r="L66" s="23">
        <v>18000</v>
      </c>
      <c r="M66" s="23">
        <v>0</v>
      </c>
      <c r="N66" s="24">
        <f t="shared" si="1"/>
        <v>174600</v>
      </c>
      <c r="O66" s="24">
        <v>0</v>
      </c>
      <c r="P66" s="23">
        <v>18000</v>
      </c>
      <c r="Q66" s="20" t="s">
        <v>824</v>
      </c>
      <c r="R66" s="20" t="s">
        <v>825</v>
      </c>
      <c r="S66" s="20" t="s">
        <v>12</v>
      </c>
      <c r="T66" s="20" t="s">
        <v>826</v>
      </c>
      <c r="U66" s="20" t="s">
        <v>12</v>
      </c>
      <c r="V66" s="20" t="s">
        <v>827</v>
      </c>
      <c r="W66" s="20" t="s">
        <v>827</v>
      </c>
    </row>
    <row r="67" spans="1:23" ht="10.5" customHeight="1" x14ac:dyDescent="0.25">
      <c r="A67" s="19">
        <v>46025</v>
      </c>
      <c r="B67" s="20" t="str">
        <f t="shared" ref="B67:B131" si="2">"0"&amp;DAY(A67)&amp;"/01/2026"&amp;H67</f>
        <v>03/01/2026NL300033</v>
      </c>
      <c r="C67" s="21" t="s">
        <v>838</v>
      </c>
      <c r="D67" s="21" t="s">
        <v>819</v>
      </c>
      <c r="E67" s="20" t="s">
        <v>820</v>
      </c>
      <c r="F67" s="20" t="s">
        <v>821</v>
      </c>
      <c r="G67" s="20" t="s">
        <v>837</v>
      </c>
      <c r="H67" s="20" t="s">
        <v>335</v>
      </c>
      <c r="I67" s="20" t="s">
        <v>823</v>
      </c>
      <c r="J67" s="20" t="s">
        <v>190</v>
      </c>
      <c r="K67" s="22">
        <v>1.4</v>
      </c>
      <c r="L67" s="23">
        <v>13000</v>
      </c>
      <c r="M67" s="23">
        <v>0</v>
      </c>
      <c r="N67" s="24">
        <f t="shared" ref="N67:N131" si="3">L67*K67</f>
        <v>18200</v>
      </c>
      <c r="O67" s="24">
        <v>0</v>
      </c>
      <c r="P67" s="23">
        <v>13000</v>
      </c>
      <c r="Q67" s="20" t="s">
        <v>824</v>
      </c>
      <c r="R67" s="20" t="s">
        <v>825</v>
      </c>
      <c r="S67" s="20" t="s">
        <v>12</v>
      </c>
      <c r="T67" s="20" t="s">
        <v>826</v>
      </c>
      <c r="U67" s="20" t="s">
        <v>12</v>
      </c>
      <c r="V67" s="20" t="s">
        <v>827</v>
      </c>
      <c r="W67" s="20" t="s">
        <v>827</v>
      </c>
    </row>
    <row r="68" spans="1:23" ht="10.5" customHeight="1" x14ac:dyDescent="0.25">
      <c r="A68" s="19">
        <v>46025</v>
      </c>
      <c r="B68" s="20" t="str">
        <f t="shared" si="2"/>
        <v>03/01/2026NL300036</v>
      </c>
      <c r="C68" s="21" t="s">
        <v>838</v>
      </c>
      <c r="D68" s="21" t="s">
        <v>819</v>
      </c>
      <c r="E68" s="20" t="s">
        <v>820</v>
      </c>
      <c r="F68" s="20" t="s">
        <v>821</v>
      </c>
      <c r="G68" s="20" t="s">
        <v>837</v>
      </c>
      <c r="H68" s="20" t="s">
        <v>357</v>
      </c>
      <c r="I68" s="20" t="s">
        <v>17</v>
      </c>
      <c r="J68" s="20" t="s">
        <v>190</v>
      </c>
      <c r="K68" s="22">
        <v>0.8</v>
      </c>
      <c r="L68" s="23">
        <v>47000</v>
      </c>
      <c r="M68" s="23">
        <v>0</v>
      </c>
      <c r="N68" s="24">
        <f t="shared" si="3"/>
        <v>37600</v>
      </c>
      <c r="O68" s="24">
        <v>0</v>
      </c>
      <c r="P68" s="23">
        <v>47000</v>
      </c>
      <c r="Q68" s="20" t="s">
        <v>824</v>
      </c>
      <c r="R68" s="20" t="s">
        <v>825</v>
      </c>
      <c r="S68" s="20" t="s">
        <v>12</v>
      </c>
      <c r="T68" s="20" t="s">
        <v>826</v>
      </c>
      <c r="U68" s="20" t="s">
        <v>12</v>
      </c>
      <c r="V68" s="20" t="s">
        <v>827</v>
      </c>
      <c r="W68" s="20" t="s">
        <v>827</v>
      </c>
    </row>
    <row r="69" spans="1:23" ht="10.5" customHeight="1" x14ac:dyDescent="0.25">
      <c r="A69" s="19">
        <v>46025</v>
      </c>
      <c r="B69" s="20" t="str">
        <f t="shared" si="2"/>
        <v>03/01/2026NL300058</v>
      </c>
      <c r="C69" s="21" t="s">
        <v>838</v>
      </c>
      <c r="D69" s="21" t="s">
        <v>819</v>
      </c>
      <c r="E69" s="20" t="s">
        <v>820</v>
      </c>
      <c r="F69" s="20" t="s">
        <v>821</v>
      </c>
      <c r="G69" s="20" t="s">
        <v>837</v>
      </c>
      <c r="H69" s="20" t="s">
        <v>450</v>
      </c>
      <c r="I69" s="20" t="s">
        <v>19</v>
      </c>
      <c r="J69" s="20" t="s">
        <v>190</v>
      </c>
      <c r="K69" s="22">
        <v>1</v>
      </c>
      <c r="L69" s="23">
        <v>55000</v>
      </c>
      <c r="M69" s="23">
        <v>0</v>
      </c>
      <c r="N69" s="24">
        <f t="shared" si="3"/>
        <v>55000</v>
      </c>
      <c r="O69" s="24">
        <v>0</v>
      </c>
      <c r="P69" s="23">
        <v>55000</v>
      </c>
      <c r="Q69" s="20" t="s">
        <v>824</v>
      </c>
      <c r="R69" s="20" t="s">
        <v>825</v>
      </c>
      <c r="S69" s="20" t="s">
        <v>12</v>
      </c>
      <c r="T69" s="20" t="s">
        <v>826</v>
      </c>
      <c r="U69" s="20" t="s">
        <v>12</v>
      </c>
      <c r="V69" s="20" t="s">
        <v>827</v>
      </c>
      <c r="W69" s="20" t="s">
        <v>827</v>
      </c>
    </row>
    <row r="70" spans="1:23" ht="10.5" customHeight="1" x14ac:dyDescent="0.25">
      <c r="A70" s="19">
        <v>46025</v>
      </c>
      <c r="B70" s="20" t="str">
        <f t="shared" si="2"/>
        <v>03/01/2026NL300098</v>
      </c>
      <c r="C70" s="21" t="s">
        <v>838</v>
      </c>
      <c r="D70" s="21" t="s">
        <v>819</v>
      </c>
      <c r="E70" s="20" t="s">
        <v>820</v>
      </c>
      <c r="F70" s="20" t="s">
        <v>821</v>
      </c>
      <c r="G70" s="20" t="s">
        <v>837</v>
      </c>
      <c r="H70" s="20" t="s">
        <v>590</v>
      </c>
      <c r="I70" s="20" t="s">
        <v>591</v>
      </c>
      <c r="J70" s="20" t="s">
        <v>190</v>
      </c>
      <c r="K70" s="22">
        <v>3.9</v>
      </c>
      <c r="L70" s="23">
        <v>95000</v>
      </c>
      <c r="M70" s="23">
        <v>0</v>
      </c>
      <c r="N70" s="24">
        <f t="shared" si="3"/>
        <v>370500</v>
      </c>
      <c r="O70" s="24">
        <v>0</v>
      </c>
      <c r="P70" s="23">
        <v>95000</v>
      </c>
      <c r="Q70" s="20" t="s">
        <v>824</v>
      </c>
      <c r="R70" s="20" t="s">
        <v>825</v>
      </c>
      <c r="S70" s="20" t="s">
        <v>12</v>
      </c>
      <c r="T70" s="20" t="s">
        <v>826</v>
      </c>
      <c r="U70" s="20" t="s">
        <v>12</v>
      </c>
      <c r="V70" s="20" t="s">
        <v>827</v>
      </c>
      <c r="W70" s="20" t="s">
        <v>827</v>
      </c>
    </row>
    <row r="71" spans="1:23" ht="10.5" customHeight="1" x14ac:dyDescent="0.25">
      <c r="A71" s="19">
        <v>46025</v>
      </c>
      <c r="B71" s="20" t="str">
        <f t="shared" si="2"/>
        <v>03/01/2026NL300107</v>
      </c>
      <c r="C71" s="21" t="s">
        <v>838</v>
      </c>
      <c r="D71" s="21" t="s">
        <v>819</v>
      </c>
      <c r="E71" s="20" t="s">
        <v>820</v>
      </c>
      <c r="F71" s="20" t="s">
        <v>821</v>
      </c>
      <c r="G71" s="20" t="s">
        <v>837</v>
      </c>
      <c r="H71" s="20" t="s">
        <v>616</v>
      </c>
      <c r="I71" s="20" t="s">
        <v>828</v>
      </c>
      <c r="J71" s="20" t="s">
        <v>385</v>
      </c>
      <c r="K71" s="22">
        <v>5</v>
      </c>
      <c r="L71" s="23">
        <v>8500</v>
      </c>
      <c r="M71" s="23">
        <v>0</v>
      </c>
      <c r="N71" s="24">
        <f t="shared" si="3"/>
        <v>42500</v>
      </c>
      <c r="O71" s="24">
        <v>0</v>
      </c>
      <c r="P71" s="23">
        <v>8500</v>
      </c>
      <c r="Q71" s="20" t="s">
        <v>824</v>
      </c>
      <c r="R71" s="20" t="s">
        <v>825</v>
      </c>
      <c r="S71" s="20" t="s">
        <v>12</v>
      </c>
      <c r="T71" s="20" t="s">
        <v>826</v>
      </c>
      <c r="U71" s="20" t="s">
        <v>12</v>
      </c>
      <c r="V71" s="20" t="s">
        <v>827</v>
      </c>
      <c r="W71" s="20" t="s">
        <v>827</v>
      </c>
    </row>
    <row r="72" spans="1:23" ht="10.5" customHeight="1" x14ac:dyDescent="0.25">
      <c r="A72" s="19">
        <v>46025</v>
      </c>
      <c r="B72" s="20" t="str">
        <f t="shared" si="2"/>
        <v>03/01/2026NL300113</v>
      </c>
      <c r="C72" s="21" t="s">
        <v>838</v>
      </c>
      <c r="D72" s="21" t="s">
        <v>819</v>
      </c>
      <c r="E72" s="20" t="s">
        <v>820</v>
      </c>
      <c r="F72" s="20" t="s">
        <v>821</v>
      </c>
      <c r="G72" s="20" t="s">
        <v>837</v>
      </c>
      <c r="H72" s="20" t="s">
        <v>627</v>
      </c>
      <c r="I72" s="20" t="s">
        <v>30</v>
      </c>
      <c r="J72" s="20" t="s">
        <v>190</v>
      </c>
      <c r="K72" s="22">
        <v>0.9</v>
      </c>
      <c r="L72" s="23">
        <v>145000</v>
      </c>
      <c r="M72" s="23">
        <v>0</v>
      </c>
      <c r="N72" s="24">
        <f t="shared" si="3"/>
        <v>130500</v>
      </c>
      <c r="O72" s="24">
        <v>0</v>
      </c>
      <c r="P72" s="23">
        <v>145000</v>
      </c>
      <c r="Q72" s="20" t="s">
        <v>824</v>
      </c>
      <c r="R72" s="20" t="s">
        <v>825</v>
      </c>
      <c r="S72" s="20" t="s">
        <v>12</v>
      </c>
      <c r="T72" s="20" t="s">
        <v>826</v>
      </c>
      <c r="U72" s="20" t="s">
        <v>12</v>
      </c>
      <c r="V72" s="20" t="s">
        <v>827</v>
      </c>
      <c r="W72" s="20" t="s">
        <v>827</v>
      </c>
    </row>
    <row r="73" spans="1:23" ht="10.5" customHeight="1" x14ac:dyDescent="0.25">
      <c r="A73" s="19">
        <v>46025</v>
      </c>
      <c r="B73" s="20" t="str">
        <f t="shared" si="2"/>
        <v>03/01/2026NL300142</v>
      </c>
      <c r="C73" s="21" t="s">
        <v>838</v>
      </c>
      <c r="D73" s="21" t="s">
        <v>819</v>
      </c>
      <c r="E73" s="20" t="s">
        <v>820</v>
      </c>
      <c r="F73" s="20" t="s">
        <v>821</v>
      </c>
      <c r="G73" s="20" t="s">
        <v>837</v>
      </c>
      <c r="H73" s="20" t="s">
        <v>766</v>
      </c>
      <c r="I73" s="20" t="s">
        <v>829</v>
      </c>
      <c r="J73" s="20" t="s">
        <v>190</v>
      </c>
      <c r="K73" s="22">
        <v>1</v>
      </c>
      <c r="L73" s="23">
        <v>50000</v>
      </c>
      <c r="M73" s="23">
        <v>0</v>
      </c>
      <c r="N73" s="24">
        <f t="shared" si="3"/>
        <v>50000</v>
      </c>
      <c r="O73" s="24">
        <v>0</v>
      </c>
      <c r="P73" s="23">
        <v>50000</v>
      </c>
      <c r="Q73" s="20" t="s">
        <v>824</v>
      </c>
      <c r="R73" s="20" t="s">
        <v>825</v>
      </c>
      <c r="S73" s="20" t="s">
        <v>12</v>
      </c>
      <c r="T73" s="20" t="s">
        <v>826</v>
      </c>
      <c r="U73" s="20" t="s">
        <v>12</v>
      </c>
      <c r="V73" s="20" t="s">
        <v>827</v>
      </c>
      <c r="W73" s="20" t="s">
        <v>827</v>
      </c>
    </row>
    <row r="74" spans="1:23" ht="10.5" customHeight="1" x14ac:dyDescent="0.25">
      <c r="A74" s="19">
        <v>46025</v>
      </c>
      <c r="B74" s="20" t="str">
        <f t="shared" si="2"/>
        <v>03/01/2026NL300147</v>
      </c>
      <c r="C74" s="21" t="s">
        <v>838</v>
      </c>
      <c r="D74" s="21" t="s">
        <v>819</v>
      </c>
      <c r="E74" s="20" t="s">
        <v>820</v>
      </c>
      <c r="F74" s="20" t="s">
        <v>821</v>
      </c>
      <c r="G74" s="20" t="s">
        <v>837</v>
      </c>
      <c r="H74" s="20" t="s">
        <v>790</v>
      </c>
      <c r="I74" s="20" t="s">
        <v>791</v>
      </c>
      <c r="J74" s="20" t="s">
        <v>190</v>
      </c>
      <c r="K74" s="22">
        <v>8</v>
      </c>
      <c r="L74" s="23">
        <v>62000</v>
      </c>
      <c r="M74" s="23">
        <v>0</v>
      </c>
      <c r="N74" s="24">
        <f t="shared" si="3"/>
        <v>496000</v>
      </c>
      <c r="O74" s="24">
        <v>0</v>
      </c>
      <c r="P74" s="23">
        <v>62000</v>
      </c>
      <c r="Q74" s="20" t="s">
        <v>824</v>
      </c>
      <c r="R74" s="20" t="s">
        <v>825</v>
      </c>
      <c r="S74" s="20" t="s">
        <v>12</v>
      </c>
      <c r="T74" s="20" t="s">
        <v>826</v>
      </c>
      <c r="U74" s="20" t="s">
        <v>12</v>
      </c>
      <c r="V74" s="20" t="s">
        <v>827</v>
      </c>
      <c r="W74" s="20" t="s">
        <v>827</v>
      </c>
    </row>
    <row r="75" spans="1:23" ht="10.5" customHeight="1" x14ac:dyDescent="0.25">
      <c r="A75" s="19">
        <v>46025</v>
      </c>
      <c r="B75" s="20" t="str">
        <f t="shared" si="2"/>
        <v>03/01/2026NL300203</v>
      </c>
      <c r="C75" s="21" t="s">
        <v>838</v>
      </c>
      <c r="D75" s="21" t="s">
        <v>819</v>
      </c>
      <c r="E75" s="20" t="s">
        <v>820</v>
      </c>
      <c r="F75" s="20" t="s">
        <v>821</v>
      </c>
      <c r="G75" s="20" t="s">
        <v>837</v>
      </c>
      <c r="H75" s="20" t="s">
        <v>346</v>
      </c>
      <c r="I75" s="20" t="s">
        <v>347</v>
      </c>
      <c r="J75" s="20" t="s">
        <v>190</v>
      </c>
      <c r="K75" s="22">
        <v>0</v>
      </c>
      <c r="L75" s="23">
        <v>45000</v>
      </c>
      <c r="M75" s="23">
        <v>0</v>
      </c>
      <c r="N75" s="24">
        <f t="shared" si="3"/>
        <v>0</v>
      </c>
      <c r="O75" s="24">
        <v>0</v>
      </c>
      <c r="P75" s="23">
        <v>45000</v>
      </c>
      <c r="Q75" s="20" t="s">
        <v>824</v>
      </c>
      <c r="R75" s="20" t="s">
        <v>825</v>
      </c>
      <c r="S75" s="20" t="s">
        <v>12</v>
      </c>
      <c r="T75" s="20" t="s">
        <v>826</v>
      </c>
      <c r="U75" s="20" t="s">
        <v>12</v>
      </c>
      <c r="V75" s="20" t="s">
        <v>827</v>
      </c>
      <c r="W75" s="20" t="s">
        <v>827</v>
      </c>
    </row>
    <row r="76" spans="1:23" ht="10.5" customHeight="1" x14ac:dyDescent="0.25">
      <c r="A76" s="19">
        <v>46025</v>
      </c>
      <c r="B76" s="20" t="str">
        <f t="shared" si="2"/>
        <v>03/01/2026NL300209</v>
      </c>
      <c r="C76" s="21" t="s">
        <v>838</v>
      </c>
      <c r="D76" s="21" t="s">
        <v>819</v>
      </c>
      <c r="E76" s="20" t="s">
        <v>820</v>
      </c>
      <c r="F76" s="20" t="s">
        <v>821</v>
      </c>
      <c r="G76" s="20" t="s">
        <v>837</v>
      </c>
      <c r="H76" s="20" t="s">
        <v>797</v>
      </c>
      <c r="I76" s="20" t="s">
        <v>798</v>
      </c>
      <c r="J76" s="20" t="s">
        <v>190</v>
      </c>
      <c r="K76" s="22">
        <v>0</v>
      </c>
      <c r="L76" s="23">
        <v>30000</v>
      </c>
      <c r="M76" s="23">
        <v>0</v>
      </c>
      <c r="N76" s="24">
        <f t="shared" si="3"/>
        <v>0</v>
      </c>
      <c r="O76" s="24">
        <v>0</v>
      </c>
      <c r="P76" s="23">
        <v>30000</v>
      </c>
      <c r="Q76" s="20" t="s">
        <v>824</v>
      </c>
      <c r="R76" s="20" t="s">
        <v>825</v>
      </c>
      <c r="S76" s="20" t="s">
        <v>12</v>
      </c>
      <c r="T76" s="20" t="s">
        <v>826</v>
      </c>
      <c r="U76" s="20" t="s">
        <v>12</v>
      </c>
      <c r="V76" s="20" t="s">
        <v>827</v>
      </c>
      <c r="W76" s="20" t="s">
        <v>827</v>
      </c>
    </row>
    <row r="77" spans="1:23" ht="10.5" customHeight="1" x14ac:dyDescent="0.25">
      <c r="A77" s="19">
        <v>46026</v>
      </c>
      <c r="B77" s="20" t="str">
        <f t="shared" si="2"/>
        <v>04/01/2026NL300090</v>
      </c>
      <c r="C77" s="21" t="s">
        <v>839</v>
      </c>
      <c r="D77" s="21" t="s">
        <v>819</v>
      </c>
      <c r="E77" s="20" t="s">
        <v>820</v>
      </c>
      <c r="F77" s="20" t="s">
        <v>821</v>
      </c>
      <c r="G77" s="20" t="s">
        <v>840</v>
      </c>
      <c r="H77" s="20" t="s">
        <v>578</v>
      </c>
      <c r="I77" s="20" t="s">
        <v>37</v>
      </c>
      <c r="J77" s="20" t="s">
        <v>190</v>
      </c>
      <c r="K77" s="22">
        <v>2.1</v>
      </c>
      <c r="L77" s="23">
        <v>145000</v>
      </c>
      <c r="M77" s="23">
        <v>0</v>
      </c>
      <c r="N77" s="24">
        <f t="shared" si="3"/>
        <v>304500</v>
      </c>
      <c r="O77" s="24">
        <v>0</v>
      </c>
      <c r="P77" s="23">
        <v>145000</v>
      </c>
      <c r="Q77" s="20" t="s">
        <v>824</v>
      </c>
      <c r="R77" s="20" t="s">
        <v>825</v>
      </c>
      <c r="S77" s="20" t="s">
        <v>12</v>
      </c>
      <c r="T77" s="20" t="s">
        <v>826</v>
      </c>
      <c r="U77" s="20" t="s">
        <v>12</v>
      </c>
      <c r="V77" s="20" t="s">
        <v>827</v>
      </c>
      <c r="W77" s="20" t="s">
        <v>827</v>
      </c>
    </row>
    <row r="78" spans="1:23" ht="10.5" customHeight="1" x14ac:dyDescent="0.25">
      <c r="A78" s="19">
        <v>46026</v>
      </c>
      <c r="B78" s="20" t="str">
        <f t="shared" si="2"/>
        <v>04/01/2026NL300091</v>
      </c>
      <c r="C78" s="21" t="s">
        <v>839</v>
      </c>
      <c r="D78" s="21" t="s">
        <v>819</v>
      </c>
      <c r="E78" s="20" t="s">
        <v>820</v>
      </c>
      <c r="F78" s="20" t="s">
        <v>821</v>
      </c>
      <c r="G78" s="20" t="s">
        <v>840</v>
      </c>
      <c r="H78" s="20" t="s">
        <v>580</v>
      </c>
      <c r="I78" s="20" t="s">
        <v>39</v>
      </c>
      <c r="J78" s="20" t="s">
        <v>190</v>
      </c>
      <c r="K78" s="22">
        <v>3</v>
      </c>
      <c r="L78" s="23">
        <v>47000</v>
      </c>
      <c r="M78" s="23">
        <v>0</v>
      </c>
      <c r="N78" s="24">
        <f t="shared" si="3"/>
        <v>141000</v>
      </c>
      <c r="O78" s="24">
        <v>0</v>
      </c>
      <c r="P78" s="23">
        <v>47000</v>
      </c>
      <c r="Q78" s="20" t="s">
        <v>824</v>
      </c>
      <c r="R78" s="20" t="s">
        <v>825</v>
      </c>
      <c r="S78" s="20" t="s">
        <v>12</v>
      </c>
      <c r="T78" s="20" t="s">
        <v>826</v>
      </c>
      <c r="U78" s="20" t="s">
        <v>12</v>
      </c>
      <c r="V78" s="20" t="s">
        <v>827</v>
      </c>
      <c r="W78" s="20" t="s">
        <v>827</v>
      </c>
    </row>
    <row r="79" spans="1:23" ht="10.5" customHeight="1" x14ac:dyDescent="0.25">
      <c r="A79" s="19">
        <v>46026</v>
      </c>
      <c r="B79" s="20" t="str">
        <f t="shared" si="2"/>
        <v>04/01/2026NL300096</v>
      </c>
      <c r="C79" s="21" t="s">
        <v>839</v>
      </c>
      <c r="D79" s="21" t="s">
        <v>819</v>
      </c>
      <c r="E79" s="20" t="s">
        <v>820</v>
      </c>
      <c r="F79" s="20" t="s">
        <v>821</v>
      </c>
      <c r="G79" s="20" t="s">
        <v>840</v>
      </c>
      <c r="H79" s="20" t="s">
        <v>586</v>
      </c>
      <c r="I79" s="20" t="s">
        <v>43</v>
      </c>
      <c r="J79" s="20" t="s">
        <v>190</v>
      </c>
      <c r="K79" s="22">
        <v>2.9</v>
      </c>
      <c r="L79" s="23">
        <v>45000</v>
      </c>
      <c r="M79" s="23">
        <v>0</v>
      </c>
      <c r="N79" s="24">
        <f t="shared" si="3"/>
        <v>130500</v>
      </c>
      <c r="O79" s="24">
        <v>0</v>
      </c>
      <c r="P79" s="23">
        <v>45000</v>
      </c>
      <c r="Q79" s="20" t="s">
        <v>824</v>
      </c>
      <c r="R79" s="20" t="s">
        <v>825</v>
      </c>
      <c r="S79" s="20" t="s">
        <v>12</v>
      </c>
      <c r="T79" s="20" t="s">
        <v>826</v>
      </c>
      <c r="U79" s="20" t="s">
        <v>12</v>
      </c>
      <c r="V79" s="20" t="s">
        <v>827</v>
      </c>
      <c r="W79" s="20" t="s">
        <v>827</v>
      </c>
    </row>
    <row r="80" spans="1:23" ht="10.5" customHeight="1" x14ac:dyDescent="0.25">
      <c r="A80" s="19">
        <v>46026</v>
      </c>
      <c r="B80" s="20" t="str">
        <f t="shared" si="2"/>
        <v>04/01/2026NL300098</v>
      </c>
      <c r="C80" s="21" t="s">
        <v>839</v>
      </c>
      <c r="D80" s="21" t="s">
        <v>819</v>
      </c>
      <c r="E80" s="20" t="s">
        <v>820</v>
      </c>
      <c r="F80" s="20" t="s">
        <v>821</v>
      </c>
      <c r="G80" s="20" t="s">
        <v>840</v>
      </c>
      <c r="H80" s="20" t="s">
        <v>590</v>
      </c>
      <c r="I80" s="20" t="s">
        <v>591</v>
      </c>
      <c r="J80" s="20" t="s">
        <v>190</v>
      </c>
      <c r="K80" s="22">
        <v>3.1</v>
      </c>
      <c r="L80" s="23">
        <v>95000</v>
      </c>
      <c r="M80" s="23">
        <v>0</v>
      </c>
      <c r="N80" s="24">
        <f t="shared" si="3"/>
        <v>294500</v>
      </c>
      <c r="O80" s="24">
        <v>0</v>
      </c>
      <c r="P80" s="23">
        <v>95000</v>
      </c>
      <c r="Q80" s="20" t="s">
        <v>824</v>
      </c>
      <c r="R80" s="20" t="s">
        <v>825</v>
      </c>
      <c r="S80" s="20" t="s">
        <v>12</v>
      </c>
      <c r="T80" s="20" t="s">
        <v>826</v>
      </c>
      <c r="U80" s="20" t="s">
        <v>12</v>
      </c>
      <c r="V80" s="20" t="s">
        <v>827</v>
      </c>
      <c r="W80" s="20" t="s">
        <v>827</v>
      </c>
    </row>
    <row r="81" spans="1:23" ht="10.5" customHeight="1" x14ac:dyDescent="0.25">
      <c r="A81" s="19">
        <v>46026</v>
      </c>
      <c r="B81" s="20" t="str">
        <f t="shared" si="2"/>
        <v>04/01/2026NL300113</v>
      </c>
      <c r="C81" s="21" t="s">
        <v>839</v>
      </c>
      <c r="D81" s="21" t="s">
        <v>819</v>
      </c>
      <c r="E81" s="20" t="s">
        <v>820</v>
      </c>
      <c r="F81" s="20" t="s">
        <v>821</v>
      </c>
      <c r="G81" s="20" t="s">
        <v>840</v>
      </c>
      <c r="H81" s="20" t="s">
        <v>627</v>
      </c>
      <c r="I81" s="20" t="s">
        <v>30</v>
      </c>
      <c r="J81" s="20" t="s">
        <v>190</v>
      </c>
      <c r="K81" s="22">
        <v>1</v>
      </c>
      <c r="L81" s="23">
        <v>145000</v>
      </c>
      <c r="M81" s="23">
        <v>0</v>
      </c>
      <c r="N81" s="24">
        <f t="shared" si="3"/>
        <v>145000</v>
      </c>
      <c r="O81" s="24">
        <v>0</v>
      </c>
      <c r="P81" s="23">
        <v>145000</v>
      </c>
      <c r="Q81" s="20" t="s">
        <v>824</v>
      </c>
      <c r="R81" s="20" t="s">
        <v>825</v>
      </c>
      <c r="S81" s="20" t="s">
        <v>12</v>
      </c>
      <c r="T81" s="20" t="s">
        <v>826</v>
      </c>
      <c r="U81" s="20" t="s">
        <v>12</v>
      </c>
      <c r="V81" s="20" t="s">
        <v>827</v>
      </c>
      <c r="W81" s="20" t="s">
        <v>827</v>
      </c>
    </row>
    <row r="82" spans="1:23" ht="10.5" customHeight="1" x14ac:dyDescent="0.25">
      <c r="A82" s="19">
        <v>46026</v>
      </c>
      <c r="B82" s="20" t="str">
        <f t="shared" si="2"/>
        <v>04/01/2026NL300142</v>
      </c>
      <c r="C82" s="21" t="s">
        <v>839</v>
      </c>
      <c r="D82" s="21" t="s">
        <v>819</v>
      </c>
      <c r="E82" s="20" t="s">
        <v>820</v>
      </c>
      <c r="F82" s="20" t="s">
        <v>821</v>
      </c>
      <c r="G82" s="20" t="s">
        <v>840</v>
      </c>
      <c r="H82" s="20" t="s">
        <v>766</v>
      </c>
      <c r="I82" s="20" t="s">
        <v>829</v>
      </c>
      <c r="J82" s="20" t="s">
        <v>190</v>
      </c>
      <c r="K82" s="22">
        <v>1</v>
      </c>
      <c r="L82" s="23">
        <v>50000</v>
      </c>
      <c r="M82" s="23">
        <v>0</v>
      </c>
      <c r="N82" s="24">
        <f t="shared" si="3"/>
        <v>50000</v>
      </c>
      <c r="O82" s="24">
        <v>0</v>
      </c>
      <c r="P82" s="23">
        <v>50000</v>
      </c>
      <c r="Q82" s="20" t="s">
        <v>824</v>
      </c>
      <c r="R82" s="20" t="s">
        <v>825</v>
      </c>
      <c r="S82" s="20" t="s">
        <v>12</v>
      </c>
      <c r="T82" s="20" t="s">
        <v>826</v>
      </c>
      <c r="U82" s="20" t="s">
        <v>12</v>
      </c>
      <c r="V82" s="20" t="s">
        <v>827</v>
      </c>
      <c r="W82" s="20" t="s">
        <v>827</v>
      </c>
    </row>
    <row r="83" spans="1:23" ht="10.5" customHeight="1" x14ac:dyDescent="0.25">
      <c r="A83" s="19">
        <v>46026</v>
      </c>
      <c r="B83" s="20" t="str">
        <f t="shared" si="2"/>
        <v>04/01/2026NL300147</v>
      </c>
      <c r="C83" s="21" t="s">
        <v>839</v>
      </c>
      <c r="D83" s="21" t="s">
        <v>819</v>
      </c>
      <c r="E83" s="20" t="s">
        <v>820</v>
      </c>
      <c r="F83" s="20" t="s">
        <v>821</v>
      </c>
      <c r="G83" s="20" t="s">
        <v>840</v>
      </c>
      <c r="H83" s="20" t="s">
        <v>790</v>
      </c>
      <c r="I83" s="20" t="s">
        <v>791</v>
      </c>
      <c r="J83" s="20" t="s">
        <v>190</v>
      </c>
      <c r="K83" s="22">
        <v>5</v>
      </c>
      <c r="L83" s="23">
        <v>62000</v>
      </c>
      <c r="M83" s="23">
        <v>0</v>
      </c>
      <c r="N83" s="24">
        <f t="shared" si="3"/>
        <v>310000</v>
      </c>
      <c r="O83" s="24">
        <v>0</v>
      </c>
      <c r="P83" s="23">
        <v>62000</v>
      </c>
      <c r="Q83" s="20" t="s">
        <v>824</v>
      </c>
      <c r="R83" s="20" t="s">
        <v>825</v>
      </c>
      <c r="S83" s="20" t="s">
        <v>12</v>
      </c>
      <c r="T83" s="20" t="s">
        <v>826</v>
      </c>
      <c r="U83" s="20" t="s">
        <v>12</v>
      </c>
      <c r="V83" s="20" t="s">
        <v>827</v>
      </c>
      <c r="W83" s="20" t="s">
        <v>827</v>
      </c>
    </row>
    <row r="84" spans="1:23" ht="10.5" customHeight="1" x14ac:dyDescent="0.25">
      <c r="A84" s="19">
        <v>46026</v>
      </c>
      <c r="B84" s="20" t="str">
        <f t="shared" si="2"/>
        <v>04/01/2026NL300209</v>
      </c>
      <c r="C84" s="21" t="s">
        <v>839</v>
      </c>
      <c r="D84" s="21" t="s">
        <v>819</v>
      </c>
      <c r="E84" s="20" t="s">
        <v>820</v>
      </c>
      <c r="F84" s="20" t="s">
        <v>821</v>
      </c>
      <c r="G84" s="20" t="s">
        <v>840</v>
      </c>
      <c r="H84" s="20" t="s">
        <v>797</v>
      </c>
      <c r="I84" s="20" t="s">
        <v>798</v>
      </c>
      <c r="J84" s="20" t="s">
        <v>190</v>
      </c>
      <c r="K84" s="22">
        <v>0.8</v>
      </c>
      <c r="L84" s="23">
        <v>30000</v>
      </c>
      <c r="M84" s="23">
        <v>0</v>
      </c>
      <c r="N84" s="24">
        <f t="shared" si="3"/>
        <v>24000</v>
      </c>
      <c r="O84" s="24">
        <v>0</v>
      </c>
      <c r="P84" s="23">
        <v>30000</v>
      </c>
      <c r="Q84" s="20" t="s">
        <v>824</v>
      </c>
      <c r="R84" s="20" t="s">
        <v>825</v>
      </c>
      <c r="S84" s="20" t="s">
        <v>12</v>
      </c>
      <c r="T84" s="20" t="s">
        <v>826</v>
      </c>
      <c r="U84" s="20" t="s">
        <v>12</v>
      </c>
      <c r="V84" s="20" t="s">
        <v>827</v>
      </c>
      <c r="W84" s="20" t="s">
        <v>827</v>
      </c>
    </row>
    <row r="85" spans="1:23" ht="10.5" customHeight="1" x14ac:dyDescent="0.25">
      <c r="A85" s="19">
        <v>46026</v>
      </c>
      <c r="B85" s="20" t="str">
        <f t="shared" si="2"/>
        <v>04/01/2026NL300029</v>
      </c>
      <c r="C85" s="21" t="s">
        <v>839</v>
      </c>
      <c r="D85" s="21" t="s">
        <v>819</v>
      </c>
      <c r="E85" s="20" t="s">
        <v>820</v>
      </c>
      <c r="F85" s="20" t="s">
        <v>821</v>
      </c>
      <c r="G85" s="20" t="s">
        <v>840</v>
      </c>
      <c r="H85" s="20" t="s">
        <v>322</v>
      </c>
      <c r="I85" s="20" t="s">
        <v>323</v>
      </c>
      <c r="J85" s="20" t="s">
        <v>190</v>
      </c>
      <c r="K85" s="22">
        <v>0.5</v>
      </c>
      <c r="L85" s="23">
        <v>22000</v>
      </c>
      <c r="M85" s="23">
        <v>0</v>
      </c>
      <c r="N85" s="24">
        <f t="shared" si="3"/>
        <v>11000</v>
      </c>
      <c r="O85" s="24">
        <v>0</v>
      </c>
      <c r="P85" s="23">
        <v>22000</v>
      </c>
      <c r="Q85" s="20" t="s">
        <v>824</v>
      </c>
      <c r="R85" s="20" t="s">
        <v>825</v>
      </c>
      <c r="S85" s="20" t="s">
        <v>12</v>
      </c>
      <c r="T85" s="20" t="s">
        <v>826</v>
      </c>
      <c r="U85" s="20" t="s">
        <v>12</v>
      </c>
      <c r="V85" s="20" t="s">
        <v>827</v>
      </c>
      <c r="W85" s="20" t="s">
        <v>827</v>
      </c>
    </row>
    <row r="86" spans="1:23" ht="10.5" customHeight="1" x14ac:dyDescent="0.25">
      <c r="A86" s="19">
        <v>46026</v>
      </c>
      <c r="B86" s="20" t="str">
        <f t="shared" si="2"/>
        <v>04/01/2026NL300119</v>
      </c>
      <c r="C86" s="21" t="s">
        <v>839</v>
      </c>
      <c r="D86" s="21" t="s">
        <v>819</v>
      </c>
      <c r="E86" s="20" t="s">
        <v>820</v>
      </c>
      <c r="F86" s="20" t="s">
        <v>821</v>
      </c>
      <c r="G86" s="20" t="s">
        <v>840</v>
      </c>
      <c r="H86" s="20" t="s">
        <v>652</v>
      </c>
      <c r="I86" s="20" t="s">
        <v>653</v>
      </c>
      <c r="J86" s="20" t="s">
        <v>190</v>
      </c>
      <c r="K86" s="22">
        <v>3.8</v>
      </c>
      <c r="L86" s="23">
        <v>21000</v>
      </c>
      <c r="M86" s="23">
        <v>0</v>
      </c>
      <c r="N86" s="24">
        <f t="shared" si="3"/>
        <v>79800</v>
      </c>
      <c r="O86" s="24">
        <v>0</v>
      </c>
      <c r="P86" s="23">
        <v>21000</v>
      </c>
      <c r="Q86" s="20" t="s">
        <v>824</v>
      </c>
      <c r="R86" s="20" t="s">
        <v>825</v>
      </c>
      <c r="S86" s="20" t="s">
        <v>12</v>
      </c>
      <c r="T86" s="20" t="s">
        <v>826</v>
      </c>
      <c r="U86" s="20" t="s">
        <v>12</v>
      </c>
      <c r="V86" s="20" t="s">
        <v>827</v>
      </c>
      <c r="W86" s="20" t="s">
        <v>827</v>
      </c>
    </row>
    <row r="87" spans="1:23" ht="10.5" customHeight="1" x14ac:dyDescent="0.25">
      <c r="A87" s="19">
        <v>46026</v>
      </c>
      <c r="B87" s="20" t="str">
        <f t="shared" si="2"/>
        <v>04/01/2026NL600004</v>
      </c>
      <c r="C87" s="21" t="s">
        <v>839</v>
      </c>
      <c r="D87" s="21" t="s">
        <v>819</v>
      </c>
      <c r="E87" s="20" t="s">
        <v>820</v>
      </c>
      <c r="F87" s="20" t="s">
        <v>821</v>
      </c>
      <c r="G87" s="20" t="s">
        <v>840</v>
      </c>
      <c r="H87" s="20" t="s">
        <v>427</v>
      </c>
      <c r="I87" s="20" t="s">
        <v>51</v>
      </c>
      <c r="J87" s="20" t="s">
        <v>190</v>
      </c>
      <c r="K87" s="22">
        <v>21</v>
      </c>
      <c r="L87" s="23">
        <v>18000</v>
      </c>
      <c r="M87" s="23">
        <v>0</v>
      </c>
      <c r="N87" s="24">
        <f t="shared" si="3"/>
        <v>378000</v>
      </c>
      <c r="O87" s="24">
        <v>0</v>
      </c>
      <c r="P87" s="23">
        <v>18000</v>
      </c>
      <c r="Q87" s="20" t="s">
        <v>824</v>
      </c>
      <c r="R87" s="20" t="s">
        <v>825</v>
      </c>
      <c r="S87" s="20" t="s">
        <v>12</v>
      </c>
      <c r="T87" s="20" t="s">
        <v>826</v>
      </c>
      <c r="U87" s="20" t="s">
        <v>12</v>
      </c>
      <c r="V87" s="20" t="s">
        <v>827</v>
      </c>
      <c r="W87" s="20" t="s">
        <v>827</v>
      </c>
    </row>
    <row r="88" spans="1:23" ht="10.5" customHeight="1" x14ac:dyDescent="0.25">
      <c r="A88" s="19">
        <v>46026</v>
      </c>
      <c r="B88" s="20" t="str">
        <f t="shared" si="2"/>
        <v>04/01/2026NL600068</v>
      </c>
      <c r="C88" s="21" t="s">
        <v>839</v>
      </c>
      <c r="D88" s="21" t="s">
        <v>819</v>
      </c>
      <c r="E88" s="20" t="s">
        <v>820</v>
      </c>
      <c r="F88" s="20" t="s">
        <v>821</v>
      </c>
      <c r="G88" s="20" t="s">
        <v>840</v>
      </c>
      <c r="H88" s="20" t="s">
        <v>324</v>
      </c>
      <c r="I88" s="20" t="s">
        <v>59</v>
      </c>
      <c r="J88" s="20" t="s">
        <v>190</v>
      </c>
      <c r="K88" s="22">
        <v>0.4</v>
      </c>
      <c r="L88" s="23">
        <v>95000</v>
      </c>
      <c r="M88" s="23">
        <v>0</v>
      </c>
      <c r="N88" s="24">
        <f t="shared" si="3"/>
        <v>38000</v>
      </c>
      <c r="O88" s="24">
        <v>0</v>
      </c>
      <c r="P88" s="23">
        <v>95000</v>
      </c>
      <c r="Q88" s="20" t="s">
        <v>824</v>
      </c>
      <c r="R88" s="20" t="s">
        <v>825</v>
      </c>
      <c r="S88" s="20" t="s">
        <v>12</v>
      </c>
      <c r="T88" s="20" t="s">
        <v>826</v>
      </c>
      <c r="U88" s="20" t="s">
        <v>12</v>
      </c>
      <c r="V88" s="20" t="s">
        <v>827</v>
      </c>
      <c r="W88" s="20" t="s">
        <v>827</v>
      </c>
    </row>
    <row r="89" spans="1:23" ht="10.5" customHeight="1" x14ac:dyDescent="0.25">
      <c r="A89" s="19">
        <v>46026</v>
      </c>
      <c r="B89" s="20" t="str">
        <f t="shared" si="2"/>
        <v>04/01/2026NL300013</v>
      </c>
      <c r="C89" s="21" t="s">
        <v>839</v>
      </c>
      <c r="D89" s="21" t="s">
        <v>819</v>
      </c>
      <c r="E89" s="20" t="s">
        <v>820</v>
      </c>
      <c r="F89" s="20" t="s">
        <v>821</v>
      </c>
      <c r="G89" s="20" t="s">
        <v>840</v>
      </c>
      <c r="H89" s="20" t="s">
        <v>236</v>
      </c>
      <c r="I89" s="20" t="s">
        <v>65</v>
      </c>
      <c r="J89" s="20" t="s">
        <v>190</v>
      </c>
      <c r="K89" s="22">
        <v>0</v>
      </c>
      <c r="L89" s="23">
        <v>50000</v>
      </c>
      <c r="M89" s="23">
        <v>0</v>
      </c>
      <c r="N89" s="24">
        <f t="shared" si="3"/>
        <v>0</v>
      </c>
      <c r="O89" s="24">
        <v>0</v>
      </c>
      <c r="P89" s="23">
        <v>50000</v>
      </c>
      <c r="Q89" s="20" t="s">
        <v>824</v>
      </c>
      <c r="R89" s="20" t="s">
        <v>825</v>
      </c>
      <c r="S89" s="20" t="s">
        <v>12</v>
      </c>
      <c r="T89" s="20" t="s">
        <v>826</v>
      </c>
      <c r="U89" s="20" t="s">
        <v>12</v>
      </c>
      <c r="V89" s="20" t="s">
        <v>827</v>
      </c>
      <c r="W89" s="20" t="s">
        <v>827</v>
      </c>
    </row>
    <row r="90" spans="1:23" ht="10.5" customHeight="1" x14ac:dyDescent="0.25">
      <c r="A90" s="19">
        <v>46026</v>
      </c>
      <c r="B90" s="20" t="str">
        <f t="shared" si="2"/>
        <v>04/01/2026NL300018</v>
      </c>
      <c r="C90" s="21" t="s">
        <v>839</v>
      </c>
      <c r="D90" s="21" t="s">
        <v>819</v>
      </c>
      <c r="E90" s="20" t="s">
        <v>820</v>
      </c>
      <c r="F90" s="20" t="s">
        <v>821</v>
      </c>
      <c r="G90" s="20" t="s">
        <v>840</v>
      </c>
      <c r="H90" s="20" t="s">
        <v>294</v>
      </c>
      <c r="I90" s="20" t="s">
        <v>830</v>
      </c>
      <c r="J90" s="20" t="s">
        <v>190</v>
      </c>
      <c r="K90" s="22">
        <v>2.6</v>
      </c>
      <c r="L90" s="23">
        <v>38000</v>
      </c>
      <c r="M90" s="23">
        <v>0</v>
      </c>
      <c r="N90" s="24">
        <f t="shared" si="3"/>
        <v>98800</v>
      </c>
      <c r="O90" s="24">
        <v>0</v>
      </c>
      <c r="P90" s="23">
        <v>38000</v>
      </c>
      <c r="Q90" s="20" t="s">
        <v>824</v>
      </c>
      <c r="R90" s="20" t="s">
        <v>825</v>
      </c>
      <c r="S90" s="20" t="s">
        <v>12</v>
      </c>
      <c r="T90" s="20" t="s">
        <v>826</v>
      </c>
      <c r="U90" s="20" t="s">
        <v>12</v>
      </c>
      <c r="V90" s="20" t="s">
        <v>827</v>
      </c>
      <c r="W90" s="20" t="s">
        <v>827</v>
      </c>
    </row>
    <row r="91" spans="1:23" ht="10.5" customHeight="1" x14ac:dyDescent="0.25">
      <c r="A91" s="19">
        <v>46026</v>
      </c>
      <c r="B91" s="20" t="str">
        <f t="shared" si="2"/>
        <v>04/01/2026NL300022</v>
      </c>
      <c r="C91" s="21" t="s">
        <v>839</v>
      </c>
      <c r="D91" s="21" t="s">
        <v>819</v>
      </c>
      <c r="E91" s="20" t="s">
        <v>820</v>
      </c>
      <c r="F91" s="20" t="s">
        <v>821</v>
      </c>
      <c r="G91" s="20" t="s">
        <v>840</v>
      </c>
      <c r="H91" s="20" t="s">
        <v>305</v>
      </c>
      <c r="I91" s="20" t="s">
        <v>67</v>
      </c>
      <c r="J91" s="20" t="s">
        <v>190</v>
      </c>
      <c r="K91" s="22">
        <v>10</v>
      </c>
      <c r="L91" s="23">
        <v>18000</v>
      </c>
      <c r="M91" s="23">
        <v>0</v>
      </c>
      <c r="N91" s="24">
        <f t="shared" si="3"/>
        <v>180000</v>
      </c>
      <c r="O91" s="24">
        <v>0</v>
      </c>
      <c r="P91" s="23">
        <v>18000</v>
      </c>
      <c r="Q91" s="20" t="s">
        <v>824</v>
      </c>
      <c r="R91" s="20" t="s">
        <v>825</v>
      </c>
      <c r="S91" s="20" t="s">
        <v>12</v>
      </c>
      <c r="T91" s="20" t="s">
        <v>826</v>
      </c>
      <c r="U91" s="20" t="s">
        <v>12</v>
      </c>
      <c r="V91" s="20" t="s">
        <v>827</v>
      </c>
      <c r="W91" s="20" t="s">
        <v>827</v>
      </c>
    </row>
    <row r="92" spans="1:23" ht="10.5" customHeight="1" x14ac:dyDescent="0.25">
      <c r="A92" s="19">
        <v>46026</v>
      </c>
      <c r="B92" s="20" t="str">
        <f t="shared" si="2"/>
        <v>04/01/2026NL300033</v>
      </c>
      <c r="C92" s="21" t="s">
        <v>839</v>
      </c>
      <c r="D92" s="21" t="s">
        <v>819</v>
      </c>
      <c r="E92" s="20" t="s">
        <v>820</v>
      </c>
      <c r="F92" s="20" t="s">
        <v>821</v>
      </c>
      <c r="G92" s="20" t="s">
        <v>840</v>
      </c>
      <c r="H92" s="20" t="s">
        <v>335</v>
      </c>
      <c r="I92" s="20" t="s">
        <v>823</v>
      </c>
      <c r="J92" s="20" t="s">
        <v>190</v>
      </c>
      <c r="K92" s="22">
        <v>0.9</v>
      </c>
      <c r="L92" s="23">
        <v>13000</v>
      </c>
      <c r="M92" s="23">
        <v>0</v>
      </c>
      <c r="N92" s="24">
        <f t="shared" si="3"/>
        <v>11700</v>
      </c>
      <c r="O92" s="24">
        <v>0</v>
      </c>
      <c r="P92" s="23">
        <v>13000</v>
      </c>
      <c r="Q92" s="20" t="s">
        <v>824</v>
      </c>
      <c r="R92" s="20" t="s">
        <v>825</v>
      </c>
      <c r="S92" s="20" t="s">
        <v>12</v>
      </c>
      <c r="T92" s="20" t="s">
        <v>826</v>
      </c>
      <c r="U92" s="20" t="s">
        <v>12</v>
      </c>
      <c r="V92" s="20" t="s">
        <v>827</v>
      </c>
      <c r="W92" s="20" t="s">
        <v>827</v>
      </c>
    </row>
    <row r="93" spans="1:23" ht="10.5" customHeight="1" x14ac:dyDescent="0.25">
      <c r="A93" s="19">
        <v>46026</v>
      </c>
      <c r="B93" s="20" t="str">
        <f t="shared" si="2"/>
        <v>04/01/2026NL300036</v>
      </c>
      <c r="C93" s="21" t="s">
        <v>839</v>
      </c>
      <c r="D93" s="21" t="s">
        <v>819</v>
      </c>
      <c r="E93" s="20" t="s">
        <v>820</v>
      </c>
      <c r="F93" s="20" t="s">
        <v>821</v>
      </c>
      <c r="G93" s="20" t="s">
        <v>840</v>
      </c>
      <c r="H93" s="20" t="s">
        <v>357</v>
      </c>
      <c r="I93" s="20" t="s">
        <v>17</v>
      </c>
      <c r="J93" s="20" t="s">
        <v>190</v>
      </c>
      <c r="K93" s="22">
        <v>0.66</v>
      </c>
      <c r="L93" s="23">
        <v>47000</v>
      </c>
      <c r="M93" s="23">
        <v>0</v>
      </c>
      <c r="N93" s="24">
        <f t="shared" si="3"/>
        <v>31020</v>
      </c>
      <c r="O93" s="24">
        <v>0</v>
      </c>
      <c r="P93" s="23">
        <v>47000</v>
      </c>
      <c r="Q93" s="20" t="s">
        <v>824</v>
      </c>
      <c r="R93" s="20" t="s">
        <v>825</v>
      </c>
      <c r="S93" s="20" t="s">
        <v>12</v>
      </c>
      <c r="T93" s="20" t="s">
        <v>826</v>
      </c>
      <c r="U93" s="20" t="s">
        <v>12</v>
      </c>
      <c r="V93" s="20" t="s">
        <v>827</v>
      </c>
      <c r="W93" s="20" t="s">
        <v>827</v>
      </c>
    </row>
    <row r="94" spans="1:23" ht="10.5" customHeight="1" x14ac:dyDescent="0.25">
      <c r="A94" s="19">
        <v>46026</v>
      </c>
      <c r="B94" s="20" t="str">
        <f t="shared" si="2"/>
        <v>04/01/2026NL300058</v>
      </c>
      <c r="C94" s="21" t="s">
        <v>839</v>
      </c>
      <c r="D94" s="21" t="s">
        <v>819</v>
      </c>
      <c r="E94" s="20" t="s">
        <v>820</v>
      </c>
      <c r="F94" s="20" t="s">
        <v>821</v>
      </c>
      <c r="G94" s="20" t="s">
        <v>840</v>
      </c>
      <c r="H94" s="20" t="s">
        <v>450</v>
      </c>
      <c r="I94" s="20" t="s">
        <v>19</v>
      </c>
      <c r="J94" s="20" t="s">
        <v>190</v>
      </c>
      <c r="K94" s="22">
        <v>1</v>
      </c>
      <c r="L94" s="23">
        <v>55000</v>
      </c>
      <c r="M94" s="23">
        <v>0</v>
      </c>
      <c r="N94" s="24">
        <f t="shared" si="3"/>
        <v>55000</v>
      </c>
      <c r="O94" s="24">
        <v>0</v>
      </c>
      <c r="P94" s="23">
        <v>55000</v>
      </c>
      <c r="Q94" s="20" t="s">
        <v>824</v>
      </c>
      <c r="R94" s="20" t="s">
        <v>825</v>
      </c>
      <c r="S94" s="20" t="s">
        <v>12</v>
      </c>
      <c r="T94" s="20" t="s">
        <v>826</v>
      </c>
      <c r="U94" s="20" t="s">
        <v>12</v>
      </c>
      <c r="V94" s="20" t="s">
        <v>827</v>
      </c>
      <c r="W94" s="20" t="s">
        <v>827</v>
      </c>
    </row>
    <row r="95" spans="1:23" ht="10.5" customHeight="1" x14ac:dyDescent="0.25">
      <c r="A95" s="19">
        <v>46026</v>
      </c>
      <c r="B95" s="20" t="str">
        <f t="shared" si="2"/>
        <v>04/01/2026NL300084</v>
      </c>
      <c r="C95" s="21" t="s">
        <v>839</v>
      </c>
      <c r="D95" s="21" t="s">
        <v>819</v>
      </c>
      <c r="E95" s="20" t="s">
        <v>820</v>
      </c>
      <c r="F95" s="20" t="s">
        <v>821</v>
      </c>
      <c r="G95" s="20" t="s">
        <v>840</v>
      </c>
      <c r="H95" s="20" t="s">
        <v>562</v>
      </c>
      <c r="I95" s="20" t="s">
        <v>563</v>
      </c>
      <c r="J95" s="20" t="s">
        <v>190</v>
      </c>
      <c r="K95" s="22">
        <v>1.5</v>
      </c>
      <c r="L95" s="23">
        <v>22000</v>
      </c>
      <c r="M95" s="23">
        <v>0</v>
      </c>
      <c r="N95" s="24">
        <f t="shared" si="3"/>
        <v>33000</v>
      </c>
      <c r="O95" s="24">
        <v>0</v>
      </c>
      <c r="P95" s="23">
        <v>22000</v>
      </c>
      <c r="Q95" s="20" t="s">
        <v>824</v>
      </c>
      <c r="R95" s="20" t="s">
        <v>825</v>
      </c>
      <c r="S95" s="20" t="s">
        <v>12</v>
      </c>
      <c r="T95" s="20" t="s">
        <v>826</v>
      </c>
      <c r="U95" s="20" t="s">
        <v>12</v>
      </c>
      <c r="V95" s="20" t="s">
        <v>827</v>
      </c>
      <c r="W95" s="20" t="s">
        <v>827</v>
      </c>
    </row>
    <row r="96" spans="1:23" ht="10.5" customHeight="1" x14ac:dyDescent="0.25">
      <c r="A96" s="19">
        <v>46026</v>
      </c>
      <c r="B96" s="20" t="str">
        <f t="shared" si="2"/>
        <v>04/01/2026NL300085</v>
      </c>
      <c r="C96" s="21" t="s">
        <v>839</v>
      </c>
      <c r="D96" s="21" t="s">
        <v>819</v>
      </c>
      <c r="E96" s="20" t="s">
        <v>820</v>
      </c>
      <c r="F96" s="20" t="s">
        <v>821</v>
      </c>
      <c r="G96" s="20" t="s">
        <v>840</v>
      </c>
      <c r="H96" s="20" t="s">
        <v>564</v>
      </c>
      <c r="I96" s="20" t="s">
        <v>565</v>
      </c>
      <c r="J96" s="20" t="s">
        <v>190</v>
      </c>
      <c r="K96" s="22">
        <v>0.4</v>
      </c>
      <c r="L96" s="23">
        <v>45000</v>
      </c>
      <c r="M96" s="23">
        <v>0</v>
      </c>
      <c r="N96" s="24">
        <f t="shared" si="3"/>
        <v>18000</v>
      </c>
      <c r="O96" s="24">
        <v>0</v>
      </c>
      <c r="P96" s="23">
        <v>45000</v>
      </c>
      <c r="Q96" s="20" t="s">
        <v>824</v>
      </c>
      <c r="R96" s="20" t="s">
        <v>825</v>
      </c>
      <c r="S96" s="20" t="s">
        <v>12</v>
      </c>
      <c r="T96" s="20" t="s">
        <v>826</v>
      </c>
      <c r="U96" s="20" t="s">
        <v>12</v>
      </c>
      <c r="V96" s="20" t="s">
        <v>827</v>
      </c>
      <c r="W96" s="20" t="s">
        <v>827</v>
      </c>
    </row>
    <row r="97" spans="1:23" ht="10.5" customHeight="1" x14ac:dyDescent="0.25">
      <c r="A97" s="19">
        <v>46027</v>
      </c>
      <c r="B97" s="20" t="str">
        <f t="shared" si="2"/>
        <v>05/01/2026NL300054</v>
      </c>
      <c r="C97" s="21" t="s">
        <v>841</v>
      </c>
      <c r="D97" s="21" t="s">
        <v>819</v>
      </c>
      <c r="E97" s="20" t="s">
        <v>820</v>
      </c>
      <c r="F97" s="20" t="s">
        <v>821</v>
      </c>
      <c r="G97" s="20" t="s">
        <v>842</v>
      </c>
      <c r="H97" s="20" t="s">
        <v>445</v>
      </c>
      <c r="I97" s="20" t="s">
        <v>446</v>
      </c>
      <c r="J97" s="20" t="s">
        <v>190</v>
      </c>
      <c r="K97" s="22">
        <v>0.4</v>
      </c>
      <c r="L97" s="23">
        <v>38000</v>
      </c>
      <c r="M97" s="23">
        <v>0</v>
      </c>
      <c r="N97" s="24">
        <f t="shared" si="3"/>
        <v>15200</v>
      </c>
      <c r="O97" s="24">
        <v>0</v>
      </c>
      <c r="P97" s="23">
        <v>38000</v>
      </c>
      <c r="Q97" s="20" t="s">
        <v>824</v>
      </c>
      <c r="R97" s="20" t="s">
        <v>825</v>
      </c>
      <c r="S97" s="20" t="s">
        <v>12</v>
      </c>
      <c r="T97" s="20" t="s">
        <v>826</v>
      </c>
      <c r="U97" s="20" t="s">
        <v>12</v>
      </c>
      <c r="V97" s="20" t="s">
        <v>827</v>
      </c>
      <c r="W97" s="20" t="s">
        <v>827</v>
      </c>
    </row>
    <row r="98" spans="1:23" ht="10.5" customHeight="1" x14ac:dyDescent="0.25">
      <c r="A98" s="19">
        <v>46027</v>
      </c>
      <c r="B98" s="20" t="str">
        <f t="shared" si="2"/>
        <v>05/01/2026NL300058</v>
      </c>
      <c r="C98" s="21" t="s">
        <v>841</v>
      </c>
      <c r="D98" s="21" t="s">
        <v>819</v>
      </c>
      <c r="E98" s="20" t="s">
        <v>820</v>
      </c>
      <c r="F98" s="20" t="s">
        <v>821</v>
      </c>
      <c r="G98" s="20" t="s">
        <v>842</v>
      </c>
      <c r="H98" s="20" t="s">
        <v>450</v>
      </c>
      <c r="I98" s="20" t="s">
        <v>19</v>
      </c>
      <c r="J98" s="20" t="s">
        <v>190</v>
      </c>
      <c r="K98" s="22">
        <v>0.5</v>
      </c>
      <c r="L98" s="23">
        <v>55000</v>
      </c>
      <c r="M98" s="23">
        <v>0</v>
      </c>
      <c r="N98" s="24">
        <f t="shared" si="3"/>
        <v>27500</v>
      </c>
      <c r="O98" s="24">
        <v>0</v>
      </c>
      <c r="P98" s="23">
        <v>55000</v>
      </c>
      <c r="Q98" s="20" t="s">
        <v>824</v>
      </c>
      <c r="R98" s="20" t="s">
        <v>825</v>
      </c>
      <c r="S98" s="20" t="s">
        <v>12</v>
      </c>
      <c r="T98" s="20" t="s">
        <v>826</v>
      </c>
      <c r="U98" s="20" t="s">
        <v>12</v>
      </c>
      <c r="V98" s="20" t="s">
        <v>827</v>
      </c>
      <c r="W98" s="20" t="s">
        <v>827</v>
      </c>
    </row>
    <row r="99" spans="1:23" ht="10.5" customHeight="1" x14ac:dyDescent="0.25">
      <c r="A99" s="19">
        <v>46027</v>
      </c>
      <c r="B99" s="20" t="str">
        <f t="shared" si="2"/>
        <v>05/01/2026NL300084</v>
      </c>
      <c r="C99" s="21" t="s">
        <v>841</v>
      </c>
      <c r="D99" s="21" t="s">
        <v>819</v>
      </c>
      <c r="E99" s="20" t="s">
        <v>820</v>
      </c>
      <c r="F99" s="20" t="s">
        <v>821</v>
      </c>
      <c r="G99" s="20" t="s">
        <v>842</v>
      </c>
      <c r="H99" s="20" t="s">
        <v>562</v>
      </c>
      <c r="I99" s="20" t="s">
        <v>563</v>
      </c>
      <c r="J99" s="20" t="s">
        <v>190</v>
      </c>
      <c r="K99" s="22">
        <v>1</v>
      </c>
      <c r="L99" s="23">
        <v>22000</v>
      </c>
      <c r="M99" s="23">
        <v>0</v>
      </c>
      <c r="N99" s="24">
        <f t="shared" si="3"/>
        <v>22000</v>
      </c>
      <c r="O99" s="24">
        <v>0</v>
      </c>
      <c r="P99" s="23">
        <v>22000</v>
      </c>
      <c r="Q99" s="20" t="s">
        <v>824</v>
      </c>
      <c r="R99" s="20" t="s">
        <v>825</v>
      </c>
      <c r="S99" s="20" t="s">
        <v>12</v>
      </c>
      <c r="T99" s="20" t="s">
        <v>826</v>
      </c>
      <c r="U99" s="20" t="s">
        <v>12</v>
      </c>
      <c r="V99" s="20" t="s">
        <v>827</v>
      </c>
      <c r="W99" s="20" t="s">
        <v>827</v>
      </c>
    </row>
    <row r="100" spans="1:23" ht="10.5" customHeight="1" x14ac:dyDescent="0.25">
      <c r="A100" s="19">
        <v>46027</v>
      </c>
      <c r="B100" s="20" t="str">
        <f t="shared" si="2"/>
        <v>05/01/2026NL300085</v>
      </c>
      <c r="C100" s="21" t="s">
        <v>841</v>
      </c>
      <c r="D100" s="21" t="s">
        <v>819</v>
      </c>
      <c r="E100" s="20" t="s">
        <v>820</v>
      </c>
      <c r="F100" s="20" t="s">
        <v>821</v>
      </c>
      <c r="G100" s="20" t="s">
        <v>842</v>
      </c>
      <c r="H100" s="20" t="s">
        <v>564</v>
      </c>
      <c r="I100" s="20" t="s">
        <v>565</v>
      </c>
      <c r="J100" s="20" t="s">
        <v>190</v>
      </c>
      <c r="K100" s="22">
        <v>0.3</v>
      </c>
      <c r="L100" s="23">
        <v>45000</v>
      </c>
      <c r="M100" s="23">
        <v>0</v>
      </c>
      <c r="N100" s="24">
        <f t="shared" si="3"/>
        <v>13500</v>
      </c>
      <c r="O100" s="24">
        <v>0</v>
      </c>
      <c r="P100" s="23">
        <v>45000</v>
      </c>
      <c r="Q100" s="20" t="s">
        <v>824</v>
      </c>
      <c r="R100" s="20" t="s">
        <v>825</v>
      </c>
      <c r="S100" s="20" t="s">
        <v>12</v>
      </c>
      <c r="T100" s="20" t="s">
        <v>826</v>
      </c>
      <c r="U100" s="20" t="s">
        <v>12</v>
      </c>
      <c r="V100" s="20" t="s">
        <v>827</v>
      </c>
      <c r="W100" s="20" t="s">
        <v>827</v>
      </c>
    </row>
    <row r="101" spans="1:23" ht="10.5" customHeight="1" x14ac:dyDescent="0.25">
      <c r="A101" s="19">
        <v>46027</v>
      </c>
      <c r="B101" s="20" t="str">
        <f t="shared" si="2"/>
        <v>05/01/2026NL300090</v>
      </c>
      <c r="C101" s="21" t="s">
        <v>841</v>
      </c>
      <c r="D101" s="21" t="s">
        <v>819</v>
      </c>
      <c r="E101" s="20" t="s">
        <v>820</v>
      </c>
      <c r="F101" s="20" t="s">
        <v>821</v>
      </c>
      <c r="G101" s="20" t="s">
        <v>842</v>
      </c>
      <c r="H101" s="20" t="s">
        <v>578</v>
      </c>
      <c r="I101" s="20" t="s">
        <v>37</v>
      </c>
      <c r="J101" s="20" t="s">
        <v>190</v>
      </c>
      <c r="K101" s="22">
        <v>2</v>
      </c>
      <c r="L101" s="23">
        <v>145000</v>
      </c>
      <c r="M101" s="23">
        <v>0</v>
      </c>
      <c r="N101" s="24">
        <f t="shared" si="3"/>
        <v>290000</v>
      </c>
      <c r="O101" s="24">
        <v>0</v>
      </c>
      <c r="P101" s="23">
        <v>145000</v>
      </c>
      <c r="Q101" s="20" t="s">
        <v>824</v>
      </c>
      <c r="R101" s="20" t="s">
        <v>825</v>
      </c>
      <c r="S101" s="20" t="s">
        <v>12</v>
      </c>
      <c r="T101" s="20" t="s">
        <v>826</v>
      </c>
      <c r="U101" s="20" t="s">
        <v>12</v>
      </c>
      <c r="V101" s="20" t="s">
        <v>827</v>
      </c>
      <c r="W101" s="20" t="s">
        <v>827</v>
      </c>
    </row>
    <row r="102" spans="1:23" ht="10.5" customHeight="1" x14ac:dyDescent="0.25">
      <c r="A102" s="19">
        <v>46027</v>
      </c>
      <c r="B102" s="20" t="str">
        <f t="shared" si="2"/>
        <v>05/01/2026NL300091</v>
      </c>
      <c r="C102" s="21" t="s">
        <v>841</v>
      </c>
      <c r="D102" s="21" t="s">
        <v>819</v>
      </c>
      <c r="E102" s="20" t="s">
        <v>820</v>
      </c>
      <c r="F102" s="20" t="s">
        <v>821</v>
      </c>
      <c r="G102" s="20" t="s">
        <v>842</v>
      </c>
      <c r="H102" s="20" t="s">
        <v>580</v>
      </c>
      <c r="I102" s="20" t="s">
        <v>39</v>
      </c>
      <c r="J102" s="20" t="s">
        <v>190</v>
      </c>
      <c r="K102" s="22">
        <v>5</v>
      </c>
      <c r="L102" s="23">
        <v>47000</v>
      </c>
      <c r="M102" s="23">
        <v>0</v>
      </c>
      <c r="N102" s="24">
        <f t="shared" si="3"/>
        <v>235000</v>
      </c>
      <c r="O102" s="24">
        <v>0</v>
      </c>
      <c r="P102" s="23">
        <v>47000</v>
      </c>
      <c r="Q102" s="20" t="s">
        <v>824</v>
      </c>
      <c r="R102" s="20" t="s">
        <v>825</v>
      </c>
      <c r="S102" s="20" t="s">
        <v>12</v>
      </c>
      <c r="T102" s="20" t="s">
        <v>826</v>
      </c>
      <c r="U102" s="20" t="s">
        <v>12</v>
      </c>
      <c r="V102" s="20" t="s">
        <v>827</v>
      </c>
      <c r="W102" s="20" t="s">
        <v>827</v>
      </c>
    </row>
    <row r="103" spans="1:23" ht="10.5" customHeight="1" x14ac:dyDescent="0.25">
      <c r="A103" s="19">
        <v>46027</v>
      </c>
      <c r="B103" s="20" t="str">
        <f t="shared" si="2"/>
        <v>05/01/2026NL300094</v>
      </c>
      <c r="C103" s="21" t="s">
        <v>841</v>
      </c>
      <c r="D103" s="21" t="s">
        <v>819</v>
      </c>
      <c r="E103" s="20" t="s">
        <v>820</v>
      </c>
      <c r="F103" s="20" t="s">
        <v>821</v>
      </c>
      <c r="G103" s="20" t="s">
        <v>842</v>
      </c>
      <c r="H103" s="20" t="s">
        <v>584</v>
      </c>
      <c r="I103" s="20" t="s">
        <v>585</v>
      </c>
      <c r="J103" s="20" t="s">
        <v>190</v>
      </c>
      <c r="K103" s="22">
        <v>2</v>
      </c>
      <c r="L103" s="23">
        <v>80000</v>
      </c>
      <c r="M103" s="23">
        <v>0</v>
      </c>
      <c r="N103" s="24">
        <f t="shared" si="3"/>
        <v>160000</v>
      </c>
      <c r="O103" s="24">
        <v>0</v>
      </c>
      <c r="P103" s="23">
        <v>80000</v>
      </c>
      <c r="Q103" s="20" t="s">
        <v>824</v>
      </c>
      <c r="R103" s="20" t="s">
        <v>825</v>
      </c>
      <c r="S103" s="20" t="s">
        <v>12</v>
      </c>
      <c r="T103" s="20" t="s">
        <v>826</v>
      </c>
      <c r="U103" s="20" t="s">
        <v>12</v>
      </c>
      <c r="V103" s="20" t="s">
        <v>827</v>
      </c>
      <c r="W103" s="20" t="s">
        <v>827</v>
      </c>
    </row>
    <row r="104" spans="1:23" ht="10.5" customHeight="1" x14ac:dyDescent="0.25">
      <c r="A104" s="19">
        <v>46027</v>
      </c>
      <c r="B104" s="20" t="str">
        <f t="shared" si="2"/>
        <v>05/01/2026NL300096</v>
      </c>
      <c r="C104" s="21" t="s">
        <v>841</v>
      </c>
      <c r="D104" s="21" t="s">
        <v>819</v>
      </c>
      <c r="E104" s="20" t="s">
        <v>820</v>
      </c>
      <c r="F104" s="20" t="s">
        <v>821</v>
      </c>
      <c r="G104" s="20" t="s">
        <v>842</v>
      </c>
      <c r="H104" s="20" t="s">
        <v>586</v>
      </c>
      <c r="I104" s="20" t="s">
        <v>43</v>
      </c>
      <c r="J104" s="20" t="s">
        <v>190</v>
      </c>
      <c r="K104" s="22">
        <v>4</v>
      </c>
      <c r="L104" s="23">
        <v>45000</v>
      </c>
      <c r="M104" s="23">
        <v>0</v>
      </c>
      <c r="N104" s="24">
        <f t="shared" si="3"/>
        <v>180000</v>
      </c>
      <c r="O104" s="24">
        <v>0</v>
      </c>
      <c r="P104" s="23">
        <v>45000</v>
      </c>
      <c r="Q104" s="20" t="s">
        <v>824</v>
      </c>
      <c r="R104" s="20" t="s">
        <v>825</v>
      </c>
      <c r="S104" s="20" t="s">
        <v>12</v>
      </c>
      <c r="T104" s="20" t="s">
        <v>826</v>
      </c>
      <c r="U104" s="20" t="s">
        <v>12</v>
      </c>
      <c r="V104" s="20" t="s">
        <v>827</v>
      </c>
      <c r="W104" s="20" t="s">
        <v>827</v>
      </c>
    </row>
    <row r="105" spans="1:23" ht="10.5" customHeight="1" x14ac:dyDescent="0.25">
      <c r="A105" s="19">
        <v>46027</v>
      </c>
      <c r="B105" s="20" t="str">
        <f t="shared" si="2"/>
        <v>05/01/2026NL300098</v>
      </c>
      <c r="C105" s="21" t="s">
        <v>841</v>
      </c>
      <c r="D105" s="21" t="s">
        <v>819</v>
      </c>
      <c r="E105" s="20" t="s">
        <v>820</v>
      </c>
      <c r="F105" s="20" t="s">
        <v>821</v>
      </c>
      <c r="G105" s="20" t="s">
        <v>842</v>
      </c>
      <c r="H105" s="20" t="s">
        <v>590</v>
      </c>
      <c r="I105" s="20" t="s">
        <v>591</v>
      </c>
      <c r="J105" s="20" t="s">
        <v>190</v>
      </c>
      <c r="K105" s="22">
        <v>3</v>
      </c>
      <c r="L105" s="23">
        <v>95000</v>
      </c>
      <c r="M105" s="23">
        <v>0</v>
      </c>
      <c r="N105" s="24">
        <f t="shared" si="3"/>
        <v>285000</v>
      </c>
      <c r="O105" s="24">
        <v>0</v>
      </c>
      <c r="P105" s="23">
        <v>95000</v>
      </c>
      <c r="Q105" s="20" t="s">
        <v>824</v>
      </c>
      <c r="R105" s="20" t="s">
        <v>825</v>
      </c>
      <c r="S105" s="20" t="s">
        <v>12</v>
      </c>
      <c r="T105" s="20" t="s">
        <v>826</v>
      </c>
      <c r="U105" s="20" t="s">
        <v>12</v>
      </c>
      <c r="V105" s="20" t="s">
        <v>827</v>
      </c>
      <c r="W105" s="20" t="s">
        <v>827</v>
      </c>
    </row>
    <row r="106" spans="1:23" ht="10.5" customHeight="1" x14ac:dyDescent="0.25">
      <c r="A106" s="19">
        <v>46027</v>
      </c>
      <c r="B106" s="20" t="str">
        <f t="shared" si="2"/>
        <v>05/01/2026NL300107</v>
      </c>
      <c r="C106" s="21" t="s">
        <v>841</v>
      </c>
      <c r="D106" s="21" t="s">
        <v>819</v>
      </c>
      <c r="E106" s="20" t="s">
        <v>820</v>
      </c>
      <c r="F106" s="20" t="s">
        <v>821</v>
      </c>
      <c r="G106" s="20" t="s">
        <v>842</v>
      </c>
      <c r="H106" s="20" t="s">
        <v>616</v>
      </c>
      <c r="I106" s="20" t="s">
        <v>828</v>
      </c>
      <c r="J106" s="20" t="s">
        <v>385</v>
      </c>
      <c r="K106" s="22">
        <v>4</v>
      </c>
      <c r="L106" s="23">
        <v>8500</v>
      </c>
      <c r="M106" s="23">
        <v>0</v>
      </c>
      <c r="N106" s="24">
        <f t="shared" si="3"/>
        <v>34000</v>
      </c>
      <c r="O106" s="24">
        <v>0</v>
      </c>
      <c r="P106" s="23">
        <v>8500</v>
      </c>
      <c r="Q106" s="20" t="s">
        <v>824</v>
      </c>
      <c r="R106" s="20" t="s">
        <v>825</v>
      </c>
      <c r="S106" s="20" t="s">
        <v>12</v>
      </c>
      <c r="T106" s="20" t="s">
        <v>826</v>
      </c>
      <c r="U106" s="20" t="s">
        <v>12</v>
      </c>
      <c r="V106" s="20" t="s">
        <v>827</v>
      </c>
      <c r="W106" s="20" t="s">
        <v>827</v>
      </c>
    </row>
    <row r="107" spans="1:23" ht="10.5" customHeight="1" x14ac:dyDescent="0.25">
      <c r="A107" s="19">
        <v>46027</v>
      </c>
      <c r="B107" s="20" t="str">
        <f t="shared" si="2"/>
        <v>05/01/2026NL300142</v>
      </c>
      <c r="C107" s="21" t="s">
        <v>841</v>
      </c>
      <c r="D107" s="21" t="s">
        <v>819</v>
      </c>
      <c r="E107" s="20" t="s">
        <v>820</v>
      </c>
      <c r="F107" s="20" t="s">
        <v>821</v>
      </c>
      <c r="G107" s="20" t="s">
        <v>842</v>
      </c>
      <c r="H107" s="20" t="s">
        <v>766</v>
      </c>
      <c r="I107" s="20" t="s">
        <v>829</v>
      </c>
      <c r="J107" s="20" t="s">
        <v>190</v>
      </c>
      <c r="K107" s="22">
        <v>1</v>
      </c>
      <c r="L107" s="23">
        <v>50000</v>
      </c>
      <c r="M107" s="23">
        <v>0</v>
      </c>
      <c r="N107" s="24">
        <f t="shared" si="3"/>
        <v>50000</v>
      </c>
      <c r="O107" s="24">
        <v>0</v>
      </c>
      <c r="P107" s="23">
        <v>50000</v>
      </c>
      <c r="Q107" s="20" t="s">
        <v>824</v>
      </c>
      <c r="R107" s="20" t="s">
        <v>825</v>
      </c>
      <c r="S107" s="20" t="s">
        <v>12</v>
      </c>
      <c r="T107" s="20" t="s">
        <v>826</v>
      </c>
      <c r="U107" s="20" t="s">
        <v>12</v>
      </c>
      <c r="V107" s="20" t="s">
        <v>827</v>
      </c>
      <c r="W107" s="20" t="s">
        <v>827</v>
      </c>
    </row>
    <row r="108" spans="1:23" ht="10.5" customHeight="1" x14ac:dyDescent="0.25">
      <c r="A108" s="19">
        <v>46027</v>
      </c>
      <c r="B108" s="20" t="str">
        <f t="shared" si="2"/>
        <v>05/01/2026NL300147</v>
      </c>
      <c r="C108" s="21" t="s">
        <v>841</v>
      </c>
      <c r="D108" s="21" t="s">
        <v>819</v>
      </c>
      <c r="E108" s="20" t="s">
        <v>820</v>
      </c>
      <c r="F108" s="20" t="s">
        <v>821</v>
      </c>
      <c r="G108" s="20" t="s">
        <v>842</v>
      </c>
      <c r="H108" s="20" t="s">
        <v>790</v>
      </c>
      <c r="I108" s="20" t="s">
        <v>791</v>
      </c>
      <c r="J108" s="20" t="s">
        <v>190</v>
      </c>
      <c r="K108" s="22">
        <v>5.5</v>
      </c>
      <c r="L108" s="23">
        <v>62000</v>
      </c>
      <c r="M108" s="23">
        <v>0</v>
      </c>
      <c r="N108" s="24">
        <f t="shared" si="3"/>
        <v>341000</v>
      </c>
      <c r="O108" s="24">
        <v>0</v>
      </c>
      <c r="P108" s="23">
        <v>62000</v>
      </c>
      <c r="Q108" s="20" t="s">
        <v>824</v>
      </c>
      <c r="R108" s="20" t="s">
        <v>825</v>
      </c>
      <c r="S108" s="20" t="s">
        <v>12</v>
      </c>
      <c r="T108" s="20" t="s">
        <v>826</v>
      </c>
      <c r="U108" s="20" t="s">
        <v>12</v>
      </c>
      <c r="V108" s="20" t="s">
        <v>827</v>
      </c>
      <c r="W108" s="20" t="s">
        <v>827</v>
      </c>
    </row>
    <row r="109" spans="1:23" ht="10.5" customHeight="1" x14ac:dyDescent="0.25">
      <c r="A109" s="19">
        <v>46027</v>
      </c>
      <c r="B109" s="20" t="str">
        <f t="shared" si="2"/>
        <v>05/01/2026NL300203</v>
      </c>
      <c r="C109" s="21" t="s">
        <v>841</v>
      </c>
      <c r="D109" s="21" t="s">
        <v>819</v>
      </c>
      <c r="E109" s="20" t="s">
        <v>820</v>
      </c>
      <c r="F109" s="20" t="s">
        <v>821</v>
      </c>
      <c r="G109" s="20" t="s">
        <v>842</v>
      </c>
      <c r="H109" s="20" t="s">
        <v>346</v>
      </c>
      <c r="I109" s="20" t="s">
        <v>347</v>
      </c>
      <c r="J109" s="20" t="s">
        <v>190</v>
      </c>
      <c r="K109" s="22">
        <v>0</v>
      </c>
      <c r="L109" s="23">
        <v>45000</v>
      </c>
      <c r="M109" s="23">
        <v>0</v>
      </c>
      <c r="N109" s="24">
        <f t="shared" si="3"/>
        <v>0</v>
      </c>
      <c r="O109" s="24">
        <v>0</v>
      </c>
      <c r="P109" s="23">
        <v>45000</v>
      </c>
      <c r="Q109" s="20" t="s">
        <v>824</v>
      </c>
      <c r="R109" s="20" t="s">
        <v>825</v>
      </c>
      <c r="S109" s="20" t="s">
        <v>12</v>
      </c>
      <c r="T109" s="20" t="s">
        <v>826</v>
      </c>
      <c r="U109" s="20" t="s">
        <v>12</v>
      </c>
      <c r="V109" s="20" t="s">
        <v>827</v>
      </c>
      <c r="W109" s="20" t="s">
        <v>827</v>
      </c>
    </row>
    <row r="110" spans="1:23" ht="10.5" customHeight="1" x14ac:dyDescent="0.25">
      <c r="A110" s="19">
        <v>46027</v>
      </c>
      <c r="B110" s="20" t="str">
        <f t="shared" si="2"/>
        <v>05/01/2026NL300062</v>
      </c>
      <c r="C110" s="21" t="s">
        <v>841</v>
      </c>
      <c r="D110" s="21" t="s">
        <v>819</v>
      </c>
      <c r="E110" s="20" t="s">
        <v>820</v>
      </c>
      <c r="F110" s="20" t="s">
        <v>821</v>
      </c>
      <c r="G110" s="20" t="s">
        <v>842</v>
      </c>
      <c r="H110" s="20" t="s">
        <v>468</v>
      </c>
      <c r="I110" s="20" t="s">
        <v>469</v>
      </c>
      <c r="J110" s="20" t="s">
        <v>190</v>
      </c>
      <c r="K110" s="22">
        <v>0</v>
      </c>
      <c r="L110" s="23">
        <v>65000</v>
      </c>
      <c r="M110" s="23">
        <v>0</v>
      </c>
      <c r="N110" s="24">
        <f t="shared" si="3"/>
        <v>0</v>
      </c>
      <c r="O110" s="24">
        <v>0</v>
      </c>
      <c r="P110" s="23">
        <v>65000</v>
      </c>
      <c r="Q110" s="20" t="s">
        <v>824</v>
      </c>
      <c r="R110" s="20" t="s">
        <v>825</v>
      </c>
      <c r="S110" s="20" t="s">
        <v>12</v>
      </c>
      <c r="T110" s="20" t="s">
        <v>826</v>
      </c>
      <c r="U110" s="20" t="s">
        <v>12</v>
      </c>
      <c r="V110" s="20" t="s">
        <v>827</v>
      </c>
      <c r="W110" s="20" t="s">
        <v>827</v>
      </c>
    </row>
    <row r="111" spans="1:23" ht="10.5" customHeight="1" x14ac:dyDescent="0.25">
      <c r="A111" s="19">
        <v>46027</v>
      </c>
      <c r="B111" s="20" t="str">
        <f t="shared" si="2"/>
        <v>05/01/2026NL300119</v>
      </c>
      <c r="C111" s="21" t="s">
        <v>841</v>
      </c>
      <c r="D111" s="21" t="s">
        <v>819</v>
      </c>
      <c r="E111" s="20" t="s">
        <v>820</v>
      </c>
      <c r="F111" s="20" t="s">
        <v>821</v>
      </c>
      <c r="G111" s="20" t="s">
        <v>842</v>
      </c>
      <c r="H111" s="20" t="s">
        <v>652</v>
      </c>
      <c r="I111" s="20" t="s">
        <v>653</v>
      </c>
      <c r="J111" s="20" t="s">
        <v>190</v>
      </c>
      <c r="K111" s="22">
        <v>2.5</v>
      </c>
      <c r="L111" s="23">
        <v>21000</v>
      </c>
      <c r="M111" s="23">
        <v>0</v>
      </c>
      <c r="N111" s="24">
        <f t="shared" si="3"/>
        <v>52500</v>
      </c>
      <c r="O111" s="24">
        <v>0</v>
      </c>
      <c r="P111" s="23">
        <v>21000</v>
      </c>
      <c r="Q111" s="20" t="s">
        <v>824</v>
      </c>
      <c r="R111" s="20" t="s">
        <v>825</v>
      </c>
      <c r="S111" s="20" t="s">
        <v>12</v>
      </c>
      <c r="T111" s="20" t="s">
        <v>826</v>
      </c>
      <c r="U111" s="20" t="s">
        <v>12</v>
      </c>
      <c r="V111" s="20" t="s">
        <v>827</v>
      </c>
      <c r="W111" s="20" t="s">
        <v>827</v>
      </c>
    </row>
    <row r="112" spans="1:23" ht="10.5" customHeight="1" x14ac:dyDescent="0.25">
      <c r="A112" s="19">
        <v>46027</v>
      </c>
      <c r="B112" s="20" t="str">
        <f t="shared" si="2"/>
        <v>05/01/2026NL600004</v>
      </c>
      <c r="C112" s="21" t="s">
        <v>841</v>
      </c>
      <c r="D112" s="21" t="s">
        <v>819</v>
      </c>
      <c r="E112" s="20" t="s">
        <v>820</v>
      </c>
      <c r="F112" s="20" t="s">
        <v>821</v>
      </c>
      <c r="G112" s="20" t="s">
        <v>842</v>
      </c>
      <c r="H112" s="20" t="s">
        <v>427</v>
      </c>
      <c r="I112" s="20" t="s">
        <v>51</v>
      </c>
      <c r="J112" s="20" t="s">
        <v>190</v>
      </c>
      <c r="K112" s="22">
        <v>13</v>
      </c>
      <c r="L112" s="23">
        <v>18000</v>
      </c>
      <c r="M112" s="23">
        <v>0</v>
      </c>
      <c r="N112" s="24">
        <f t="shared" si="3"/>
        <v>234000</v>
      </c>
      <c r="O112" s="24">
        <v>0</v>
      </c>
      <c r="P112" s="23">
        <v>18000</v>
      </c>
      <c r="Q112" s="20" t="s">
        <v>824</v>
      </c>
      <c r="R112" s="20" t="s">
        <v>825</v>
      </c>
      <c r="S112" s="20" t="s">
        <v>12</v>
      </c>
      <c r="T112" s="20" t="s">
        <v>826</v>
      </c>
      <c r="U112" s="20" t="s">
        <v>12</v>
      </c>
      <c r="V112" s="20" t="s">
        <v>827</v>
      </c>
      <c r="W112" s="20" t="s">
        <v>827</v>
      </c>
    </row>
    <row r="113" spans="1:23" ht="10.5" customHeight="1" x14ac:dyDescent="0.25">
      <c r="A113" s="19">
        <v>46027</v>
      </c>
      <c r="B113" s="20" t="str">
        <f t="shared" si="2"/>
        <v>05/01/2026NL600067</v>
      </c>
      <c r="C113" s="21" t="s">
        <v>841</v>
      </c>
      <c r="D113" s="21" t="s">
        <v>819</v>
      </c>
      <c r="E113" s="20" t="s">
        <v>820</v>
      </c>
      <c r="F113" s="20" t="s">
        <v>821</v>
      </c>
      <c r="G113" s="20" t="s">
        <v>842</v>
      </c>
      <c r="H113" s="20" t="s">
        <v>312</v>
      </c>
      <c r="I113" s="20" t="s">
        <v>55</v>
      </c>
      <c r="J113" s="20" t="s">
        <v>190</v>
      </c>
      <c r="K113" s="22">
        <v>0.59</v>
      </c>
      <c r="L113" s="23">
        <v>75000</v>
      </c>
      <c r="M113" s="23">
        <v>0</v>
      </c>
      <c r="N113" s="24">
        <f t="shared" si="3"/>
        <v>44250</v>
      </c>
      <c r="O113" s="24">
        <v>0</v>
      </c>
      <c r="P113" s="23">
        <v>75000</v>
      </c>
      <c r="Q113" s="20" t="s">
        <v>824</v>
      </c>
      <c r="R113" s="20" t="s">
        <v>825</v>
      </c>
      <c r="S113" s="20" t="s">
        <v>12</v>
      </c>
      <c r="T113" s="20" t="s">
        <v>826</v>
      </c>
      <c r="U113" s="20" t="s">
        <v>12</v>
      </c>
      <c r="V113" s="20" t="s">
        <v>827</v>
      </c>
      <c r="W113" s="20" t="s">
        <v>827</v>
      </c>
    </row>
    <row r="114" spans="1:23" ht="10.5" customHeight="1" x14ac:dyDescent="0.25">
      <c r="A114" s="19">
        <v>46027</v>
      </c>
      <c r="B114" s="20" t="str">
        <f t="shared" si="2"/>
        <v>05/01/2026NL300013</v>
      </c>
      <c r="C114" s="21" t="s">
        <v>841</v>
      </c>
      <c r="D114" s="21" t="s">
        <v>819</v>
      </c>
      <c r="E114" s="20" t="s">
        <v>820</v>
      </c>
      <c r="F114" s="20" t="s">
        <v>821</v>
      </c>
      <c r="G114" s="20" t="s">
        <v>842</v>
      </c>
      <c r="H114" s="20" t="s">
        <v>236</v>
      </c>
      <c r="I114" s="20" t="s">
        <v>65</v>
      </c>
      <c r="J114" s="20" t="s">
        <v>190</v>
      </c>
      <c r="K114" s="22">
        <v>1</v>
      </c>
      <c r="L114" s="23">
        <v>50000</v>
      </c>
      <c r="M114" s="23">
        <v>0</v>
      </c>
      <c r="N114" s="24">
        <f t="shared" si="3"/>
        <v>50000</v>
      </c>
      <c r="O114" s="24">
        <v>0</v>
      </c>
      <c r="P114" s="23">
        <v>50000</v>
      </c>
      <c r="Q114" s="20" t="s">
        <v>824</v>
      </c>
      <c r="R114" s="20" t="s">
        <v>825</v>
      </c>
      <c r="S114" s="20" t="s">
        <v>12</v>
      </c>
      <c r="T114" s="20" t="s">
        <v>826</v>
      </c>
      <c r="U114" s="20" t="s">
        <v>12</v>
      </c>
      <c r="V114" s="20" t="s">
        <v>827</v>
      </c>
      <c r="W114" s="20" t="s">
        <v>827</v>
      </c>
    </row>
    <row r="115" spans="1:23" ht="10.5" customHeight="1" x14ac:dyDescent="0.25">
      <c r="A115" s="19">
        <v>46027</v>
      </c>
      <c r="B115" s="20" t="str">
        <f t="shared" si="2"/>
        <v>05/01/2026NL300018</v>
      </c>
      <c r="C115" s="21" t="s">
        <v>841</v>
      </c>
      <c r="D115" s="21" t="s">
        <v>819</v>
      </c>
      <c r="E115" s="20" t="s">
        <v>820</v>
      </c>
      <c r="F115" s="20" t="s">
        <v>821</v>
      </c>
      <c r="G115" s="20" t="s">
        <v>842</v>
      </c>
      <c r="H115" s="20" t="s">
        <v>294</v>
      </c>
      <c r="I115" s="20" t="s">
        <v>830</v>
      </c>
      <c r="J115" s="20" t="s">
        <v>190</v>
      </c>
      <c r="K115" s="22">
        <v>2</v>
      </c>
      <c r="L115" s="23">
        <v>38000</v>
      </c>
      <c r="M115" s="23">
        <v>0</v>
      </c>
      <c r="N115" s="24">
        <f t="shared" si="3"/>
        <v>76000</v>
      </c>
      <c r="O115" s="24">
        <v>0</v>
      </c>
      <c r="P115" s="23">
        <v>38000</v>
      </c>
      <c r="Q115" s="20" t="s">
        <v>824</v>
      </c>
      <c r="R115" s="20" t="s">
        <v>825</v>
      </c>
      <c r="S115" s="20" t="s">
        <v>12</v>
      </c>
      <c r="T115" s="20" t="s">
        <v>826</v>
      </c>
      <c r="U115" s="20" t="s">
        <v>12</v>
      </c>
      <c r="V115" s="20" t="s">
        <v>827</v>
      </c>
      <c r="W115" s="20" t="s">
        <v>827</v>
      </c>
    </row>
    <row r="116" spans="1:23" ht="10.5" customHeight="1" x14ac:dyDescent="0.25">
      <c r="A116" s="19">
        <v>46027</v>
      </c>
      <c r="B116" s="20" t="str">
        <f t="shared" si="2"/>
        <v>05/01/2026NL300022</v>
      </c>
      <c r="C116" s="21" t="s">
        <v>841</v>
      </c>
      <c r="D116" s="21" t="s">
        <v>819</v>
      </c>
      <c r="E116" s="20" t="s">
        <v>820</v>
      </c>
      <c r="F116" s="20" t="s">
        <v>821</v>
      </c>
      <c r="G116" s="20" t="s">
        <v>842</v>
      </c>
      <c r="H116" s="20" t="s">
        <v>305</v>
      </c>
      <c r="I116" s="20" t="s">
        <v>67</v>
      </c>
      <c r="J116" s="20" t="s">
        <v>190</v>
      </c>
      <c r="K116" s="22">
        <v>8</v>
      </c>
      <c r="L116" s="23">
        <v>18000</v>
      </c>
      <c r="M116" s="23">
        <v>0</v>
      </c>
      <c r="N116" s="24">
        <f t="shared" si="3"/>
        <v>144000</v>
      </c>
      <c r="O116" s="24">
        <v>0</v>
      </c>
      <c r="P116" s="23">
        <v>18000</v>
      </c>
      <c r="Q116" s="20" t="s">
        <v>824</v>
      </c>
      <c r="R116" s="20" t="s">
        <v>825</v>
      </c>
      <c r="S116" s="20" t="s">
        <v>12</v>
      </c>
      <c r="T116" s="20" t="s">
        <v>826</v>
      </c>
      <c r="U116" s="20" t="s">
        <v>12</v>
      </c>
      <c r="V116" s="20" t="s">
        <v>827</v>
      </c>
      <c r="W116" s="20" t="s">
        <v>827</v>
      </c>
    </row>
    <row r="117" spans="1:23" ht="10.5" customHeight="1" x14ac:dyDescent="0.25">
      <c r="A117" s="19">
        <v>46028</v>
      </c>
      <c r="B117" s="20" t="str">
        <f t="shared" si="2"/>
        <v>06/01/2026NL300107</v>
      </c>
      <c r="C117" s="21" t="s">
        <v>843</v>
      </c>
      <c r="D117" s="21" t="s">
        <v>819</v>
      </c>
      <c r="E117" s="20" t="s">
        <v>820</v>
      </c>
      <c r="F117" s="20" t="s">
        <v>821</v>
      </c>
      <c r="G117" s="20" t="s">
        <v>844</v>
      </c>
      <c r="H117" s="20" t="s">
        <v>616</v>
      </c>
      <c r="I117" s="20" t="s">
        <v>828</v>
      </c>
      <c r="J117" s="20" t="s">
        <v>385</v>
      </c>
      <c r="K117" s="22">
        <v>3</v>
      </c>
      <c r="L117" s="23">
        <v>8500</v>
      </c>
      <c r="M117" s="23">
        <v>0</v>
      </c>
      <c r="N117" s="24">
        <f t="shared" si="3"/>
        <v>25500</v>
      </c>
      <c r="O117" s="24">
        <v>0</v>
      </c>
      <c r="P117" s="23">
        <v>8500</v>
      </c>
      <c r="Q117" s="20" t="s">
        <v>824</v>
      </c>
      <c r="R117" s="20" t="s">
        <v>825</v>
      </c>
      <c r="S117" s="20" t="s">
        <v>12</v>
      </c>
      <c r="T117" s="20" t="s">
        <v>826</v>
      </c>
      <c r="U117" s="20" t="s">
        <v>12</v>
      </c>
      <c r="V117" s="20" t="s">
        <v>827</v>
      </c>
      <c r="W117" s="20" t="s">
        <v>827</v>
      </c>
    </row>
    <row r="118" spans="1:23" ht="10.5" customHeight="1" x14ac:dyDescent="0.25">
      <c r="A118" s="19">
        <v>46028</v>
      </c>
      <c r="B118" s="20" t="str">
        <f t="shared" si="2"/>
        <v>06/01/2026NL600004</v>
      </c>
      <c r="C118" s="21" t="s">
        <v>843</v>
      </c>
      <c r="D118" s="21" t="s">
        <v>819</v>
      </c>
      <c r="E118" s="20" t="s">
        <v>820</v>
      </c>
      <c r="F118" s="20" t="s">
        <v>821</v>
      </c>
      <c r="G118" s="20" t="s">
        <v>844</v>
      </c>
      <c r="H118" s="20" t="s">
        <v>427</v>
      </c>
      <c r="I118" s="20" t="s">
        <v>51</v>
      </c>
      <c r="J118" s="20" t="s">
        <v>190</v>
      </c>
      <c r="K118" s="22">
        <v>13</v>
      </c>
      <c r="L118" s="23">
        <v>18000</v>
      </c>
      <c r="M118" s="23">
        <v>0</v>
      </c>
      <c r="N118" s="24">
        <f t="shared" si="3"/>
        <v>234000</v>
      </c>
      <c r="O118" s="24">
        <v>0</v>
      </c>
      <c r="P118" s="23">
        <v>18000</v>
      </c>
      <c r="Q118" s="20" t="s">
        <v>824</v>
      </c>
      <c r="R118" s="20" t="s">
        <v>825</v>
      </c>
      <c r="S118" s="20" t="s">
        <v>12</v>
      </c>
      <c r="T118" s="20" t="s">
        <v>826</v>
      </c>
      <c r="U118" s="20" t="s">
        <v>12</v>
      </c>
      <c r="V118" s="20" t="s">
        <v>827</v>
      </c>
      <c r="W118" s="20" t="s">
        <v>827</v>
      </c>
    </row>
    <row r="119" spans="1:23" ht="10.5" customHeight="1" x14ac:dyDescent="0.25">
      <c r="A119" s="19">
        <v>46028</v>
      </c>
      <c r="B119" s="20" t="str">
        <f t="shared" si="2"/>
        <v>06/01/2026NL300062</v>
      </c>
      <c r="C119" s="21" t="s">
        <v>843</v>
      </c>
      <c r="D119" s="21" t="s">
        <v>819</v>
      </c>
      <c r="E119" s="20" t="s">
        <v>820</v>
      </c>
      <c r="F119" s="20" t="s">
        <v>821</v>
      </c>
      <c r="G119" s="20" t="s">
        <v>844</v>
      </c>
      <c r="H119" s="20" t="s">
        <v>468</v>
      </c>
      <c r="I119" s="20" t="s">
        <v>469</v>
      </c>
      <c r="J119" s="20" t="s">
        <v>190</v>
      </c>
      <c r="K119" s="22">
        <v>0.1</v>
      </c>
      <c r="L119" s="23">
        <v>65000</v>
      </c>
      <c r="M119" s="23">
        <v>0</v>
      </c>
      <c r="N119" s="24">
        <f t="shared" si="3"/>
        <v>6500</v>
      </c>
      <c r="O119" s="24">
        <v>0</v>
      </c>
      <c r="P119" s="23">
        <v>65000</v>
      </c>
      <c r="Q119" s="20" t="s">
        <v>824</v>
      </c>
      <c r="R119" s="20" t="s">
        <v>825</v>
      </c>
      <c r="S119" s="20" t="s">
        <v>12</v>
      </c>
      <c r="T119" s="20" t="s">
        <v>826</v>
      </c>
      <c r="U119" s="20" t="s">
        <v>12</v>
      </c>
      <c r="V119" s="20" t="s">
        <v>827</v>
      </c>
      <c r="W119" s="20" t="s">
        <v>827</v>
      </c>
    </row>
    <row r="120" spans="1:23" ht="10.5" customHeight="1" x14ac:dyDescent="0.25">
      <c r="A120" s="19">
        <v>46028</v>
      </c>
      <c r="B120" s="20" t="str">
        <f t="shared" si="2"/>
        <v>06/01/2026NL300084</v>
      </c>
      <c r="C120" s="21" t="s">
        <v>843</v>
      </c>
      <c r="D120" s="21" t="s">
        <v>819</v>
      </c>
      <c r="E120" s="20" t="s">
        <v>820</v>
      </c>
      <c r="F120" s="20" t="s">
        <v>821</v>
      </c>
      <c r="G120" s="20" t="s">
        <v>844</v>
      </c>
      <c r="H120" s="20" t="s">
        <v>562</v>
      </c>
      <c r="I120" s="20" t="s">
        <v>563</v>
      </c>
      <c r="J120" s="20" t="s">
        <v>190</v>
      </c>
      <c r="K120" s="22">
        <v>1</v>
      </c>
      <c r="L120" s="23">
        <v>22000</v>
      </c>
      <c r="M120" s="23">
        <v>0</v>
      </c>
      <c r="N120" s="24">
        <f t="shared" si="3"/>
        <v>22000</v>
      </c>
      <c r="O120" s="24">
        <v>0</v>
      </c>
      <c r="P120" s="23">
        <v>22000</v>
      </c>
      <c r="Q120" s="20" t="s">
        <v>824</v>
      </c>
      <c r="R120" s="20" t="s">
        <v>825</v>
      </c>
      <c r="S120" s="20" t="s">
        <v>12</v>
      </c>
      <c r="T120" s="20" t="s">
        <v>826</v>
      </c>
      <c r="U120" s="20" t="s">
        <v>12</v>
      </c>
      <c r="V120" s="20" t="s">
        <v>827</v>
      </c>
      <c r="W120" s="20" t="s">
        <v>827</v>
      </c>
    </row>
    <row r="121" spans="1:23" ht="10.5" customHeight="1" x14ac:dyDescent="0.25">
      <c r="A121" s="19">
        <v>46028</v>
      </c>
      <c r="B121" s="20" t="str">
        <f t="shared" si="2"/>
        <v>06/01/2026NL300090</v>
      </c>
      <c r="C121" s="21" t="s">
        <v>843</v>
      </c>
      <c r="D121" s="21" t="s">
        <v>819</v>
      </c>
      <c r="E121" s="20" t="s">
        <v>820</v>
      </c>
      <c r="F121" s="20" t="s">
        <v>821</v>
      </c>
      <c r="G121" s="20" t="s">
        <v>844</v>
      </c>
      <c r="H121" s="20" t="s">
        <v>578</v>
      </c>
      <c r="I121" s="20" t="s">
        <v>37</v>
      </c>
      <c r="J121" s="20" t="s">
        <v>190</v>
      </c>
      <c r="K121" s="22">
        <v>2</v>
      </c>
      <c r="L121" s="23">
        <v>145000</v>
      </c>
      <c r="M121" s="23">
        <v>0</v>
      </c>
      <c r="N121" s="24">
        <f t="shared" si="3"/>
        <v>290000</v>
      </c>
      <c r="O121" s="24">
        <v>0</v>
      </c>
      <c r="P121" s="23">
        <v>145000</v>
      </c>
      <c r="Q121" s="20" t="s">
        <v>824</v>
      </c>
      <c r="R121" s="20" t="s">
        <v>825</v>
      </c>
      <c r="S121" s="20" t="s">
        <v>12</v>
      </c>
      <c r="T121" s="20" t="s">
        <v>826</v>
      </c>
      <c r="U121" s="20" t="s">
        <v>12</v>
      </c>
      <c r="V121" s="20" t="s">
        <v>827</v>
      </c>
      <c r="W121" s="20" t="s">
        <v>827</v>
      </c>
    </row>
    <row r="122" spans="1:23" ht="10.5" customHeight="1" x14ac:dyDescent="0.25">
      <c r="A122" s="19">
        <v>46028</v>
      </c>
      <c r="B122" s="20" t="str">
        <f t="shared" si="2"/>
        <v>06/01/2026NL300096</v>
      </c>
      <c r="C122" s="21" t="s">
        <v>843</v>
      </c>
      <c r="D122" s="21" t="s">
        <v>819</v>
      </c>
      <c r="E122" s="20" t="s">
        <v>820</v>
      </c>
      <c r="F122" s="20" t="s">
        <v>821</v>
      </c>
      <c r="G122" s="20" t="s">
        <v>844</v>
      </c>
      <c r="H122" s="20" t="s">
        <v>586</v>
      </c>
      <c r="I122" s="20" t="s">
        <v>43</v>
      </c>
      <c r="J122" s="20" t="s">
        <v>190</v>
      </c>
      <c r="K122" s="22">
        <v>2</v>
      </c>
      <c r="L122" s="23">
        <v>45000</v>
      </c>
      <c r="M122" s="23">
        <v>0</v>
      </c>
      <c r="N122" s="24">
        <f t="shared" si="3"/>
        <v>90000</v>
      </c>
      <c r="O122" s="24">
        <v>0</v>
      </c>
      <c r="P122" s="23">
        <v>45000</v>
      </c>
      <c r="Q122" s="20" t="s">
        <v>824</v>
      </c>
      <c r="R122" s="20" t="s">
        <v>825</v>
      </c>
      <c r="S122" s="20" t="s">
        <v>12</v>
      </c>
      <c r="T122" s="20" t="s">
        <v>826</v>
      </c>
      <c r="U122" s="20" t="s">
        <v>12</v>
      </c>
      <c r="V122" s="20" t="s">
        <v>827</v>
      </c>
      <c r="W122" s="20" t="s">
        <v>827</v>
      </c>
    </row>
    <row r="123" spans="1:23" ht="10.5" customHeight="1" x14ac:dyDescent="0.25">
      <c r="A123" s="19">
        <v>46028</v>
      </c>
      <c r="B123" s="20" t="str">
        <f t="shared" si="2"/>
        <v>06/01/2026NL300098</v>
      </c>
      <c r="C123" s="21" t="s">
        <v>843</v>
      </c>
      <c r="D123" s="21" t="s">
        <v>819</v>
      </c>
      <c r="E123" s="20" t="s">
        <v>820</v>
      </c>
      <c r="F123" s="20" t="s">
        <v>821</v>
      </c>
      <c r="G123" s="20" t="s">
        <v>844</v>
      </c>
      <c r="H123" s="20" t="s">
        <v>590</v>
      </c>
      <c r="I123" s="20" t="s">
        <v>591</v>
      </c>
      <c r="J123" s="20" t="s">
        <v>190</v>
      </c>
      <c r="K123" s="22">
        <v>2</v>
      </c>
      <c r="L123" s="23">
        <v>95000</v>
      </c>
      <c r="M123" s="23">
        <v>0</v>
      </c>
      <c r="N123" s="24">
        <f t="shared" si="3"/>
        <v>190000</v>
      </c>
      <c r="O123" s="24">
        <v>0</v>
      </c>
      <c r="P123" s="23">
        <v>95000</v>
      </c>
      <c r="Q123" s="20" t="s">
        <v>824</v>
      </c>
      <c r="R123" s="20" t="s">
        <v>825</v>
      </c>
      <c r="S123" s="20" t="s">
        <v>12</v>
      </c>
      <c r="T123" s="20" t="s">
        <v>826</v>
      </c>
      <c r="U123" s="20" t="s">
        <v>12</v>
      </c>
      <c r="V123" s="20" t="s">
        <v>827</v>
      </c>
      <c r="W123" s="20" t="s">
        <v>827</v>
      </c>
    </row>
    <row r="124" spans="1:23" ht="10.5" customHeight="1" x14ac:dyDescent="0.25">
      <c r="A124" s="19">
        <v>46028</v>
      </c>
      <c r="B124" s="20" t="str">
        <f t="shared" ref="B124" si="4">"0"&amp;DAY(A124)&amp;"/01/2026"&amp;H124</f>
        <v>06/01/2026NL300119</v>
      </c>
      <c r="C124" s="21" t="s">
        <v>843</v>
      </c>
      <c r="D124" s="21" t="s">
        <v>819</v>
      </c>
      <c r="E124" s="20" t="s">
        <v>820</v>
      </c>
      <c r="F124" s="20" t="s">
        <v>821</v>
      </c>
      <c r="G124" s="20" t="s">
        <v>844</v>
      </c>
      <c r="H124" s="20" t="s">
        <v>652</v>
      </c>
      <c r="I124" s="20" t="s">
        <v>653</v>
      </c>
      <c r="J124" s="20" t="s">
        <v>190</v>
      </c>
      <c r="K124" s="22">
        <v>1.4</v>
      </c>
      <c r="L124" s="23">
        <v>21000</v>
      </c>
      <c r="M124" s="23">
        <v>0</v>
      </c>
      <c r="N124" s="24">
        <f t="shared" ref="N124" si="5">L124*K124</f>
        <v>29399.999999999996</v>
      </c>
      <c r="O124" s="24"/>
      <c r="P124" s="23"/>
      <c r="Q124" s="20"/>
      <c r="R124" s="20"/>
      <c r="S124" s="20"/>
      <c r="T124" s="20"/>
      <c r="U124" s="20"/>
      <c r="V124" s="20"/>
      <c r="W124" s="20"/>
    </row>
    <row r="125" spans="1:23" ht="10.5" customHeight="1" x14ac:dyDescent="0.25">
      <c r="A125" s="19">
        <v>46028</v>
      </c>
      <c r="B125" s="20" t="str">
        <f t="shared" si="2"/>
        <v>06/01/2026NL300022</v>
      </c>
      <c r="C125" s="21" t="s">
        <v>843</v>
      </c>
      <c r="D125" s="21" t="s">
        <v>819</v>
      </c>
      <c r="E125" s="20" t="s">
        <v>820</v>
      </c>
      <c r="F125" s="20" t="s">
        <v>821</v>
      </c>
      <c r="G125" s="20" t="s">
        <v>844</v>
      </c>
      <c r="H125" s="20" t="s">
        <v>305</v>
      </c>
      <c r="I125" s="20" t="s">
        <v>67</v>
      </c>
      <c r="J125" s="20" t="s">
        <v>190</v>
      </c>
      <c r="K125" s="22">
        <v>6</v>
      </c>
      <c r="L125" s="23">
        <v>18000</v>
      </c>
      <c r="M125" s="23">
        <v>0</v>
      </c>
      <c r="N125" s="24">
        <f t="shared" si="3"/>
        <v>108000</v>
      </c>
      <c r="O125" s="24">
        <v>0</v>
      </c>
      <c r="P125" s="23">
        <v>21000</v>
      </c>
      <c r="Q125" s="20" t="s">
        <v>824</v>
      </c>
      <c r="R125" s="20" t="s">
        <v>825</v>
      </c>
      <c r="S125" s="20" t="s">
        <v>12</v>
      </c>
      <c r="T125" s="20" t="s">
        <v>826</v>
      </c>
      <c r="U125" s="20" t="s">
        <v>12</v>
      </c>
      <c r="V125" s="20" t="s">
        <v>827</v>
      </c>
      <c r="W125" s="20" t="s">
        <v>827</v>
      </c>
    </row>
    <row r="126" spans="1:23" ht="10.5" customHeight="1" x14ac:dyDescent="0.25">
      <c r="A126" s="19">
        <v>46029</v>
      </c>
      <c r="B126" s="20" t="str">
        <f t="shared" si="2"/>
        <v>07/01/2026NL300036</v>
      </c>
      <c r="C126" s="21" t="s">
        <v>845</v>
      </c>
      <c r="D126" s="21" t="s">
        <v>819</v>
      </c>
      <c r="E126" s="20" t="s">
        <v>820</v>
      </c>
      <c r="F126" s="20" t="s">
        <v>821</v>
      </c>
      <c r="G126" s="20" t="s">
        <v>846</v>
      </c>
      <c r="H126" s="20" t="s">
        <v>357</v>
      </c>
      <c r="I126" s="20" t="s">
        <v>17</v>
      </c>
      <c r="J126" s="20" t="s">
        <v>190</v>
      </c>
      <c r="K126" s="22">
        <v>0.25</v>
      </c>
      <c r="L126" s="23">
        <v>47000</v>
      </c>
      <c r="M126" s="23">
        <v>0</v>
      </c>
      <c r="N126" s="24">
        <f t="shared" si="3"/>
        <v>11750</v>
      </c>
      <c r="O126" s="24">
        <v>0</v>
      </c>
      <c r="P126" s="23">
        <v>47000</v>
      </c>
      <c r="Q126" s="20" t="s">
        <v>824</v>
      </c>
      <c r="R126" s="20" t="s">
        <v>825</v>
      </c>
      <c r="S126" s="20" t="s">
        <v>12</v>
      </c>
      <c r="T126" s="20" t="s">
        <v>826</v>
      </c>
      <c r="U126" s="20" t="s">
        <v>12</v>
      </c>
      <c r="V126" s="20" t="s">
        <v>827</v>
      </c>
      <c r="W126" s="20" t="s">
        <v>827</v>
      </c>
    </row>
    <row r="127" spans="1:23" ht="10.5" customHeight="1" x14ac:dyDescent="0.25">
      <c r="A127" s="19">
        <v>46029</v>
      </c>
      <c r="B127" s="20" t="str">
        <f t="shared" si="2"/>
        <v>07/01/2026NL300084</v>
      </c>
      <c r="C127" s="21" t="s">
        <v>845</v>
      </c>
      <c r="D127" s="21" t="s">
        <v>819</v>
      </c>
      <c r="E127" s="20" t="s">
        <v>820</v>
      </c>
      <c r="F127" s="20" t="s">
        <v>821</v>
      </c>
      <c r="G127" s="20" t="s">
        <v>846</v>
      </c>
      <c r="H127" s="20" t="s">
        <v>562</v>
      </c>
      <c r="I127" s="20" t="s">
        <v>563</v>
      </c>
      <c r="J127" s="20" t="s">
        <v>190</v>
      </c>
      <c r="K127" s="22">
        <v>0.8</v>
      </c>
      <c r="L127" s="23">
        <v>22000</v>
      </c>
      <c r="M127" s="23">
        <v>0</v>
      </c>
      <c r="N127" s="24">
        <f t="shared" si="3"/>
        <v>17600</v>
      </c>
      <c r="O127" s="24">
        <v>0</v>
      </c>
      <c r="P127" s="23">
        <v>22000</v>
      </c>
      <c r="Q127" s="20" t="s">
        <v>824</v>
      </c>
      <c r="R127" s="20" t="s">
        <v>825</v>
      </c>
      <c r="S127" s="20" t="s">
        <v>12</v>
      </c>
      <c r="T127" s="20" t="s">
        <v>826</v>
      </c>
      <c r="U127" s="20" t="s">
        <v>12</v>
      </c>
      <c r="V127" s="20" t="s">
        <v>827</v>
      </c>
      <c r="W127" s="20" t="s">
        <v>827</v>
      </c>
    </row>
    <row r="128" spans="1:23" ht="10.5" customHeight="1" x14ac:dyDescent="0.25">
      <c r="A128" s="19">
        <v>46029</v>
      </c>
      <c r="B128" s="20" t="str">
        <f t="shared" si="2"/>
        <v>07/01/2026NL300091</v>
      </c>
      <c r="C128" s="21" t="s">
        <v>845</v>
      </c>
      <c r="D128" s="21" t="s">
        <v>819</v>
      </c>
      <c r="E128" s="20" t="s">
        <v>820</v>
      </c>
      <c r="F128" s="20" t="s">
        <v>821</v>
      </c>
      <c r="G128" s="20" t="s">
        <v>846</v>
      </c>
      <c r="H128" s="20" t="s">
        <v>580</v>
      </c>
      <c r="I128" s="20" t="s">
        <v>39</v>
      </c>
      <c r="J128" s="20" t="s">
        <v>190</v>
      </c>
      <c r="K128" s="22">
        <v>3</v>
      </c>
      <c r="L128" s="23">
        <v>47000</v>
      </c>
      <c r="M128" s="23">
        <v>0</v>
      </c>
      <c r="N128" s="24">
        <f t="shared" si="3"/>
        <v>141000</v>
      </c>
      <c r="O128" s="24">
        <v>0</v>
      </c>
      <c r="P128" s="23">
        <v>47000</v>
      </c>
      <c r="Q128" s="20" t="s">
        <v>824</v>
      </c>
      <c r="R128" s="20" t="s">
        <v>825</v>
      </c>
      <c r="S128" s="20" t="s">
        <v>12</v>
      </c>
      <c r="T128" s="20" t="s">
        <v>826</v>
      </c>
      <c r="U128" s="20" t="s">
        <v>12</v>
      </c>
      <c r="V128" s="20" t="s">
        <v>827</v>
      </c>
      <c r="W128" s="20" t="s">
        <v>827</v>
      </c>
    </row>
    <row r="129" spans="1:23" ht="10.5" customHeight="1" x14ac:dyDescent="0.25">
      <c r="A129" s="19">
        <v>46029</v>
      </c>
      <c r="B129" s="20" t="str">
        <f t="shared" si="2"/>
        <v>07/01/2026NL300096</v>
      </c>
      <c r="C129" s="21" t="s">
        <v>845</v>
      </c>
      <c r="D129" s="21" t="s">
        <v>819</v>
      </c>
      <c r="E129" s="20" t="s">
        <v>820</v>
      </c>
      <c r="F129" s="20" t="s">
        <v>821</v>
      </c>
      <c r="G129" s="20" t="s">
        <v>846</v>
      </c>
      <c r="H129" s="20" t="s">
        <v>586</v>
      </c>
      <c r="I129" s="20" t="s">
        <v>43</v>
      </c>
      <c r="J129" s="20" t="s">
        <v>190</v>
      </c>
      <c r="K129" s="22">
        <v>2</v>
      </c>
      <c r="L129" s="23">
        <v>45000</v>
      </c>
      <c r="M129" s="23">
        <v>0</v>
      </c>
      <c r="N129" s="24">
        <f t="shared" si="3"/>
        <v>90000</v>
      </c>
      <c r="O129" s="24">
        <v>0</v>
      </c>
      <c r="P129" s="23">
        <v>45000</v>
      </c>
      <c r="Q129" s="20" t="s">
        <v>824</v>
      </c>
      <c r="R129" s="20" t="s">
        <v>825</v>
      </c>
      <c r="S129" s="20" t="s">
        <v>12</v>
      </c>
      <c r="T129" s="20" t="s">
        <v>826</v>
      </c>
      <c r="U129" s="20" t="s">
        <v>12</v>
      </c>
      <c r="V129" s="20" t="s">
        <v>827</v>
      </c>
      <c r="W129" s="20" t="s">
        <v>827</v>
      </c>
    </row>
    <row r="130" spans="1:23" ht="10.5" customHeight="1" x14ac:dyDescent="0.25">
      <c r="A130" s="19">
        <v>46029</v>
      </c>
      <c r="B130" s="20" t="str">
        <f t="shared" si="2"/>
        <v>07/01/2026NL300098</v>
      </c>
      <c r="C130" s="21" t="s">
        <v>845</v>
      </c>
      <c r="D130" s="21" t="s">
        <v>819</v>
      </c>
      <c r="E130" s="20" t="s">
        <v>820</v>
      </c>
      <c r="F130" s="20" t="s">
        <v>821</v>
      </c>
      <c r="G130" s="20" t="s">
        <v>846</v>
      </c>
      <c r="H130" s="20" t="s">
        <v>590</v>
      </c>
      <c r="I130" s="20" t="s">
        <v>591</v>
      </c>
      <c r="J130" s="20" t="s">
        <v>190</v>
      </c>
      <c r="K130" s="22">
        <v>2</v>
      </c>
      <c r="L130" s="23">
        <v>95000</v>
      </c>
      <c r="M130" s="23">
        <v>0</v>
      </c>
      <c r="N130" s="24">
        <f t="shared" si="3"/>
        <v>190000</v>
      </c>
      <c r="O130" s="24">
        <v>0</v>
      </c>
      <c r="P130" s="23">
        <v>95000</v>
      </c>
      <c r="Q130" s="20" t="s">
        <v>824</v>
      </c>
      <c r="R130" s="20" t="s">
        <v>825</v>
      </c>
      <c r="S130" s="20" t="s">
        <v>12</v>
      </c>
      <c r="T130" s="20" t="s">
        <v>826</v>
      </c>
      <c r="U130" s="20" t="s">
        <v>12</v>
      </c>
      <c r="V130" s="20" t="s">
        <v>827</v>
      </c>
      <c r="W130" s="20" t="s">
        <v>827</v>
      </c>
    </row>
    <row r="131" spans="1:23" ht="10.5" customHeight="1" x14ac:dyDescent="0.25">
      <c r="A131" s="19">
        <v>46029</v>
      </c>
      <c r="B131" s="20" t="str">
        <f t="shared" si="2"/>
        <v>07/01/2026NL300147</v>
      </c>
      <c r="C131" s="21" t="s">
        <v>845</v>
      </c>
      <c r="D131" s="21" t="s">
        <v>819</v>
      </c>
      <c r="E131" s="20" t="s">
        <v>820</v>
      </c>
      <c r="F131" s="20" t="s">
        <v>821</v>
      </c>
      <c r="G131" s="20" t="s">
        <v>846</v>
      </c>
      <c r="H131" s="20" t="s">
        <v>790</v>
      </c>
      <c r="I131" s="20" t="s">
        <v>791</v>
      </c>
      <c r="J131" s="20" t="s">
        <v>190</v>
      </c>
      <c r="K131" s="22">
        <v>4</v>
      </c>
      <c r="L131" s="23">
        <v>62000</v>
      </c>
      <c r="M131" s="23">
        <v>0</v>
      </c>
      <c r="N131" s="24">
        <f t="shared" si="3"/>
        <v>248000</v>
      </c>
      <c r="O131" s="24">
        <v>0</v>
      </c>
      <c r="P131" s="23">
        <v>62000</v>
      </c>
      <c r="Q131" s="20" t="s">
        <v>824</v>
      </c>
      <c r="R131" s="20" t="s">
        <v>825</v>
      </c>
      <c r="S131" s="20" t="s">
        <v>12</v>
      </c>
      <c r="T131" s="20" t="s">
        <v>826</v>
      </c>
      <c r="U131" s="20" t="s">
        <v>12</v>
      </c>
      <c r="V131" s="20" t="s">
        <v>827</v>
      </c>
      <c r="W131" s="20" t="s">
        <v>827</v>
      </c>
    </row>
    <row r="132" spans="1:23" ht="10.5" customHeight="1" x14ac:dyDescent="0.25">
      <c r="A132" s="19">
        <v>46029</v>
      </c>
      <c r="B132" s="20" t="str">
        <f t="shared" ref="B132:B180" si="6">"0"&amp;DAY(A132)&amp;"/01/2026"&amp;H132</f>
        <v>07/01/2026NL300203</v>
      </c>
      <c r="C132" s="21" t="s">
        <v>845</v>
      </c>
      <c r="D132" s="21" t="s">
        <v>819</v>
      </c>
      <c r="E132" s="20" t="s">
        <v>820</v>
      </c>
      <c r="F132" s="20" t="s">
        <v>821</v>
      </c>
      <c r="G132" s="20" t="s">
        <v>846</v>
      </c>
      <c r="H132" s="20" t="s">
        <v>346</v>
      </c>
      <c r="I132" s="20" t="s">
        <v>347</v>
      </c>
      <c r="J132" s="20" t="s">
        <v>190</v>
      </c>
      <c r="K132" s="22">
        <v>1</v>
      </c>
      <c r="L132" s="23">
        <v>45000</v>
      </c>
      <c r="M132" s="23">
        <v>0</v>
      </c>
      <c r="N132" s="24">
        <f t="shared" ref="N132:N193" si="7">L132*K132</f>
        <v>45000</v>
      </c>
      <c r="O132" s="24">
        <v>0</v>
      </c>
      <c r="P132" s="23">
        <v>45000</v>
      </c>
      <c r="Q132" s="20" t="s">
        <v>824</v>
      </c>
      <c r="R132" s="20" t="s">
        <v>825</v>
      </c>
      <c r="S132" s="20" t="s">
        <v>12</v>
      </c>
      <c r="T132" s="20" t="s">
        <v>826</v>
      </c>
      <c r="U132" s="20" t="s">
        <v>12</v>
      </c>
      <c r="V132" s="20" t="s">
        <v>827</v>
      </c>
      <c r="W132" s="20" t="s">
        <v>827</v>
      </c>
    </row>
    <row r="133" spans="1:23" ht="10.5" customHeight="1" x14ac:dyDescent="0.25">
      <c r="A133" s="19">
        <v>46029</v>
      </c>
      <c r="B133" s="20" t="str">
        <f t="shared" si="6"/>
        <v>07/01/2026NL300218</v>
      </c>
      <c r="C133" s="21" t="s">
        <v>845</v>
      </c>
      <c r="D133" s="21" t="s">
        <v>819</v>
      </c>
      <c r="E133" s="20" t="s">
        <v>820</v>
      </c>
      <c r="F133" s="20" t="s">
        <v>821</v>
      </c>
      <c r="G133" s="20" t="s">
        <v>846</v>
      </c>
      <c r="H133" s="20" t="s">
        <v>529</v>
      </c>
      <c r="I133" s="20" t="s">
        <v>847</v>
      </c>
      <c r="J133" s="20" t="s">
        <v>82</v>
      </c>
      <c r="K133" s="22">
        <v>0</v>
      </c>
      <c r="L133" s="23">
        <v>40000</v>
      </c>
      <c r="M133" s="23">
        <v>0</v>
      </c>
      <c r="N133" s="24">
        <f t="shared" si="7"/>
        <v>0</v>
      </c>
      <c r="O133" s="24">
        <v>0</v>
      </c>
      <c r="P133" s="23">
        <v>40000</v>
      </c>
      <c r="Q133" s="20" t="s">
        <v>824</v>
      </c>
      <c r="R133" s="20" t="s">
        <v>825</v>
      </c>
      <c r="S133" s="20" t="s">
        <v>12</v>
      </c>
      <c r="T133" s="20" t="s">
        <v>826</v>
      </c>
      <c r="U133" s="20" t="s">
        <v>12</v>
      </c>
      <c r="V133" s="20" t="s">
        <v>827</v>
      </c>
      <c r="W133" s="20" t="s">
        <v>827</v>
      </c>
    </row>
    <row r="134" spans="1:23" ht="10.5" customHeight="1" x14ac:dyDescent="0.25">
      <c r="A134" s="19">
        <v>46029</v>
      </c>
      <c r="B134" s="20" t="str">
        <f t="shared" si="6"/>
        <v>07/01/2026NL300030</v>
      </c>
      <c r="C134" s="21" t="s">
        <v>845</v>
      </c>
      <c r="D134" s="21" t="s">
        <v>819</v>
      </c>
      <c r="E134" s="20" t="s">
        <v>820</v>
      </c>
      <c r="F134" s="20" t="s">
        <v>821</v>
      </c>
      <c r="G134" s="20" t="s">
        <v>846</v>
      </c>
      <c r="H134" s="20" t="s">
        <v>326</v>
      </c>
      <c r="I134" s="20" t="s">
        <v>834</v>
      </c>
      <c r="J134" s="20" t="s">
        <v>190</v>
      </c>
      <c r="K134" s="22">
        <v>0.55000000000000004</v>
      </c>
      <c r="L134" s="23">
        <v>34000</v>
      </c>
      <c r="M134" s="23">
        <v>0</v>
      </c>
      <c r="N134" s="24">
        <f t="shared" si="7"/>
        <v>18700</v>
      </c>
      <c r="O134" s="24">
        <v>0</v>
      </c>
      <c r="P134" s="23">
        <v>34000</v>
      </c>
      <c r="Q134" s="20" t="s">
        <v>824</v>
      </c>
      <c r="R134" s="20" t="s">
        <v>825</v>
      </c>
      <c r="S134" s="20" t="s">
        <v>12</v>
      </c>
      <c r="T134" s="20" t="s">
        <v>826</v>
      </c>
      <c r="U134" s="20" t="s">
        <v>12</v>
      </c>
      <c r="V134" s="20" t="s">
        <v>827</v>
      </c>
      <c r="W134" s="20" t="s">
        <v>827</v>
      </c>
    </row>
    <row r="135" spans="1:23" ht="10.5" customHeight="1" x14ac:dyDescent="0.25">
      <c r="A135" s="19">
        <v>46029</v>
      </c>
      <c r="B135" s="20" t="str">
        <f t="shared" si="6"/>
        <v>07/01/2026NL300119</v>
      </c>
      <c r="C135" s="21" t="s">
        <v>845</v>
      </c>
      <c r="D135" s="21" t="s">
        <v>819</v>
      </c>
      <c r="E135" s="20" t="s">
        <v>820</v>
      </c>
      <c r="F135" s="20" t="s">
        <v>821</v>
      </c>
      <c r="G135" s="20" t="s">
        <v>846</v>
      </c>
      <c r="H135" s="20" t="s">
        <v>652</v>
      </c>
      <c r="I135" s="20" t="s">
        <v>653</v>
      </c>
      <c r="J135" s="20" t="s">
        <v>190</v>
      </c>
      <c r="K135" s="22">
        <v>3</v>
      </c>
      <c r="L135" s="23">
        <v>21000</v>
      </c>
      <c r="M135" s="23">
        <v>0</v>
      </c>
      <c r="N135" s="24">
        <f t="shared" si="7"/>
        <v>63000</v>
      </c>
      <c r="O135" s="24">
        <v>0</v>
      </c>
      <c r="P135" s="23">
        <v>21000</v>
      </c>
      <c r="Q135" s="20" t="s">
        <v>824</v>
      </c>
      <c r="R135" s="20" t="s">
        <v>825</v>
      </c>
      <c r="S135" s="20" t="s">
        <v>12</v>
      </c>
      <c r="T135" s="20" t="s">
        <v>826</v>
      </c>
      <c r="U135" s="20" t="s">
        <v>12</v>
      </c>
      <c r="V135" s="20" t="s">
        <v>827</v>
      </c>
      <c r="W135" s="20" t="s">
        <v>827</v>
      </c>
    </row>
    <row r="136" spans="1:23" ht="10.5" customHeight="1" x14ac:dyDescent="0.25">
      <c r="A136" s="19">
        <v>46029</v>
      </c>
      <c r="B136" s="20" t="str">
        <f t="shared" si="6"/>
        <v>07/01/2026NL300022</v>
      </c>
      <c r="C136" s="21" t="s">
        <v>845</v>
      </c>
      <c r="D136" s="21" t="s">
        <v>819</v>
      </c>
      <c r="E136" s="20" t="s">
        <v>820</v>
      </c>
      <c r="F136" s="20" t="s">
        <v>821</v>
      </c>
      <c r="G136" s="20" t="s">
        <v>846</v>
      </c>
      <c r="H136" s="20" t="s">
        <v>305</v>
      </c>
      <c r="I136" s="20" t="s">
        <v>67</v>
      </c>
      <c r="J136" s="20" t="s">
        <v>190</v>
      </c>
      <c r="K136" s="22">
        <v>6.8</v>
      </c>
      <c r="L136" s="23">
        <v>18000</v>
      </c>
      <c r="M136" s="23">
        <v>0</v>
      </c>
      <c r="N136" s="24">
        <f t="shared" si="7"/>
        <v>122400</v>
      </c>
      <c r="O136" s="24">
        <v>0</v>
      </c>
      <c r="P136" s="23">
        <v>18000</v>
      </c>
      <c r="Q136" s="20" t="s">
        <v>824</v>
      </c>
      <c r="R136" s="20" t="s">
        <v>825</v>
      </c>
      <c r="S136" s="20" t="s">
        <v>12</v>
      </c>
      <c r="T136" s="20" t="s">
        <v>826</v>
      </c>
      <c r="U136" s="20" t="s">
        <v>12</v>
      </c>
      <c r="V136" s="20" t="s">
        <v>827</v>
      </c>
      <c r="W136" s="20" t="s">
        <v>827</v>
      </c>
    </row>
    <row r="137" spans="1:23" ht="10.5" customHeight="1" x14ac:dyDescent="0.25">
      <c r="A137" s="19">
        <v>46029</v>
      </c>
      <c r="B137" s="20" t="str">
        <f t="shared" si="6"/>
        <v>07/01/2026NL300018</v>
      </c>
      <c r="C137" s="21" t="s">
        <v>848</v>
      </c>
      <c r="D137" s="21" t="s">
        <v>819</v>
      </c>
      <c r="E137" s="20" t="s">
        <v>820</v>
      </c>
      <c r="F137" s="20" t="s">
        <v>821</v>
      </c>
      <c r="G137" s="20" t="s">
        <v>846</v>
      </c>
      <c r="H137" s="20" t="s">
        <v>294</v>
      </c>
      <c r="I137" s="20" t="s">
        <v>830</v>
      </c>
      <c r="J137" s="20" t="s">
        <v>190</v>
      </c>
      <c r="K137" s="22">
        <v>0.9</v>
      </c>
      <c r="L137" s="23">
        <v>38000</v>
      </c>
      <c r="M137" s="23">
        <v>0</v>
      </c>
      <c r="N137" s="24">
        <f t="shared" si="7"/>
        <v>34200</v>
      </c>
      <c r="O137" s="24">
        <v>0</v>
      </c>
      <c r="P137" s="23">
        <v>38000</v>
      </c>
      <c r="Q137" s="20" t="s">
        <v>824</v>
      </c>
      <c r="R137" s="20" t="s">
        <v>825</v>
      </c>
      <c r="S137" s="20" t="s">
        <v>12</v>
      </c>
      <c r="T137" s="20" t="s">
        <v>826</v>
      </c>
      <c r="U137" s="20" t="s">
        <v>12</v>
      </c>
      <c r="V137" s="20" t="s">
        <v>827</v>
      </c>
      <c r="W137" s="20" t="s">
        <v>827</v>
      </c>
    </row>
    <row r="138" spans="1:23" ht="10.5" customHeight="1" x14ac:dyDescent="0.25">
      <c r="A138" s="19">
        <v>46029</v>
      </c>
      <c r="B138" s="20" t="str">
        <f t="shared" si="6"/>
        <v>07/01/2026NL300090</v>
      </c>
      <c r="C138" s="21" t="s">
        <v>848</v>
      </c>
      <c r="D138" s="21" t="s">
        <v>819</v>
      </c>
      <c r="E138" s="20" t="s">
        <v>820</v>
      </c>
      <c r="F138" s="20" t="s">
        <v>821</v>
      </c>
      <c r="G138" s="20" t="s">
        <v>846</v>
      </c>
      <c r="H138" s="20" t="s">
        <v>578</v>
      </c>
      <c r="I138" s="20" t="s">
        <v>37</v>
      </c>
      <c r="J138" s="20" t="s">
        <v>190</v>
      </c>
      <c r="K138" s="22">
        <v>2</v>
      </c>
      <c r="L138" s="23">
        <v>145000</v>
      </c>
      <c r="M138" s="23">
        <v>0</v>
      </c>
      <c r="N138" s="24">
        <f t="shared" si="7"/>
        <v>290000</v>
      </c>
      <c r="O138" s="24">
        <v>0</v>
      </c>
      <c r="P138" s="23">
        <v>145000</v>
      </c>
      <c r="Q138" s="20" t="s">
        <v>824</v>
      </c>
      <c r="R138" s="20" t="s">
        <v>825</v>
      </c>
      <c r="S138" s="20" t="s">
        <v>12</v>
      </c>
      <c r="T138" s="20" t="s">
        <v>826</v>
      </c>
      <c r="U138" s="20" t="s">
        <v>12</v>
      </c>
      <c r="V138" s="20" t="s">
        <v>827</v>
      </c>
      <c r="W138" s="20" t="s">
        <v>827</v>
      </c>
    </row>
    <row r="139" spans="1:23" ht="10.5" customHeight="1" x14ac:dyDescent="0.25">
      <c r="A139" s="19">
        <v>46029</v>
      </c>
      <c r="B139" s="20" t="str">
        <f t="shared" si="6"/>
        <v>07/01/2026NL300142</v>
      </c>
      <c r="C139" s="21" t="s">
        <v>848</v>
      </c>
      <c r="D139" s="21" t="s">
        <v>819</v>
      </c>
      <c r="E139" s="20" t="s">
        <v>820</v>
      </c>
      <c r="F139" s="20" t="s">
        <v>821</v>
      </c>
      <c r="G139" s="20" t="s">
        <v>846</v>
      </c>
      <c r="H139" s="20" t="s">
        <v>766</v>
      </c>
      <c r="I139" s="20" t="s">
        <v>829</v>
      </c>
      <c r="J139" s="20" t="s">
        <v>190</v>
      </c>
      <c r="K139" s="22">
        <v>1.6</v>
      </c>
      <c r="L139" s="23">
        <v>50000</v>
      </c>
      <c r="M139" s="23">
        <v>0</v>
      </c>
      <c r="N139" s="24">
        <f t="shared" si="7"/>
        <v>80000</v>
      </c>
      <c r="O139" s="24">
        <v>0</v>
      </c>
      <c r="P139" s="23">
        <v>50000</v>
      </c>
      <c r="Q139" s="20" t="s">
        <v>824</v>
      </c>
      <c r="R139" s="20" t="s">
        <v>825</v>
      </c>
      <c r="S139" s="20" t="s">
        <v>12</v>
      </c>
      <c r="T139" s="20" t="s">
        <v>826</v>
      </c>
      <c r="U139" s="20" t="s">
        <v>12</v>
      </c>
      <c r="V139" s="20" t="s">
        <v>827</v>
      </c>
      <c r="W139" s="20" t="s">
        <v>827</v>
      </c>
    </row>
    <row r="140" spans="1:23" ht="10.5" customHeight="1" x14ac:dyDescent="0.25">
      <c r="A140" s="19">
        <v>46029</v>
      </c>
      <c r="B140" s="20" t="str">
        <f t="shared" si="6"/>
        <v>07/01/2026NL300209</v>
      </c>
      <c r="C140" s="21" t="s">
        <v>848</v>
      </c>
      <c r="D140" s="21" t="s">
        <v>819</v>
      </c>
      <c r="E140" s="20" t="s">
        <v>820</v>
      </c>
      <c r="F140" s="20" t="s">
        <v>821</v>
      </c>
      <c r="G140" s="20" t="s">
        <v>846</v>
      </c>
      <c r="H140" s="20" t="s">
        <v>797</v>
      </c>
      <c r="I140" s="20" t="s">
        <v>798</v>
      </c>
      <c r="J140" s="20" t="s">
        <v>190</v>
      </c>
      <c r="K140" s="22">
        <v>1.26</v>
      </c>
      <c r="L140" s="23">
        <v>30000</v>
      </c>
      <c r="M140" s="23">
        <v>0</v>
      </c>
      <c r="N140" s="24">
        <f t="shared" si="7"/>
        <v>37800</v>
      </c>
      <c r="O140" s="24">
        <v>0</v>
      </c>
      <c r="P140" s="23">
        <v>30000</v>
      </c>
      <c r="Q140" s="20" t="s">
        <v>824</v>
      </c>
      <c r="R140" s="20" t="s">
        <v>825</v>
      </c>
      <c r="S140" s="20" t="s">
        <v>12</v>
      </c>
      <c r="T140" s="20" t="s">
        <v>826</v>
      </c>
      <c r="U140" s="20" t="s">
        <v>12</v>
      </c>
      <c r="V140" s="20" t="s">
        <v>827</v>
      </c>
      <c r="W140" s="20" t="s">
        <v>827</v>
      </c>
    </row>
    <row r="141" spans="1:23" ht="10.5" customHeight="1" x14ac:dyDescent="0.25">
      <c r="A141" s="19">
        <v>46030</v>
      </c>
      <c r="B141" s="20" t="str">
        <f t="shared" si="6"/>
        <v>08/01/2026NL300147</v>
      </c>
      <c r="C141" s="21" t="s">
        <v>849</v>
      </c>
      <c r="D141" s="21" t="s">
        <v>819</v>
      </c>
      <c r="E141" s="20" t="s">
        <v>820</v>
      </c>
      <c r="F141" s="20" t="s">
        <v>821</v>
      </c>
      <c r="G141" s="20" t="s">
        <v>850</v>
      </c>
      <c r="H141" s="20" t="s">
        <v>790</v>
      </c>
      <c r="I141" s="20" t="s">
        <v>791</v>
      </c>
      <c r="J141" s="20" t="s">
        <v>190</v>
      </c>
      <c r="K141" s="22">
        <v>5</v>
      </c>
      <c r="L141" s="23">
        <v>62000</v>
      </c>
      <c r="M141" s="23">
        <v>0</v>
      </c>
      <c r="N141" s="24">
        <f t="shared" si="7"/>
        <v>310000</v>
      </c>
      <c r="O141" s="24">
        <v>0</v>
      </c>
      <c r="P141" s="23">
        <v>62000</v>
      </c>
      <c r="Q141" s="20" t="s">
        <v>824</v>
      </c>
      <c r="R141" s="20" t="s">
        <v>825</v>
      </c>
      <c r="S141" s="20" t="s">
        <v>12</v>
      </c>
      <c r="T141" s="20" t="s">
        <v>826</v>
      </c>
      <c r="U141" s="20" t="s">
        <v>12</v>
      </c>
      <c r="V141" s="20" t="s">
        <v>827</v>
      </c>
      <c r="W141" s="20" t="s">
        <v>827</v>
      </c>
    </row>
    <row r="142" spans="1:23" ht="10.5" customHeight="1" x14ac:dyDescent="0.25">
      <c r="A142" s="19">
        <v>46030</v>
      </c>
      <c r="B142" s="20" t="str">
        <f t="shared" si="6"/>
        <v>08/01/2026NL300203</v>
      </c>
      <c r="C142" s="21" t="s">
        <v>849</v>
      </c>
      <c r="D142" s="21" t="s">
        <v>819</v>
      </c>
      <c r="E142" s="20" t="s">
        <v>820</v>
      </c>
      <c r="F142" s="20" t="s">
        <v>821</v>
      </c>
      <c r="G142" s="20" t="s">
        <v>850</v>
      </c>
      <c r="H142" s="20" t="s">
        <v>346</v>
      </c>
      <c r="I142" s="20" t="s">
        <v>347</v>
      </c>
      <c r="J142" s="20" t="s">
        <v>190</v>
      </c>
      <c r="K142" s="22">
        <v>1</v>
      </c>
      <c r="L142" s="23">
        <v>45000</v>
      </c>
      <c r="M142" s="23">
        <v>0</v>
      </c>
      <c r="N142" s="24">
        <f t="shared" si="7"/>
        <v>45000</v>
      </c>
      <c r="O142" s="24">
        <v>0</v>
      </c>
      <c r="P142" s="23">
        <v>45000</v>
      </c>
      <c r="Q142" s="20" t="s">
        <v>824</v>
      </c>
      <c r="R142" s="20" t="s">
        <v>825</v>
      </c>
      <c r="S142" s="20" t="s">
        <v>12</v>
      </c>
      <c r="T142" s="20" t="s">
        <v>826</v>
      </c>
      <c r="U142" s="20" t="s">
        <v>12</v>
      </c>
      <c r="V142" s="20" t="s">
        <v>827</v>
      </c>
      <c r="W142" s="20" t="s">
        <v>827</v>
      </c>
    </row>
    <row r="143" spans="1:23" ht="10.5" customHeight="1" x14ac:dyDescent="0.25">
      <c r="A143" s="19">
        <v>46030</v>
      </c>
      <c r="B143" s="20" t="str">
        <f t="shared" si="6"/>
        <v>08/01/2026NL300218</v>
      </c>
      <c r="C143" s="21" t="s">
        <v>849</v>
      </c>
      <c r="D143" s="21" t="s">
        <v>819</v>
      </c>
      <c r="E143" s="20" t="s">
        <v>820</v>
      </c>
      <c r="F143" s="20" t="s">
        <v>821</v>
      </c>
      <c r="G143" s="20" t="s">
        <v>850</v>
      </c>
      <c r="H143" s="20" t="s">
        <v>529</v>
      </c>
      <c r="I143" s="20" t="s">
        <v>847</v>
      </c>
      <c r="J143" s="20" t="s">
        <v>82</v>
      </c>
      <c r="K143" s="22">
        <v>0</v>
      </c>
      <c r="L143" s="23">
        <v>40000</v>
      </c>
      <c r="M143" s="23">
        <v>0</v>
      </c>
      <c r="N143" s="24">
        <f t="shared" si="7"/>
        <v>0</v>
      </c>
      <c r="O143" s="24">
        <v>0</v>
      </c>
      <c r="P143" s="23">
        <v>40000</v>
      </c>
      <c r="Q143" s="20" t="s">
        <v>824</v>
      </c>
      <c r="R143" s="20" t="s">
        <v>825</v>
      </c>
      <c r="S143" s="20" t="s">
        <v>12</v>
      </c>
      <c r="T143" s="20" t="s">
        <v>826</v>
      </c>
      <c r="U143" s="20" t="s">
        <v>12</v>
      </c>
      <c r="V143" s="20" t="s">
        <v>827</v>
      </c>
      <c r="W143" s="20" t="s">
        <v>827</v>
      </c>
    </row>
    <row r="144" spans="1:23" ht="10.5" customHeight="1" x14ac:dyDescent="0.25">
      <c r="A144" s="19">
        <v>46030</v>
      </c>
      <c r="B144" s="20" t="str">
        <f t="shared" si="6"/>
        <v>08/01/2026NL300062</v>
      </c>
      <c r="C144" s="21" t="s">
        <v>849</v>
      </c>
      <c r="D144" s="21" t="s">
        <v>819</v>
      </c>
      <c r="E144" s="20" t="s">
        <v>820</v>
      </c>
      <c r="F144" s="20" t="s">
        <v>821</v>
      </c>
      <c r="G144" s="20" t="s">
        <v>850</v>
      </c>
      <c r="H144" s="20" t="s">
        <v>468</v>
      </c>
      <c r="I144" s="20" t="s">
        <v>469</v>
      </c>
      <c r="J144" s="20" t="s">
        <v>190</v>
      </c>
      <c r="K144" s="22">
        <v>0.1</v>
      </c>
      <c r="L144" s="23">
        <v>65000</v>
      </c>
      <c r="M144" s="23">
        <v>0</v>
      </c>
      <c r="N144" s="24">
        <f t="shared" si="7"/>
        <v>6500</v>
      </c>
      <c r="O144" s="24">
        <v>0</v>
      </c>
      <c r="P144" s="23">
        <v>65000</v>
      </c>
      <c r="Q144" s="20" t="s">
        <v>824</v>
      </c>
      <c r="R144" s="20" t="s">
        <v>825</v>
      </c>
      <c r="S144" s="20" t="s">
        <v>12</v>
      </c>
      <c r="T144" s="20" t="s">
        <v>826</v>
      </c>
      <c r="U144" s="20" t="s">
        <v>12</v>
      </c>
      <c r="V144" s="20" t="s">
        <v>827</v>
      </c>
      <c r="W144" s="20" t="s">
        <v>827</v>
      </c>
    </row>
    <row r="145" spans="1:23" ht="10.5" customHeight="1" x14ac:dyDescent="0.25">
      <c r="A145" s="19">
        <v>46030</v>
      </c>
      <c r="B145" s="20" t="str">
        <f t="shared" si="6"/>
        <v>08/01/2026NL300119</v>
      </c>
      <c r="C145" s="21" t="s">
        <v>849</v>
      </c>
      <c r="D145" s="21" t="s">
        <v>819</v>
      </c>
      <c r="E145" s="20" t="s">
        <v>820</v>
      </c>
      <c r="F145" s="20" t="s">
        <v>821</v>
      </c>
      <c r="G145" s="20" t="s">
        <v>850</v>
      </c>
      <c r="H145" s="20" t="s">
        <v>652</v>
      </c>
      <c r="I145" s="20" t="s">
        <v>653</v>
      </c>
      <c r="J145" s="20" t="s">
        <v>190</v>
      </c>
      <c r="K145" s="22">
        <v>5</v>
      </c>
      <c r="L145" s="23">
        <v>21000</v>
      </c>
      <c r="M145" s="23">
        <v>0</v>
      </c>
      <c r="N145" s="24">
        <f t="shared" si="7"/>
        <v>105000</v>
      </c>
      <c r="O145" s="24">
        <v>0</v>
      </c>
      <c r="P145" s="23">
        <v>21000</v>
      </c>
      <c r="Q145" s="20" t="s">
        <v>824</v>
      </c>
      <c r="R145" s="20" t="s">
        <v>825</v>
      </c>
      <c r="S145" s="20" t="s">
        <v>12</v>
      </c>
      <c r="T145" s="20" t="s">
        <v>826</v>
      </c>
      <c r="U145" s="20" t="s">
        <v>12</v>
      </c>
      <c r="V145" s="20" t="s">
        <v>827</v>
      </c>
      <c r="W145" s="20" t="s">
        <v>827</v>
      </c>
    </row>
    <row r="146" spans="1:23" ht="10.5" customHeight="1" x14ac:dyDescent="0.25">
      <c r="A146" s="19">
        <v>46030</v>
      </c>
      <c r="B146" s="20" t="str">
        <f t="shared" si="6"/>
        <v>08/01/2026NL600004</v>
      </c>
      <c r="C146" s="21" t="s">
        <v>849</v>
      </c>
      <c r="D146" s="21" t="s">
        <v>819</v>
      </c>
      <c r="E146" s="20" t="s">
        <v>820</v>
      </c>
      <c r="F146" s="20" t="s">
        <v>821</v>
      </c>
      <c r="G146" s="20" t="s">
        <v>850</v>
      </c>
      <c r="H146" s="20" t="s">
        <v>427</v>
      </c>
      <c r="I146" s="20" t="s">
        <v>51</v>
      </c>
      <c r="J146" s="20" t="s">
        <v>190</v>
      </c>
      <c r="K146" s="22">
        <v>17.2</v>
      </c>
      <c r="L146" s="23">
        <v>18000</v>
      </c>
      <c r="M146" s="23">
        <v>0</v>
      </c>
      <c r="N146" s="24">
        <f t="shared" si="7"/>
        <v>309600</v>
      </c>
      <c r="O146" s="24">
        <v>0</v>
      </c>
      <c r="P146" s="23">
        <v>18000</v>
      </c>
      <c r="Q146" s="20" t="s">
        <v>824</v>
      </c>
      <c r="R146" s="20" t="s">
        <v>825</v>
      </c>
      <c r="S146" s="20" t="s">
        <v>12</v>
      </c>
      <c r="T146" s="20" t="s">
        <v>826</v>
      </c>
      <c r="U146" s="20" t="s">
        <v>12</v>
      </c>
      <c r="V146" s="20" t="s">
        <v>827</v>
      </c>
      <c r="W146" s="20" t="s">
        <v>827</v>
      </c>
    </row>
    <row r="147" spans="1:23" ht="10.5" customHeight="1" x14ac:dyDescent="0.25">
      <c r="A147" s="19">
        <v>46030</v>
      </c>
      <c r="B147" s="20" t="str">
        <f t="shared" si="6"/>
        <v>08/01/2026NL300013</v>
      </c>
      <c r="C147" s="21" t="s">
        <v>849</v>
      </c>
      <c r="D147" s="21" t="s">
        <v>819</v>
      </c>
      <c r="E147" s="20" t="s">
        <v>820</v>
      </c>
      <c r="F147" s="20" t="s">
        <v>821</v>
      </c>
      <c r="G147" s="20" t="s">
        <v>850</v>
      </c>
      <c r="H147" s="20" t="s">
        <v>236</v>
      </c>
      <c r="I147" s="20" t="s">
        <v>65</v>
      </c>
      <c r="J147" s="20" t="s">
        <v>190</v>
      </c>
      <c r="K147" s="22">
        <v>1</v>
      </c>
      <c r="L147" s="23">
        <v>50000</v>
      </c>
      <c r="M147" s="23">
        <v>0</v>
      </c>
      <c r="N147" s="24">
        <f t="shared" si="7"/>
        <v>50000</v>
      </c>
      <c r="O147" s="24">
        <v>0</v>
      </c>
      <c r="P147" s="23">
        <v>50000</v>
      </c>
      <c r="Q147" s="20" t="s">
        <v>824</v>
      </c>
      <c r="R147" s="20" t="s">
        <v>825</v>
      </c>
      <c r="S147" s="20" t="s">
        <v>12</v>
      </c>
      <c r="T147" s="20" t="s">
        <v>826</v>
      </c>
      <c r="U147" s="20" t="s">
        <v>12</v>
      </c>
      <c r="V147" s="20" t="s">
        <v>827</v>
      </c>
      <c r="W147" s="20" t="s">
        <v>827</v>
      </c>
    </row>
    <row r="148" spans="1:23" ht="10.5" customHeight="1" x14ac:dyDescent="0.25">
      <c r="A148" s="19">
        <v>46030</v>
      </c>
      <c r="B148" s="20" t="str">
        <f t="shared" si="6"/>
        <v>08/01/2026NL300018</v>
      </c>
      <c r="C148" s="21" t="s">
        <v>849</v>
      </c>
      <c r="D148" s="21" t="s">
        <v>819</v>
      </c>
      <c r="E148" s="20" t="s">
        <v>820</v>
      </c>
      <c r="F148" s="20" t="s">
        <v>821</v>
      </c>
      <c r="G148" s="20" t="s">
        <v>850</v>
      </c>
      <c r="H148" s="20" t="s">
        <v>294</v>
      </c>
      <c r="I148" s="20" t="s">
        <v>830</v>
      </c>
      <c r="J148" s="20" t="s">
        <v>190</v>
      </c>
      <c r="K148" s="22">
        <v>1</v>
      </c>
      <c r="L148" s="23">
        <v>38000</v>
      </c>
      <c r="M148" s="23">
        <v>0</v>
      </c>
      <c r="N148" s="24">
        <f t="shared" si="7"/>
        <v>38000</v>
      </c>
      <c r="O148" s="24">
        <v>0</v>
      </c>
      <c r="P148" s="23">
        <v>38000</v>
      </c>
      <c r="Q148" s="20" t="s">
        <v>824</v>
      </c>
      <c r="R148" s="20" t="s">
        <v>825</v>
      </c>
      <c r="S148" s="20" t="s">
        <v>12</v>
      </c>
      <c r="T148" s="20" t="s">
        <v>826</v>
      </c>
      <c r="U148" s="20" t="s">
        <v>12</v>
      </c>
      <c r="V148" s="20" t="s">
        <v>827</v>
      </c>
      <c r="W148" s="20" t="s">
        <v>827</v>
      </c>
    </row>
    <row r="149" spans="1:23" ht="10.5" customHeight="1" x14ac:dyDescent="0.25">
      <c r="A149" s="19">
        <v>46030</v>
      </c>
      <c r="B149" s="20" t="str">
        <f t="shared" si="6"/>
        <v>08/01/2026NL300022</v>
      </c>
      <c r="C149" s="21" t="s">
        <v>849</v>
      </c>
      <c r="D149" s="21" t="s">
        <v>819</v>
      </c>
      <c r="E149" s="20" t="s">
        <v>820</v>
      </c>
      <c r="F149" s="20" t="s">
        <v>821</v>
      </c>
      <c r="G149" s="20" t="s">
        <v>850</v>
      </c>
      <c r="H149" s="20" t="s">
        <v>305</v>
      </c>
      <c r="I149" s="20" t="s">
        <v>67</v>
      </c>
      <c r="J149" s="20" t="s">
        <v>190</v>
      </c>
      <c r="K149" s="22">
        <v>7.8</v>
      </c>
      <c r="L149" s="23">
        <v>18000</v>
      </c>
      <c r="M149" s="23">
        <v>0</v>
      </c>
      <c r="N149" s="24">
        <f t="shared" si="7"/>
        <v>140400</v>
      </c>
      <c r="O149" s="24">
        <v>0</v>
      </c>
      <c r="P149" s="23">
        <v>18000</v>
      </c>
      <c r="Q149" s="20" t="s">
        <v>824</v>
      </c>
      <c r="R149" s="20" t="s">
        <v>825</v>
      </c>
      <c r="S149" s="20" t="s">
        <v>12</v>
      </c>
      <c r="T149" s="20" t="s">
        <v>826</v>
      </c>
      <c r="U149" s="20" t="s">
        <v>12</v>
      </c>
      <c r="V149" s="20" t="s">
        <v>827</v>
      </c>
      <c r="W149" s="20" t="s">
        <v>827</v>
      </c>
    </row>
    <row r="150" spans="1:23" ht="10.5" customHeight="1" x14ac:dyDescent="0.25">
      <c r="A150" s="19">
        <v>46030</v>
      </c>
      <c r="B150" s="20" t="str">
        <f t="shared" si="6"/>
        <v>08/01/2026NL300074</v>
      </c>
      <c r="C150" s="21" t="s">
        <v>849</v>
      </c>
      <c r="D150" s="21" t="s">
        <v>819</v>
      </c>
      <c r="E150" s="20" t="s">
        <v>820</v>
      </c>
      <c r="F150" s="20" t="s">
        <v>821</v>
      </c>
      <c r="G150" s="20" t="s">
        <v>850</v>
      </c>
      <c r="H150" s="20" t="s">
        <v>503</v>
      </c>
      <c r="I150" s="20" t="s">
        <v>73</v>
      </c>
      <c r="J150" s="20" t="s">
        <v>190</v>
      </c>
      <c r="K150" s="22">
        <v>1.3</v>
      </c>
      <c r="L150" s="23">
        <v>18000</v>
      </c>
      <c r="M150" s="23">
        <v>0</v>
      </c>
      <c r="N150" s="24">
        <f t="shared" si="7"/>
        <v>23400</v>
      </c>
      <c r="O150" s="24">
        <v>0</v>
      </c>
      <c r="P150" s="23">
        <v>18000</v>
      </c>
      <c r="Q150" s="20" t="s">
        <v>824</v>
      </c>
      <c r="R150" s="20" t="s">
        <v>825</v>
      </c>
      <c r="S150" s="20" t="s">
        <v>12</v>
      </c>
      <c r="T150" s="20" t="s">
        <v>826</v>
      </c>
      <c r="U150" s="20" t="s">
        <v>12</v>
      </c>
      <c r="V150" s="20" t="s">
        <v>827</v>
      </c>
      <c r="W150" s="20" t="s">
        <v>827</v>
      </c>
    </row>
    <row r="151" spans="1:23" ht="10.5" customHeight="1" x14ac:dyDescent="0.25">
      <c r="A151" s="19">
        <v>46030</v>
      </c>
      <c r="B151" s="20" t="str">
        <f t="shared" si="6"/>
        <v>08/01/2026NL300084</v>
      </c>
      <c r="C151" s="21" t="s">
        <v>849</v>
      </c>
      <c r="D151" s="21" t="s">
        <v>819</v>
      </c>
      <c r="E151" s="20" t="s">
        <v>820</v>
      </c>
      <c r="F151" s="20" t="s">
        <v>821</v>
      </c>
      <c r="G151" s="20" t="s">
        <v>850</v>
      </c>
      <c r="H151" s="20" t="s">
        <v>562</v>
      </c>
      <c r="I151" s="20" t="s">
        <v>563</v>
      </c>
      <c r="J151" s="20" t="s">
        <v>190</v>
      </c>
      <c r="K151" s="22">
        <v>1</v>
      </c>
      <c r="L151" s="23">
        <v>22000</v>
      </c>
      <c r="M151" s="23">
        <v>0</v>
      </c>
      <c r="N151" s="24">
        <f t="shared" si="7"/>
        <v>22000</v>
      </c>
      <c r="O151" s="24">
        <v>0</v>
      </c>
      <c r="P151" s="23">
        <v>22000</v>
      </c>
      <c r="Q151" s="20" t="s">
        <v>824</v>
      </c>
      <c r="R151" s="20" t="s">
        <v>825</v>
      </c>
      <c r="S151" s="20" t="s">
        <v>12</v>
      </c>
      <c r="T151" s="20" t="s">
        <v>826</v>
      </c>
      <c r="U151" s="20" t="s">
        <v>12</v>
      </c>
      <c r="V151" s="20" t="s">
        <v>827</v>
      </c>
      <c r="W151" s="20" t="s">
        <v>827</v>
      </c>
    </row>
    <row r="152" spans="1:23" ht="10.5" customHeight="1" x14ac:dyDescent="0.25">
      <c r="A152" s="19">
        <v>46030</v>
      </c>
      <c r="B152" s="20" t="str">
        <f t="shared" si="6"/>
        <v>08/01/2026NL300085</v>
      </c>
      <c r="C152" s="21" t="s">
        <v>849</v>
      </c>
      <c r="D152" s="21" t="s">
        <v>819</v>
      </c>
      <c r="E152" s="20" t="s">
        <v>820</v>
      </c>
      <c r="F152" s="20" t="s">
        <v>821</v>
      </c>
      <c r="G152" s="20" t="s">
        <v>850</v>
      </c>
      <c r="H152" s="20" t="s">
        <v>564</v>
      </c>
      <c r="I152" s="20" t="s">
        <v>565</v>
      </c>
      <c r="J152" s="20" t="s">
        <v>190</v>
      </c>
      <c r="K152" s="22">
        <v>0.5</v>
      </c>
      <c r="L152" s="23">
        <v>45000</v>
      </c>
      <c r="M152" s="23">
        <v>0</v>
      </c>
      <c r="N152" s="24">
        <f t="shared" si="7"/>
        <v>22500</v>
      </c>
      <c r="O152" s="24">
        <v>0</v>
      </c>
      <c r="P152" s="23">
        <v>45000</v>
      </c>
      <c r="Q152" s="20" t="s">
        <v>824</v>
      </c>
      <c r="R152" s="20" t="s">
        <v>825</v>
      </c>
      <c r="S152" s="20" t="s">
        <v>12</v>
      </c>
      <c r="T152" s="20" t="s">
        <v>826</v>
      </c>
      <c r="U152" s="20" t="s">
        <v>12</v>
      </c>
      <c r="V152" s="20" t="s">
        <v>827</v>
      </c>
      <c r="W152" s="20" t="s">
        <v>827</v>
      </c>
    </row>
    <row r="153" spans="1:23" ht="10.5" customHeight="1" x14ac:dyDescent="0.25">
      <c r="A153" s="19">
        <v>46030</v>
      </c>
      <c r="B153" s="20" t="str">
        <f t="shared" si="6"/>
        <v>08/01/2026NL300090</v>
      </c>
      <c r="C153" s="21" t="s">
        <v>849</v>
      </c>
      <c r="D153" s="21" t="s">
        <v>819</v>
      </c>
      <c r="E153" s="20" t="s">
        <v>820</v>
      </c>
      <c r="F153" s="20" t="s">
        <v>821</v>
      </c>
      <c r="G153" s="20" t="s">
        <v>850</v>
      </c>
      <c r="H153" s="20" t="s">
        <v>578</v>
      </c>
      <c r="I153" s="20" t="s">
        <v>37</v>
      </c>
      <c r="J153" s="20" t="s">
        <v>190</v>
      </c>
      <c r="K153" s="22">
        <v>2</v>
      </c>
      <c r="L153" s="23">
        <v>145000</v>
      </c>
      <c r="M153" s="23">
        <v>0</v>
      </c>
      <c r="N153" s="24">
        <f t="shared" si="7"/>
        <v>290000</v>
      </c>
      <c r="O153" s="24">
        <v>0</v>
      </c>
      <c r="P153" s="23">
        <v>145000</v>
      </c>
      <c r="Q153" s="20" t="s">
        <v>824</v>
      </c>
      <c r="R153" s="20" t="s">
        <v>825</v>
      </c>
      <c r="S153" s="20" t="s">
        <v>12</v>
      </c>
      <c r="T153" s="20" t="s">
        <v>826</v>
      </c>
      <c r="U153" s="20" t="s">
        <v>12</v>
      </c>
      <c r="V153" s="20" t="s">
        <v>827</v>
      </c>
      <c r="W153" s="20" t="s">
        <v>827</v>
      </c>
    </row>
    <row r="154" spans="1:23" ht="10.5" customHeight="1" x14ac:dyDescent="0.25">
      <c r="A154" s="19">
        <v>46030</v>
      </c>
      <c r="B154" s="20" t="str">
        <f t="shared" si="6"/>
        <v>08/01/2026NL300091</v>
      </c>
      <c r="C154" s="21" t="s">
        <v>849</v>
      </c>
      <c r="D154" s="21" t="s">
        <v>819</v>
      </c>
      <c r="E154" s="20" t="s">
        <v>820</v>
      </c>
      <c r="F154" s="20" t="s">
        <v>821</v>
      </c>
      <c r="G154" s="20" t="s">
        <v>850</v>
      </c>
      <c r="H154" s="20" t="s">
        <v>580</v>
      </c>
      <c r="I154" s="20" t="s">
        <v>39</v>
      </c>
      <c r="J154" s="20" t="s">
        <v>190</v>
      </c>
      <c r="K154" s="22">
        <v>3</v>
      </c>
      <c r="L154" s="23">
        <v>47000</v>
      </c>
      <c r="M154" s="23">
        <v>0</v>
      </c>
      <c r="N154" s="24">
        <f t="shared" si="7"/>
        <v>141000</v>
      </c>
      <c r="O154" s="24">
        <v>0</v>
      </c>
      <c r="P154" s="23">
        <v>47000</v>
      </c>
      <c r="Q154" s="20" t="s">
        <v>824</v>
      </c>
      <c r="R154" s="20" t="s">
        <v>825</v>
      </c>
      <c r="S154" s="20" t="s">
        <v>12</v>
      </c>
      <c r="T154" s="20" t="s">
        <v>826</v>
      </c>
      <c r="U154" s="20" t="s">
        <v>12</v>
      </c>
      <c r="V154" s="20" t="s">
        <v>827</v>
      </c>
      <c r="W154" s="20" t="s">
        <v>827</v>
      </c>
    </row>
    <row r="155" spans="1:23" ht="10.5" customHeight="1" x14ac:dyDescent="0.25">
      <c r="A155" s="19">
        <v>46030</v>
      </c>
      <c r="B155" s="20" t="str">
        <f t="shared" si="6"/>
        <v>08/01/2026NL300096</v>
      </c>
      <c r="C155" s="21" t="s">
        <v>849</v>
      </c>
      <c r="D155" s="21" t="s">
        <v>819</v>
      </c>
      <c r="E155" s="20" t="s">
        <v>820</v>
      </c>
      <c r="F155" s="20" t="s">
        <v>821</v>
      </c>
      <c r="G155" s="20" t="s">
        <v>850</v>
      </c>
      <c r="H155" s="20" t="s">
        <v>586</v>
      </c>
      <c r="I155" s="20" t="s">
        <v>43</v>
      </c>
      <c r="J155" s="20" t="s">
        <v>190</v>
      </c>
      <c r="K155" s="22">
        <v>3</v>
      </c>
      <c r="L155" s="23">
        <v>45000</v>
      </c>
      <c r="M155" s="23">
        <v>0</v>
      </c>
      <c r="N155" s="24">
        <f t="shared" si="7"/>
        <v>135000</v>
      </c>
      <c r="O155" s="24">
        <v>0</v>
      </c>
      <c r="P155" s="23">
        <v>45000</v>
      </c>
      <c r="Q155" s="20" t="s">
        <v>824</v>
      </c>
      <c r="R155" s="20" t="s">
        <v>825</v>
      </c>
      <c r="S155" s="20" t="s">
        <v>12</v>
      </c>
      <c r="T155" s="20" t="s">
        <v>826</v>
      </c>
      <c r="U155" s="20" t="s">
        <v>12</v>
      </c>
      <c r="V155" s="20" t="s">
        <v>827</v>
      </c>
      <c r="W155" s="20" t="s">
        <v>827</v>
      </c>
    </row>
    <row r="156" spans="1:23" ht="10.5" customHeight="1" x14ac:dyDescent="0.25">
      <c r="A156" s="19">
        <v>46030</v>
      </c>
      <c r="B156" s="20" t="str">
        <f t="shared" si="6"/>
        <v>08/01/2026NL300098</v>
      </c>
      <c r="C156" s="21" t="s">
        <v>849</v>
      </c>
      <c r="D156" s="21" t="s">
        <v>819</v>
      </c>
      <c r="E156" s="20" t="s">
        <v>820</v>
      </c>
      <c r="F156" s="20" t="s">
        <v>821</v>
      </c>
      <c r="G156" s="20" t="s">
        <v>850</v>
      </c>
      <c r="H156" s="20" t="s">
        <v>590</v>
      </c>
      <c r="I156" s="20" t="s">
        <v>591</v>
      </c>
      <c r="J156" s="20" t="s">
        <v>190</v>
      </c>
      <c r="K156" s="22">
        <v>1.9</v>
      </c>
      <c r="L156" s="23">
        <v>95000</v>
      </c>
      <c r="M156" s="23">
        <v>0</v>
      </c>
      <c r="N156" s="24">
        <f t="shared" si="7"/>
        <v>180500</v>
      </c>
      <c r="O156" s="24">
        <v>0</v>
      </c>
      <c r="P156" s="23">
        <v>95000</v>
      </c>
      <c r="Q156" s="20" t="s">
        <v>824</v>
      </c>
      <c r="R156" s="20" t="s">
        <v>825</v>
      </c>
      <c r="S156" s="20" t="s">
        <v>12</v>
      </c>
      <c r="T156" s="20" t="s">
        <v>826</v>
      </c>
      <c r="U156" s="20" t="s">
        <v>12</v>
      </c>
      <c r="V156" s="20" t="s">
        <v>827</v>
      </c>
      <c r="W156" s="20" t="s">
        <v>827</v>
      </c>
    </row>
    <row r="157" spans="1:23" ht="10.5" customHeight="1" x14ac:dyDescent="0.25">
      <c r="A157" s="19">
        <v>46030</v>
      </c>
      <c r="B157" s="20" t="str">
        <f t="shared" si="6"/>
        <v>08/01/2026NL300113</v>
      </c>
      <c r="C157" s="21" t="s">
        <v>849</v>
      </c>
      <c r="D157" s="21" t="s">
        <v>819</v>
      </c>
      <c r="E157" s="20" t="s">
        <v>820</v>
      </c>
      <c r="F157" s="20" t="s">
        <v>821</v>
      </c>
      <c r="G157" s="20" t="s">
        <v>850</v>
      </c>
      <c r="H157" s="20" t="s">
        <v>627</v>
      </c>
      <c r="I157" s="20" t="s">
        <v>30</v>
      </c>
      <c r="J157" s="20" t="s">
        <v>190</v>
      </c>
      <c r="K157" s="22">
        <v>1</v>
      </c>
      <c r="L157" s="23">
        <v>145000</v>
      </c>
      <c r="M157" s="23">
        <v>0</v>
      </c>
      <c r="N157" s="24">
        <f t="shared" si="7"/>
        <v>145000</v>
      </c>
      <c r="O157" s="24">
        <v>0</v>
      </c>
      <c r="P157" s="23">
        <v>145000</v>
      </c>
      <c r="Q157" s="20" t="s">
        <v>824</v>
      </c>
      <c r="R157" s="20" t="s">
        <v>825</v>
      </c>
      <c r="S157" s="20" t="s">
        <v>12</v>
      </c>
      <c r="T157" s="20" t="s">
        <v>826</v>
      </c>
      <c r="U157" s="20" t="s">
        <v>12</v>
      </c>
      <c r="V157" s="20" t="s">
        <v>827</v>
      </c>
      <c r="W157" s="20" t="s">
        <v>827</v>
      </c>
    </row>
    <row r="158" spans="1:23" ht="10.5" customHeight="1" x14ac:dyDescent="0.25">
      <c r="A158" s="19">
        <v>46030</v>
      </c>
      <c r="B158" s="20" t="str">
        <f t="shared" si="6"/>
        <v>08/01/2026NL300036</v>
      </c>
      <c r="C158" s="21" t="s">
        <v>851</v>
      </c>
      <c r="D158" s="21" t="s">
        <v>819</v>
      </c>
      <c r="E158" s="20" t="s">
        <v>820</v>
      </c>
      <c r="F158" s="20" t="s">
        <v>821</v>
      </c>
      <c r="G158" s="20" t="s">
        <v>850</v>
      </c>
      <c r="H158" s="20" t="s">
        <v>357</v>
      </c>
      <c r="I158" s="20" t="s">
        <v>17</v>
      </c>
      <c r="J158" s="20" t="s">
        <v>190</v>
      </c>
      <c r="K158" s="22">
        <v>0.8</v>
      </c>
      <c r="L158" s="23">
        <v>47000</v>
      </c>
      <c r="M158" s="23">
        <v>0</v>
      </c>
      <c r="N158" s="24">
        <f t="shared" si="7"/>
        <v>37600</v>
      </c>
      <c r="O158" s="24">
        <v>0</v>
      </c>
      <c r="P158" s="23">
        <v>47000</v>
      </c>
      <c r="Q158" s="20" t="s">
        <v>824</v>
      </c>
      <c r="R158" s="20" t="s">
        <v>825</v>
      </c>
      <c r="S158" s="20" t="s">
        <v>12</v>
      </c>
      <c r="T158" s="20" t="s">
        <v>826</v>
      </c>
      <c r="U158" s="20" t="s">
        <v>12</v>
      </c>
      <c r="V158" s="20" t="s">
        <v>827</v>
      </c>
      <c r="W158" s="20" t="s">
        <v>827</v>
      </c>
    </row>
    <row r="159" spans="1:23" ht="10.5" customHeight="1" x14ac:dyDescent="0.25">
      <c r="A159" s="19">
        <v>46030</v>
      </c>
      <c r="B159" s="20" t="str">
        <f t="shared" si="6"/>
        <v>08/01/2026NL300058</v>
      </c>
      <c r="C159" s="21" t="s">
        <v>851</v>
      </c>
      <c r="D159" s="21" t="s">
        <v>819</v>
      </c>
      <c r="E159" s="20" t="s">
        <v>820</v>
      </c>
      <c r="F159" s="20" t="s">
        <v>821</v>
      </c>
      <c r="G159" s="20" t="s">
        <v>850</v>
      </c>
      <c r="H159" s="20" t="s">
        <v>450</v>
      </c>
      <c r="I159" s="20" t="s">
        <v>19</v>
      </c>
      <c r="J159" s="20" t="s">
        <v>190</v>
      </c>
      <c r="K159" s="22">
        <v>0.5</v>
      </c>
      <c r="L159" s="23">
        <v>55000</v>
      </c>
      <c r="M159" s="23">
        <v>0</v>
      </c>
      <c r="N159" s="24">
        <f t="shared" si="7"/>
        <v>27500</v>
      </c>
      <c r="O159" s="24">
        <v>0</v>
      </c>
      <c r="P159" s="23">
        <v>55000</v>
      </c>
      <c r="Q159" s="20" t="s">
        <v>824</v>
      </c>
      <c r="R159" s="20" t="s">
        <v>825</v>
      </c>
      <c r="S159" s="20" t="s">
        <v>12</v>
      </c>
      <c r="T159" s="20" t="s">
        <v>826</v>
      </c>
      <c r="U159" s="20" t="s">
        <v>12</v>
      </c>
      <c r="V159" s="20" t="s">
        <v>827</v>
      </c>
      <c r="W159" s="20" t="s">
        <v>827</v>
      </c>
    </row>
    <row r="160" spans="1:23" ht="10.5" customHeight="1" x14ac:dyDescent="0.25">
      <c r="A160" s="19">
        <v>46030</v>
      </c>
      <c r="B160" s="20" t="str">
        <f t="shared" si="6"/>
        <v>08/01/2026NL300107</v>
      </c>
      <c r="C160" s="21" t="s">
        <v>851</v>
      </c>
      <c r="D160" s="21" t="s">
        <v>819</v>
      </c>
      <c r="E160" s="20" t="s">
        <v>820</v>
      </c>
      <c r="F160" s="20" t="s">
        <v>821</v>
      </c>
      <c r="G160" s="20" t="s">
        <v>850</v>
      </c>
      <c r="H160" s="20" t="s">
        <v>616</v>
      </c>
      <c r="I160" s="20" t="s">
        <v>828</v>
      </c>
      <c r="J160" s="20" t="s">
        <v>385</v>
      </c>
      <c r="K160" s="22">
        <v>3</v>
      </c>
      <c r="L160" s="23">
        <v>8500</v>
      </c>
      <c r="M160" s="23">
        <v>0</v>
      </c>
      <c r="N160" s="24">
        <f t="shared" si="7"/>
        <v>25500</v>
      </c>
      <c r="O160" s="24">
        <v>0</v>
      </c>
      <c r="P160" s="23">
        <v>8500</v>
      </c>
      <c r="Q160" s="20" t="s">
        <v>824</v>
      </c>
      <c r="R160" s="20" t="s">
        <v>825</v>
      </c>
      <c r="S160" s="20" t="s">
        <v>12</v>
      </c>
      <c r="T160" s="20" t="s">
        <v>826</v>
      </c>
      <c r="U160" s="20" t="s">
        <v>12</v>
      </c>
      <c r="V160" s="20" t="s">
        <v>827</v>
      </c>
      <c r="W160" s="20" t="s">
        <v>827</v>
      </c>
    </row>
    <row r="161" spans="1:23" ht="10.5" customHeight="1" x14ac:dyDescent="0.25">
      <c r="A161" s="19">
        <v>46030</v>
      </c>
      <c r="B161" s="20" t="str">
        <f t="shared" si="6"/>
        <v>08/01/2026NL300142</v>
      </c>
      <c r="C161" s="21" t="s">
        <v>851</v>
      </c>
      <c r="D161" s="21" t="s">
        <v>819</v>
      </c>
      <c r="E161" s="20" t="s">
        <v>820</v>
      </c>
      <c r="F161" s="20" t="s">
        <v>821</v>
      </c>
      <c r="G161" s="20" t="s">
        <v>850</v>
      </c>
      <c r="H161" s="20" t="s">
        <v>766</v>
      </c>
      <c r="I161" s="20" t="s">
        <v>829</v>
      </c>
      <c r="J161" s="20" t="s">
        <v>190</v>
      </c>
      <c r="K161" s="22">
        <v>0.5</v>
      </c>
      <c r="L161" s="23">
        <v>50000</v>
      </c>
      <c r="M161" s="23">
        <v>0</v>
      </c>
      <c r="N161" s="24">
        <f t="shared" si="7"/>
        <v>25000</v>
      </c>
      <c r="O161" s="24">
        <v>0</v>
      </c>
      <c r="P161" s="23">
        <v>50000</v>
      </c>
      <c r="Q161" s="20" t="s">
        <v>824</v>
      </c>
      <c r="R161" s="20" t="s">
        <v>825</v>
      </c>
      <c r="S161" s="20" t="s">
        <v>12</v>
      </c>
      <c r="T161" s="20" t="s">
        <v>826</v>
      </c>
      <c r="U161" s="20" t="s">
        <v>12</v>
      </c>
      <c r="V161" s="20" t="s">
        <v>827</v>
      </c>
      <c r="W161" s="20" t="s">
        <v>827</v>
      </c>
    </row>
    <row r="162" spans="1:23" ht="10.5" customHeight="1" x14ac:dyDescent="0.25">
      <c r="A162" s="19">
        <v>46031</v>
      </c>
      <c r="B162" s="20" t="str">
        <f t="shared" si="6"/>
        <v>09/01/2026NL300029</v>
      </c>
      <c r="C162" s="21" t="s">
        <v>852</v>
      </c>
      <c r="D162" s="21" t="s">
        <v>819</v>
      </c>
      <c r="E162" s="20" t="s">
        <v>820</v>
      </c>
      <c r="F162" s="20" t="s">
        <v>821</v>
      </c>
      <c r="G162" s="20" t="s">
        <v>853</v>
      </c>
      <c r="H162" s="20" t="s">
        <v>322</v>
      </c>
      <c r="I162" s="20" t="s">
        <v>323</v>
      </c>
      <c r="J162" s="20" t="s">
        <v>190</v>
      </c>
      <c r="K162" s="22">
        <v>0.5</v>
      </c>
      <c r="L162" s="23">
        <v>22000</v>
      </c>
      <c r="M162" s="23">
        <v>0</v>
      </c>
      <c r="N162" s="24">
        <f t="shared" si="7"/>
        <v>11000</v>
      </c>
      <c r="O162" s="24">
        <v>0</v>
      </c>
      <c r="P162" s="23">
        <v>22000</v>
      </c>
      <c r="Q162" s="20" t="s">
        <v>824</v>
      </c>
      <c r="R162" s="20" t="s">
        <v>825</v>
      </c>
      <c r="S162" s="20" t="s">
        <v>12</v>
      </c>
      <c r="T162" s="20" t="s">
        <v>826</v>
      </c>
      <c r="U162" s="20" t="s">
        <v>12</v>
      </c>
      <c r="V162" s="20" t="s">
        <v>827</v>
      </c>
      <c r="W162" s="20" t="s">
        <v>827</v>
      </c>
    </row>
    <row r="163" spans="1:23" ht="10.5" customHeight="1" x14ac:dyDescent="0.25">
      <c r="A163" s="19">
        <v>46031</v>
      </c>
      <c r="B163" s="20" t="str">
        <f t="shared" si="6"/>
        <v>09/01/2026NL300030</v>
      </c>
      <c r="C163" s="21" t="s">
        <v>852</v>
      </c>
      <c r="D163" s="21" t="s">
        <v>819</v>
      </c>
      <c r="E163" s="20" t="s">
        <v>820</v>
      </c>
      <c r="F163" s="20" t="s">
        <v>821</v>
      </c>
      <c r="G163" s="20" t="s">
        <v>853</v>
      </c>
      <c r="H163" s="20" t="s">
        <v>326</v>
      </c>
      <c r="I163" s="20" t="s">
        <v>834</v>
      </c>
      <c r="J163" s="20" t="s">
        <v>190</v>
      </c>
      <c r="K163" s="22">
        <v>0.6</v>
      </c>
      <c r="L163" s="23">
        <v>34000</v>
      </c>
      <c r="M163" s="23">
        <v>0</v>
      </c>
      <c r="N163" s="24">
        <f t="shared" si="7"/>
        <v>20400</v>
      </c>
      <c r="O163" s="24">
        <v>0</v>
      </c>
      <c r="P163" s="23">
        <v>34000</v>
      </c>
      <c r="Q163" s="20" t="s">
        <v>824</v>
      </c>
      <c r="R163" s="20" t="s">
        <v>825</v>
      </c>
      <c r="S163" s="20" t="s">
        <v>12</v>
      </c>
      <c r="T163" s="20" t="s">
        <v>826</v>
      </c>
      <c r="U163" s="20" t="s">
        <v>12</v>
      </c>
      <c r="V163" s="20" t="s">
        <v>827</v>
      </c>
      <c r="W163" s="20" t="s">
        <v>827</v>
      </c>
    </row>
    <row r="164" spans="1:23" ht="10.5" customHeight="1" x14ac:dyDescent="0.25">
      <c r="A164" s="19">
        <v>46031</v>
      </c>
      <c r="B164" s="20" t="str">
        <f t="shared" si="6"/>
        <v>09/01/2026NL300119</v>
      </c>
      <c r="C164" s="21" t="s">
        <v>852</v>
      </c>
      <c r="D164" s="21" t="s">
        <v>819</v>
      </c>
      <c r="E164" s="20" t="s">
        <v>820</v>
      </c>
      <c r="F164" s="20" t="s">
        <v>821</v>
      </c>
      <c r="G164" s="20" t="s">
        <v>853</v>
      </c>
      <c r="H164" s="20" t="s">
        <v>652</v>
      </c>
      <c r="I164" s="20" t="s">
        <v>653</v>
      </c>
      <c r="J164" s="20" t="s">
        <v>190</v>
      </c>
      <c r="K164" s="22">
        <v>1</v>
      </c>
      <c r="L164" s="23">
        <v>21000</v>
      </c>
      <c r="M164" s="23">
        <v>0</v>
      </c>
      <c r="N164" s="24">
        <f t="shared" si="7"/>
        <v>21000</v>
      </c>
      <c r="O164" s="24">
        <v>0</v>
      </c>
      <c r="P164" s="23">
        <v>21000</v>
      </c>
      <c r="Q164" s="20" t="s">
        <v>824</v>
      </c>
      <c r="R164" s="20" t="s">
        <v>825</v>
      </c>
      <c r="S164" s="20" t="s">
        <v>12</v>
      </c>
      <c r="T164" s="20" t="s">
        <v>826</v>
      </c>
      <c r="U164" s="20" t="s">
        <v>12</v>
      </c>
      <c r="V164" s="20" t="s">
        <v>827</v>
      </c>
      <c r="W164" s="20" t="s">
        <v>827</v>
      </c>
    </row>
    <row r="165" spans="1:23" ht="10.5" customHeight="1" x14ac:dyDescent="0.25">
      <c r="A165" s="19">
        <v>46031</v>
      </c>
      <c r="B165" s="20" t="str">
        <f t="shared" si="6"/>
        <v>09/01/2026NL600004</v>
      </c>
      <c r="C165" s="21" t="s">
        <v>852</v>
      </c>
      <c r="D165" s="21" t="s">
        <v>819</v>
      </c>
      <c r="E165" s="20" t="s">
        <v>820</v>
      </c>
      <c r="F165" s="20" t="s">
        <v>821</v>
      </c>
      <c r="G165" s="20" t="s">
        <v>853</v>
      </c>
      <c r="H165" s="20" t="s">
        <v>427</v>
      </c>
      <c r="I165" s="20" t="s">
        <v>51</v>
      </c>
      <c r="J165" s="20" t="s">
        <v>190</v>
      </c>
      <c r="K165" s="22">
        <v>19</v>
      </c>
      <c r="L165" s="23">
        <v>18000</v>
      </c>
      <c r="M165" s="23">
        <v>0</v>
      </c>
      <c r="N165" s="24">
        <f t="shared" si="7"/>
        <v>342000</v>
      </c>
      <c r="O165" s="24">
        <v>0</v>
      </c>
      <c r="P165" s="23">
        <v>18000</v>
      </c>
      <c r="Q165" s="20" t="s">
        <v>824</v>
      </c>
      <c r="R165" s="20" t="s">
        <v>825</v>
      </c>
      <c r="S165" s="20" t="s">
        <v>12</v>
      </c>
      <c r="T165" s="20" t="s">
        <v>826</v>
      </c>
      <c r="U165" s="20" t="s">
        <v>12</v>
      </c>
      <c r="V165" s="20" t="s">
        <v>827</v>
      </c>
      <c r="W165" s="20" t="s">
        <v>827</v>
      </c>
    </row>
    <row r="166" spans="1:23" ht="10.5" customHeight="1" x14ac:dyDescent="0.25">
      <c r="A166" s="19">
        <v>46031</v>
      </c>
      <c r="B166" s="20" t="str">
        <f t="shared" si="6"/>
        <v>09/01/2026NL600067</v>
      </c>
      <c r="C166" s="21" t="s">
        <v>852</v>
      </c>
      <c r="D166" s="21" t="s">
        <v>819</v>
      </c>
      <c r="E166" s="20" t="s">
        <v>820</v>
      </c>
      <c r="F166" s="20" t="s">
        <v>821</v>
      </c>
      <c r="G166" s="20" t="s">
        <v>853</v>
      </c>
      <c r="H166" s="20" t="s">
        <v>312</v>
      </c>
      <c r="I166" s="20" t="s">
        <v>55</v>
      </c>
      <c r="J166" s="20" t="s">
        <v>190</v>
      </c>
      <c r="K166" s="22">
        <v>0.7</v>
      </c>
      <c r="L166" s="23">
        <v>75000</v>
      </c>
      <c r="M166" s="23">
        <v>0</v>
      </c>
      <c r="N166" s="24">
        <f t="shared" si="7"/>
        <v>52500</v>
      </c>
      <c r="O166" s="24">
        <v>0</v>
      </c>
      <c r="P166" s="23">
        <v>75000</v>
      </c>
      <c r="Q166" s="20" t="s">
        <v>824</v>
      </c>
      <c r="R166" s="20" t="s">
        <v>825</v>
      </c>
      <c r="S166" s="20" t="s">
        <v>12</v>
      </c>
      <c r="T166" s="20" t="s">
        <v>826</v>
      </c>
      <c r="U166" s="20" t="s">
        <v>12</v>
      </c>
      <c r="V166" s="20" t="s">
        <v>827</v>
      </c>
      <c r="W166" s="20" t="s">
        <v>827</v>
      </c>
    </row>
    <row r="167" spans="1:23" ht="10.5" customHeight="1" x14ac:dyDescent="0.25">
      <c r="A167" s="19">
        <v>46031</v>
      </c>
      <c r="B167" s="20" t="str">
        <f t="shared" si="6"/>
        <v>09/01/2026NL600068</v>
      </c>
      <c r="C167" s="21" t="s">
        <v>852</v>
      </c>
      <c r="D167" s="21" t="s">
        <v>819</v>
      </c>
      <c r="E167" s="20" t="s">
        <v>820</v>
      </c>
      <c r="F167" s="20" t="s">
        <v>821</v>
      </c>
      <c r="G167" s="20" t="s">
        <v>853</v>
      </c>
      <c r="H167" s="20" t="s">
        <v>324</v>
      </c>
      <c r="I167" s="20" t="s">
        <v>59</v>
      </c>
      <c r="J167" s="20" t="s">
        <v>190</v>
      </c>
      <c r="K167" s="22">
        <v>0.3</v>
      </c>
      <c r="L167" s="23">
        <v>95000</v>
      </c>
      <c r="M167" s="23">
        <v>0</v>
      </c>
      <c r="N167" s="24">
        <f t="shared" si="7"/>
        <v>28500</v>
      </c>
      <c r="O167" s="24">
        <v>0</v>
      </c>
      <c r="P167" s="23">
        <v>95000</v>
      </c>
      <c r="Q167" s="20" t="s">
        <v>824</v>
      </c>
      <c r="R167" s="20" t="s">
        <v>825</v>
      </c>
      <c r="S167" s="20" t="s">
        <v>12</v>
      </c>
      <c r="T167" s="20" t="s">
        <v>826</v>
      </c>
      <c r="U167" s="20" t="s">
        <v>12</v>
      </c>
      <c r="V167" s="20" t="s">
        <v>827</v>
      </c>
      <c r="W167" s="20" t="s">
        <v>827</v>
      </c>
    </row>
    <row r="168" spans="1:23" ht="10.5" customHeight="1" x14ac:dyDescent="0.25">
      <c r="A168" s="19">
        <v>46031</v>
      </c>
      <c r="B168" s="20" t="str">
        <f t="shared" si="6"/>
        <v>09/01/2026NL300018</v>
      </c>
      <c r="C168" s="21" t="s">
        <v>852</v>
      </c>
      <c r="D168" s="21" t="s">
        <v>819</v>
      </c>
      <c r="E168" s="20" t="s">
        <v>820</v>
      </c>
      <c r="F168" s="20" t="s">
        <v>821</v>
      </c>
      <c r="G168" s="20" t="s">
        <v>853</v>
      </c>
      <c r="H168" s="20" t="s">
        <v>294</v>
      </c>
      <c r="I168" s="20" t="s">
        <v>830</v>
      </c>
      <c r="J168" s="20" t="s">
        <v>190</v>
      </c>
      <c r="K168" s="22">
        <v>0.6</v>
      </c>
      <c r="L168" s="23">
        <v>38000</v>
      </c>
      <c r="M168" s="23">
        <v>0</v>
      </c>
      <c r="N168" s="24">
        <f t="shared" si="7"/>
        <v>22800</v>
      </c>
      <c r="O168" s="24">
        <v>0</v>
      </c>
      <c r="P168" s="23">
        <v>38000</v>
      </c>
      <c r="Q168" s="20" t="s">
        <v>824</v>
      </c>
      <c r="R168" s="20" t="s">
        <v>825</v>
      </c>
      <c r="S168" s="20" t="s">
        <v>12</v>
      </c>
      <c r="T168" s="20" t="s">
        <v>826</v>
      </c>
      <c r="U168" s="20" t="s">
        <v>12</v>
      </c>
      <c r="V168" s="20" t="s">
        <v>827</v>
      </c>
      <c r="W168" s="20" t="s">
        <v>827</v>
      </c>
    </row>
    <row r="169" spans="1:23" ht="10.5" customHeight="1" x14ac:dyDescent="0.25">
      <c r="A169" s="19">
        <v>46031</v>
      </c>
      <c r="B169" s="20" t="str">
        <f t="shared" si="6"/>
        <v>09/01/2026NL300022</v>
      </c>
      <c r="C169" s="21" t="s">
        <v>852</v>
      </c>
      <c r="D169" s="21" t="s">
        <v>819</v>
      </c>
      <c r="E169" s="20" t="s">
        <v>820</v>
      </c>
      <c r="F169" s="20" t="s">
        <v>821</v>
      </c>
      <c r="G169" s="20" t="s">
        <v>853</v>
      </c>
      <c r="H169" s="20" t="s">
        <v>305</v>
      </c>
      <c r="I169" s="20" t="s">
        <v>67</v>
      </c>
      <c r="J169" s="20" t="s">
        <v>190</v>
      </c>
      <c r="K169" s="22">
        <v>5.3</v>
      </c>
      <c r="L169" s="23">
        <v>18000</v>
      </c>
      <c r="M169" s="23">
        <v>0</v>
      </c>
      <c r="N169" s="24">
        <f t="shared" si="7"/>
        <v>95400</v>
      </c>
      <c r="O169" s="24">
        <v>0</v>
      </c>
      <c r="P169" s="23">
        <v>18000</v>
      </c>
      <c r="Q169" s="20" t="s">
        <v>824</v>
      </c>
      <c r="R169" s="20" t="s">
        <v>825</v>
      </c>
      <c r="S169" s="20" t="s">
        <v>12</v>
      </c>
      <c r="T169" s="20" t="s">
        <v>826</v>
      </c>
      <c r="U169" s="20" t="s">
        <v>12</v>
      </c>
      <c r="V169" s="20" t="s">
        <v>827</v>
      </c>
      <c r="W169" s="20" t="s">
        <v>827</v>
      </c>
    </row>
    <row r="170" spans="1:23" ht="10.5" customHeight="1" x14ac:dyDescent="0.25">
      <c r="A170" s="19">
        <v>46031</v>
      </c>
      <c r="B170" s="20" t="str">
        <f t="shared" si="6"/>
        <v>09/01/2026NL300058</v>
      </c>
      <c r="C170" s="21" t="s">
        <v>852</v>
      </c>
      <c r="D170" s="21" t="s">
        <v>819</v>
      </c>
      <c r="E170" s="20" t="s">
        <v>820</v>
      </c>
      <c r="F170" s="20" t="s">
        <v>821</v>
      </c>
      <c r="G170" s="20" t="s">
        <v>853</v>
      </c>
      <c r="H170" s="20" t="s">
        <v>450</v>
      </c>
      <c r="I170" s="20" t="s">
        <v>19</v>
      </c>
      <c r="J170" s="20" t="s">
        <v>190</v>
      </c>
      <c r="K170" s="22">
        <v>1</v>
      </c>
      <c r="L170" s="23">
        <v>55000</v>
      </c>
      <c r="M170" s="23">
        <v>0</v>
      </c>
      <c r="N170" s="24">
        <f t="shared" si="7"/>
        <v>55000</v>
      </c>
      <c r="O170" s="24">
        <v>0</v>
      </c>
      <c r="P170" s="23">
        <v>55000</v>
      </c>
      <c r="Q170" s="20" t="s">
        <v>824</v>
      </c>
      <c r="R170" s="20" t="s">
        <v>825</v>
      </c>
      <c r="S170" s="20" t="s">
        <v>12</v>
      </c>
      <c r="T170" s="20" t="s">
        <v>826</v>
      </c>
      <c r="U170" s="20" t="s">
        <v>12</v>
      </c>
      <c r="V170" s="20" t="s">
        <v>827</v>
      </c>
      <c r="W170" s="20" t="s">
        <v>827</v>
      </c>
    </row>
    <row r="171" spans="1:23" ht="10.5" customHeight="1" x14ac:dyDescent="0.25">
      <c r="A171" s="19">
        <v>46031</v>
      </c>
      <c r="B171" s="20" t="str">
        <f t="shared" si="6"/>
        <v>09/01/2026NL300084</v>
      </c>
      <c r="C171" s="21" t="s">
        <v>852</v>
      </c>
      <c r="D171" s="21" t="s">
        <v>819</v>
      </c>
      <c r="E171" s="20" t="s">
        <v>820</v>
      </c>
      <c r="F171" s="20" t="s">
        <v>821</v>
      </c>
      <c r="G171" s="20" t="s">
        <v>853</v>
      </c>
      <c r="H171" s="20" t="s">
        <v>562</v>
      </c>
      <c r="I171" s="20" t="s">
        <v>563</v>
      </c>
      <c r="J171" s="20" t="s">
        <v>190</v>
      </c>
      <c r="K171" s="22">
        <v>2</v>
      </c>
      <c r="L171" s="23">
        <v>22000</v>
      </c>
      <c r="M171" s="23">
        <v>0</v>
      </c>
      <c r="N171" s="24">
        <f t="shared" si="7"/>
        <v>44000</v>
      </c>
      <c r="O171" s="24">
        <v>0</v>
      </c>
      <c r="P171" s="23">
        <v>22000</v>
      </c>
      <c r="Q171" s="20" t="s">
        <v>824</v>
      </c>
      <c r="R171" s="20" t="s">
        <v>825</v>
      </c>
      <c r="S171" s="20" t="s">
        <v>12</v>
      </c>
      <c r="T171" s="20" t="s">
        <v>826</v>
      </c>
      <c r="U171" s="20" t="s">
        <v>12</v>
      </c>
      <c r="V171" s="20" t="s">
        <v>827</v>
      </c>
      <c r="W171" s="20" t="s">
        <v>827</v>
      </c>
    </row>
    <row r="172" spans="1:23" ht="10.5" customHeight="1" x14ac:dyDescent="0.25">
      <c r="A172" s="19">
        <v>46031</v>
      </c>
      <c r="B172" s="20" t="str">
        <f t="shared" si="6"/>
        <v>09/01/2026NL300085</v>
      </c>
      <c r="C172" s="21" t="s">
        <v>852</v>
      </c>
      <c r="D172" s="21" t="s">
        <v>819</v>
      </c>
      <c r="E172" s="20" t="s">
        <v>820</v>
      </c>
      <c r="F172" s="20" t="s">
        <v>821</v>
      </c>
      <c r="G172" s="20" t="s">
        <v>853</v>
      </c>
      <c r="H172" s="20" t="s">
        <v>564</v>
      </c>
      <c r="I172" s="20" t="s">
        <v>565</v>
      </c>
      <c r="J172" s="20" t="s">
        <v>190</v>
      </c>
      <c r="K172" s="22">
        <v>1</v>
      </c>
      <c r="L172" s="23">
        <v>45000</v>
      </c>
      <c r="M172" s="23">
        <v>0</v>
      </c>
      <c r="N172" s="24">
        <f t="shared" si="7"/>
        <v>45000</v>
      </c>
      <c r="O172" s="24">
        <v>0</v>
      </c>
      <c r="P172" s="23">
        <v>45000</v>
      </c>
      <c r="Q172" s="20" t="s">
        <v>824</v>
      </c>
      <c r="R172" s="20" t="s">
        <v>825</v>
      </c>
      <c r="S172" s="20" t="s">
        <v>12</v>
      </c>
      <c r="T172" s="20" t="s">
        <v>826</v>
      </c>
      <c r="U172" s="20" t="s">
        <v>12</v>
      </c>
      <c r="V172" s="20" t="s">
        <v>827</v>
      </c>
      <c r="W172" s="20" t="s">
        <v>827</v>
      </c>
    </row>
    <row r="173" spans="1:23" ht="10.5" customHeight="1" x14ac:dyDescent="0.25">
      <c r="A173" s="19">
        <v>46031</v>
      </c>
      <c r="B173" s="20" t="str">
        <f t="shared" si="6"/>
        <v>09/01/2026NL300098</v>
      </c>
      <c r="C173" s="21" t="s">
        <v>852</v>
      </c>
      <c r="D173" s="21" t="s">
        <v>819</v>
      </c>
      <c r="E173" s="20" t="s">
        <v>820</v>
      </c>
      <c r="F173" s="20" t="s">
        <v>821</v>
      </c>
      <c r="G173" s="20" t="s">
        <v>853</v>
      </c>
      <c r="H173" s="20" t="s">
        <v>590</v>
      </c>
      <c r="I173" s="20" t="s">
        <v>591</v>
      </c>
      <c r="J173" s="20" t="s">
        <v>190</v>
      </c>
      <c r="K173" s="22">
        <v>2.1</v>
      </c>
      <c r="L173" s="23">
        <v>95000</v>
      </c>
      <c r="M173" s="23">
        <v>0</v>
      </c>
      <c r="N173" s="24">
        <f t="shared" si="7"/>
        <v>199500</v>
      </c>
      <c r="O173" s="24">
        <v>0</v>
      </c>
      <c r="P173" s="23">
        <v>95000</v>
      </c>
      <c r="Q173" s="20" t="s">
        <v>824</v>
      </c>
      <c r="R173" s="20" t="s">
        <v>825</v>
      </c>
      <c r="S173" s="20" t="s">
        <v>12</v>
      </c>
      <c r="T173" s="20" t="s">
        <v>826</v>
      </c>
      <c r="U173" s="20" t="s">
        <v>12</v>
      </c>
      <c r="V173" s="20" t="s">
        <v>827</v>
      </c>
      <c r="W173" s="20" t="s">
        <v>827</v>
      </c>
    </row>
    <row r="174" spans="1:23" ht="10.5" customHeight="1" x14ac:dyDescent="0.25">
      <c r="A174" s="19">
        <v>46031</v>
      </c>
      <c r="B174" s="20" t="str">
        <f t="shared" si="6"/>
        <v>09/01/2026NL300113</v>
      </c>
      <c r="C174" s="21" t="s">
        <v>852</v>
      </c>
      <c r="D174" s="21" t="s">
        <v>819</v>
      </c>
      <c r="E174" s="20" t="s">
        <v>820</v>
      </c>
      <c r="F174" s="20" t="s">
        <v>821</v>
      </c>
      <c r="G174" s="20" t="s">
        <v>853</v>
      </c>
      <c r="H174" s="20" t="s">
        <v>627</v>
      </c>
      <c r="I174" s="20" t="s">
        <v>30</v>
      </c>
      <c r="J174" s="20" t="s">
        <v>190</v>
      </c>
      <c r="K174" s="22">
        <v>1.2</v>
      </c>
      <c r="L174" s="23">
        <v>145000</v>
      </c>
      <c r="M174" s="23">
        <v>0</v>
      </c>
      <c r="N174" s="24">
        <f t="shared" si="7"/>
        <v>174000</v>
      </c>
      <c r="O174" s="24">
        <v>0</v>
      </c>
      <c r="P174" s="23">
        <v>145000</v>
      </c>
      <c r="Q174" s="20" t="s">
        <v>824</v>
      </c>
      <c r="R174" s="20" t="s">
        <v>825</v>
      </c>
      <c r="S174" s="20" t="s">
        <v>12</v>
      </c>
      <c r="T174" s="20" t="s">
        <v>826</v>
      </c>
      <c r="U174" s="20" t="s">
        <v>12</v>
      </c>
      <c r="V174" s="20" t="s">
        <v>827</v>
      </c>
      <c r="W174" s="20" t="s">
        <v>827</v>
      </c>
    </row>
    <row r="175" spans="1:23" ht="10.5" customHeight="1" x14ac:dyDescent="0.25">
      <c r="A175" s="19">
        <v>46031</v>
      </c>
      <c r="B175" s="20" t="str">
        <f t="shared" si="6"/>
        <v>09/01/2026NL300126</v>
      </c>
      <c r="C175" s="21" t="s">
        <v>852</v>
      </c>
      <c r="D175" s="21" t="s">
        <v>819</v>
      </c>
      <c r="E175" s="20" t="s">
        <v>820</v>
      </c>
      <c r="F175" s="20" t="s">
        <v>821</v>
      </c>
      <c r="G175" s="20" t="s">
        <v>853</v>
      </c>
      <c r="H175" s="20" t="s">
        <v>704</v>
      </c>
      <c r="I175" s="20" t="s">
        <v>705</v>
      </c>
      <c r="J175" s="20" t="s">
        <v>190</v>
      </c>
      <c r="K175" s="22">
        <v>0.2</v>
      </c>
      <c r="L175" s="23">
        <v>70000</v>
      </c>
      <c r="M175" s="23">
        <v>0</v>
      </c>
      <c r="N175" s="24">
        <f t="shared" si="7"/>
        <v>14000</v>
      </c>
      <c r="O175" s="24">
        <v>0</v>
      </c>
      <c r="P175" s="23">
        <v>70000</v>
      </c>
      <c r="Q175" s="20" t="s">
        <v>824</v>
      </c>
      <c r="R175" s="20" t="s">
        <v>825</v>
      </c>
      <c r="S175" s="20" t="s">
        <v>12</v>
      </c>
      <c r="T175" s="20" t="s">
        <v>826</v>
      </c>
      <c r="U175" s="20" t="s">
        <v>12</v>
      </c>
      <c r="V175" s="20" t="s">
        <v>827</v>
      </c>
      <c r="W175" s="20" t="s">
        <v>827</v>
      </c>
    </row>
    <row r="176" spans="1:23" ht="10.5" customHeight="1" x14ac:dyDescent="0.25">
      <c r="A176" s="19">
        <v>46031</v>
      </c>
      <c r="B176" s="20" t="str">
        <f t="shared" si="6"/>
        <v>09/01/2026NL300142</v>
      </c>
      <c r="C176" s="21" t="s">
        <v>852</v>
      </c>
      <c r="D176" s="21" t="s">
        <v>819</v>
      </c>
      <c r="E176" s="20" t="s">
        <v>820</v>
      </c>
      <c r="F176" s="20" t="s">
        <v>821</v>
      </c>
      <c r="G176" s="20" t="s">
        <v>853</v>
      </c>
      <c r="H176" s="20" t="s">
        <v>766</v>
      </c>
      <c r="I176" s="20" t="s">
        <v>829</v>
      </c>
      <c r="J176" s="20" t="s">
        <v>190</v>
      </c>
      <c r="K176" s="22">
        <v>1.1000000000000001</v>
      </c>
      <c r="L176" s="23">
        <v>50000</v>
      </c>
      <c r="M176" s="23">
        <v>0</v>
      </c>
      <c r="N176" s="24">
        <f t="shared" si="7"/>
        <v>55000.000000000007</v>
      </c>
      <c r="O176" s="24">
        <v>0</v>
      </c>
      <c r="P176" s="23">
        <v>50000</v>
      </c>
      <c r="Q176" s="20" t="s">
        <v>824</v>
      </c>
      <c r="R176" s="20" t="s">
        <v>825</v>
      </c>
      <c r="S176" s="20" t="s">
        <v>12</v>
      </c>
      <c r="T176" s="20" t="s">
        <v>826</v>
      </c>
      <c r="U176" s="20" t="s">
        <v>12</v>
      </c>
      <c r="V176" s="20" t="s">
        <v>827</v>
      </c>
      <c r="W176" s="20" t="s">
        <v>827</v>
      </c>
    </row>
    <row r="177" spans="1:23" ht="10.5" customHeight="1" x14ac:dyDescent="0.25">
      <c r="A177" s="19">
        <v>46031</v>
      </c>
      <c r="B177" s="20" t="str">
        <f t="shared" si="6"/>
        <v>09/01/2026NL300147</v>
      </c>
      <c r="C177" s="21" t="s">
        <v>852</v>
      </c>
      <c r="D177" s="21" t="s">
        <v>819</v>
      </c>
      <c r="E177" s="20" t="s">
        <v>820</v>
      </c>
      <c r="F177" s="20" t="s">
        <v>821</v>
      </c>
      <c r="G177" s="20" t="s">
        <v>853</v>
      </c>
      <c r="H177" s="20" t="s">
        <v>790</v>
      </c>
      <c r="I177" s="20" t="s">
        <v>791</v>
      </c>
      <c r="J177" s="20" t="s">
        <v>190</v>
      </c>
      <c r="K177" s="22">
        <v>4</v>
      </c>
      <c r="L177" s="23">
        <v>62000</v>
      </c>
      <c r="M177" s="23">
        <v>0</v>
      </c>
      <c r="N177" s="24">
        <f t="shared" si="7"/>
        <v>248000</v>
      </c>
      <c r="O177" s="24">
        <v>0</v>
      </c>
      <c r="P177" s="23">
        <v>62000</v>
      </c>
      <c r="Q177" s="20" t="s">
        <v>824</v>
      </c>
      <c r="R177" s="20" t="s">
        <v>825</v>
      </c>
      <c r="S177" s="20" t="s">
        <v>12</v>
      </c>
      <c r="T177" s="20" t="s">
        <v>826</v>
      </c>
      <c r="U177" s="20" t="s">
        <v>12</v>
      </c>
      <c r="V177" s="20" t="s">
        <v>827</v>
      </c>
      <c r="W177" s="20" t="s">
        <v>827</v>
      </c>
    </row>
    <row r="178" spans="1:23" ht="10.5" customHeight="1" x14ac:dyDescent="0.25">
      <c r="A178" s="19">
        <v>46031</v>
      </c>
      <c r="B178" s="20" t="str">
        <f t="shared" si="6"/>
        <v>09/01/2026NL300209</v>
      </c>
      <c r="C178" s="21" t="s">
        <v>852</v>
      </c>
      <c r="D178" s="21" t="s">
        <v>819</v>
      </c>
      <c r="E178" s="20" t="s">
        <v>820</v>
      </c>
      <c r="F178" s="20" t="s">
        <v>821</v>
      </c>
      <c r="G178" s="20" t="s">
        <v>853</v>
      </c>
      <c r="H178" s="20" t="s">
        <v>797</v>
      </c>
      <c r="I178" s="20" t="s">
        <v>798</v>
      </c>
      <c r="J178" s="20" t="s">
        <v>190</v>
      </c>
      <c r="K178" s="22">
        <v>1.4</v>
      </c>
      <c r="L178" s="23">
        <v>30000</v>
      </c>
      <c r="M178" s="23">
        <v>0</v>
      </c>
      <c r="N178" s="24">
        <f t="shared" si="7"/>
        <v>42000</v>
      </c>
      <c r="O178" s="24">
        <v>0</v>
      </c>
      <c r="P178" s="23">
        <v>30000</v>
      </c>
      <c r="Q178" s="20" t="s">
        <v>824</v>
      </c>
      <c r="R178" s="20" t="s">
        <v>825</v>
      </c>
      <c r="S178" s="20" t="s">
        <v>12</v>
      </c>
      <c r="T178" s="20" t="s">
        <v>826</v>
      </c>
      <c r="U178" s="20" t="s">
        <v>12</v>
      </c>
      <c r="V178" s="20" t="s">
        <v>827</v>
      </c>
      <c r="W178" s="20" t="s">
        <v>827</v>
      </c>
    </row>
    <row r="179" spans="1:23" ht="10.5" customHeight="1" x14ac:dyDescent="0.25">
      <c r="A179" s="19">
        <v>46031</v>
      </c>
      <c r="B179" s="20" t="str">
        <f t="shared" si="6"/>
        <v>09/01/2026NL300096</v>
      </c>
      <c r="C179" s="21" t="s">
        <v>854</v>
      </c>
      <c r="D179" s="21" t="s">
        <v>819</v>
      </c>
      <c r="E179" s="20" t="s">
        <v>820</v>
      </c>
      <c r="F179" s="20" t="s">
        <v>821</v>
      </c>
      <c r="G179" s="20" t="s">
        <v>853</v>
      </c>
      <c r="H179" s="20" t="s">
        <v>586</v>
      </c>
      <c r="I179" s="20" t="s">
        <v>43</v>
      </c>
      <c r="J179" s="20" t="s">
        <v>190</v>
      </c>
      <c r="K179" s="22">
        <v>3</v>
      </c>
      <c r="L179" s="23">
        <v>45000</v>
      </c>
      <c r="M179" s="23">
        <v>0</v>
      </c>
      <c r="N179" s="24">
        <f t="shared" si="7"/>
        <v>135000</v>
      </c>
      <c r="O179" s="24">
        <v>0</v>
      </c>
      <c r="P179" s="23">
        <v>45000</v>
      </c>
      <c r="Q179" s="20" t="s">
        <v>824</v>
      </c>
      <c r="R179" s="20" t="s">
        <v>825</v>
      </c>
      <c r="S179" s="20" t="s">
        <v>12</v>
      </c>
      <c r="T179" s="20" t="s">
        <v>826</v>
      </c>
      <c r="U179" s="20" t="s">
        <v>12</v>
      </c>
      <c r="V179" s="20" t="s">
        <v>827</v>
      </c>
      <c r="W179" s="20" t="s">
        <v>827</v>
      </c>
    </row>
    <row r="180" spans="1:23" ht="10.5" customHeight="1" x14ac:dyDescent="0.25">
      <c r="A180" s="19">
        <v>46031</v>
      </c>
      <c r="B180" s="20" t="str">
        <f t="shared" si="6"/>
        <v>09/01/2026NL300119</v>
      </c>
      <c r="C180" s="21" t="s">
        <v>854</v>
      </c>
      <c r="D180" s="21" t="s">
        <v>819</v>
      </c>
      <c r="E180" s="20" t="s">
        <v>820</v>
      </c>
      <c r="F180" s="20" t="s">
        <v>821</v>
      </c>
      <c r="G180" s="20" t="s">
        <v>853</v>
      </c>
      <c r="H180" s="20" t="s">
        <v>652</v>
      </c>
      <c r="I180" s="20" t="s">
        <v>653</v>
      </c>
      <c r="J180" s="20" t="s">
        <v>190</v>
      </c>
      <c r="K180" s="22">
        <v>2</v>
      </c>
      <c r="L180" s="23">
        <v>21000</v>
      </c>
      <c r="M180" s="23">
        <v>0</v>
      </c>
      <c r="N180" s="24">
        <f t="shared" si="7"/>
        <v>42000</v>
      </c>
      <c r="O180" s="24">
        <v>0</v>
      </c>
      <c r="P180" s="23">
        <v>21000</v>
      </c>
      <c r="Q180" s="20" t="s">
        <v>824</v>
      </c>
      <c r="R180" s="20" t="s">
        <v>825</v>
      </c>
      <c r="S180" s="20" t="s">
        <v>12</v>
      </c>
      <c r="T180" s="20" t="s">
        <v>826</v>
      </c>
      <c r="U180" s="20" t="s">
        <v>12</v>
      </c>
      <c r="V180" s="20" t="s">
        <v>827</v>
      </c>
      <c r="W180" s="20" t="s">
        <v>827</v>
      </c>
    </row>
    <row r="181" spans="1:23" ht="10.5" customHeight="1" x14ac:dyDescent="0.25">
      <c r="A181" s="19">
        <v>46032</v>
      </c>
      <c r="B181" s="20" t="str">
        <f>""&amp;DAY(A181)&amp;"/01/2026"&amp;H181</f>
        <v>10/01/2026NL300119</v>
      </c>
      <c r="C181" s="21" t="s">
        <v>855</v>
      </c>
      <c r="D181" s="21" t="s">
        <v>819</v>
      </c>
      <c r="E181" s="20" t="s">
        <v>820</v>
      </c>
      <c r="F181" s="20" t="s">
        <v>821</v>
      </c>
      <c r="G181" s="20" t="s">
        <v>856</v>
      </c>
      <c r="H181" s="20" t="s">
        <v>652</v>
      </c>
      <c r="I181" s="20" t="s">
        <v>653</v>
      </c>
      <c r="J181" s="20" t="s">
        <v>190</v>
      </c>
      <c r="K181" s="22">
        <v>5.3</v>
      </c>
      <c r="L181" s="23">
        <v>21000</v>
      </c>
      <c r="M181" s="23">
        <v>0</v>
      </c>
      <c r="N181" s="24">
        <f t="shared" si="7"/>
        <v>111300</v>
      </c>
      <c r="O181" s="24">
        <v>0</v>
      </c>
      <c r="P181" s="23">
        <v>21000</v>
      </c>
      <c r="Q181" s="20" t="s">
        <v>824</v>
      </c>
      <c r="R181" s="20" t="s">
        <v>825</v>
      </c>
      <c r="S181" s="20" t="s">
        <v>12</v>
      </c>
      <c r="T181" s="20" t="s">
        <v>826</v>
      </c>
      <c r="U181" s="20" t="s">
        <v>12</v>
      </c>
      <c r="V181" s="20" t="s">
        <v>827</v>
      </c>
      <c r="W181" s="20" t="s">
        <v>827</v>
      </c>
    </row>
    <row r="182" spans="1:23" ht="10.5" customHeight="1" x14ac:dyDescent="0.25">
      <c r="A182" s="19">
        <v>46032</v>
      </c>
      <c r="B182" s="20" t="str">
        <f t="shared" ref="B182:B244" si="8">""&amp;DAY(A182)&amp;"/01/2026"&amp;H182</f>
        <v>10/01/2026NL600004</v>
      </c>
      <c r="C182" s="21" t="s">
        <v>855</v>
      </c>
      <c r="D182" s="21" t="s">
        <v>819</v>
      </c>
      <c r="E182" s="20" t="s">
        <v>820</v>
      </c>
      <c r="F182" s="20" t="s">
        <v>821</v>
      </c>
      <c r="G182" s="20" t="s">
        <v>856</v>
      </c>
      <c r="H182" s="20" t="s">
        <v>427</v>
      </c>
      <c r="I182" s="20" t="s">
        <v>51</v>
      </c>
      <c r="J182" s="20" t="s">
        <v>190</v>
      </c>
      <c r="K182" s="22">
        <v>19.5</v>
      </c>
      <c r="L182" s="23">
        <v>18000</v>
      </c>
      <c r="M182" s="23">
        <v>0</v>
      </c>
      <c r="N182" s="24">
        <f t="shared" si="7"/>
        <v>351000</v>
      </c>
      <c r="O182" s="24">
        <v>0</v>
      </c>
      <c r="P182" s="23">
        <v>18000</v>
      </c>
      <c r="Q182" s="20" t="s">
        <v>824</v>
      </c>
      <c r="R182" s="20" t="s">
        <v>825</v>
      </c>
      <c r="S182" s="20" t="s">
        <v>12</v>
      </c>
      <c r="T182" s="20" t="s">
        <v>826</v>
      </c>
      <c r="U182" s="20" t="s">
        <v>12</v>
      </c>
      <c r="V182" s="20" t="s">
        <v>827</v>
      </c>
      <c r="W182" s="20" t="s">
        <v>827</v>
      </c>
    </row>
    <row r="183" spans="1:23" ht="10.5" customHeight="1" x14ac:dyDescent="0.25">
      <c r="A183" s="19">
        <v>46032</v>
      </c>
      <c r="B183" s="20" t="str">
        <f t="shared" si="8"/>
        <v>10/01/2026NL600067</v>
      </c>
      <c r="C183" s="21" t="s">
        <v>855</v>
      </c>
      <c r="D183" s="21" t="s">
        <v>819</v>
      </c>
      <c r="E183" s="20" t="s">
        <v>820</v>
      </c>
      <c r="F183" s="20" t="s">
        <v>821</v>
      </c>
      <c r="G183" s="20" t="s">
        <v>856</v>
      </c>
      <c r="H183" s="20" t="s">
        <v>312</v>
      </c>
      <c r="I183" s="20" t="s">
        <v>55</v>
      </c>
      <c r="J183" s="20" t="s">
        <v>190</v>
      </c>
      <c r="K183" s="22">
        <v>0.8</v>
      </c>
      <c r="L183" s="23">
        <v>75000</v>
      </c>
      <c r="M183" s="23">
        <v>0</v>
      </c>
      <c r="N183" s="24">
        <f t="shared" si="7"/>
        <v>60000</v>
      </c>
      <c r="O183" s="24">
        <v>0</v>
      </c>
      <c r="P183" s="23">
        <v>75000</v>
      </c>
      <c r="Q183" s="20" t="s">
        <v>824</v>
      </c>
      <c r="R183" s="20" t="s">
        <v>825</v>
      </c>
      <c r="S183" s="20" t="s">
        <v>12</v>
      </c>
      <c r="T183" s="20" t="s">
        <v>826</v>
      </c>
      <c r="U183" s="20" t="s">
        <v>12</v>
      </c>
      <c r="V183" s="20" t="s">
        <v>827</v>
      </c>
      <c r="W183" s="20" t="s">
        <v>827</v>
      </c>
    </row>
    <row r="184" spans="1:23" ht="10.5" customHeight="1" x14ac:dyDescent="0.25">
      <c r="A184" s="19">
        <v>46032</v>
      </c>
      <c r="B184" s="20" t="str">
        <f t="shared" si="8"/>
        <v>10/01/2026NL300007</v>
      </c>
      <c r="C184" s="21" t="s">
        <v>855</v>
      </c>
      <c r="D184" s="21" t="s">
        <v>819</v>
      </c>
      <c r="E184" s="20" t="s">
        <v>820</v>
      </c>
      <c r="F184" s="20" t="s">
        <v>821</v>
      </c>
      <c r="G184" s="20" t="s">
        <v>856</v>
      </c>
      <c r="H184" s="20" t="s">
        <v>208</v>
      </c>
      <c r="I184" s="20" t="s">
        <v>209</v>
      </c>
      <c r="J184" s="20" t="s">
        <v>190</v>
      </c>
      <c r="K184" s="22">
        <v>1.5</v>
      </c>
      <c r="L184" s="23">
        <v>30000</v>
      </c>
      <c r="M184" s="23">
        <v>0</v>
      </c>
      <c r="N184" s="24">
        <f t="shared" si="7"/>
        <v>45000</v>
      </c>
      <c r="O184" s="24">
        <v>0</v>
      </c>
      <c r="P184" s="23">
        <v>30000</v>
      </c>
      <c r="Q184" s="20" t="s">
        <v>824</v>
      </c>
      <c r="R184" s="20" t="s">
        <v>825</v>
      </c>
      <c r="S184" s="20" t="s">
        <v>12</v>
      </c>
      <c r="T184" s="20" t="s">
        <v>826</v>
      </c>
      <c r="U184" s="20" t="s">
        <v>12</v>
      </c>
      <c r="V184" s="20" t="s">
        <v>827</v>
      </c>
      <c r="W184" s="20" t="s">
        <v>827</v>
      </c>
    </row>
    <row r="185" spans="1:23" ht="10.5" customHeight="1" x14ac:dyDescent="0.25">
      <c r="A185" s="19">
        <v>46032</v>
      </c>
      <c r="B185" s="20" t="str">
        <f t="shared" si="8"/>
        <v>10/01/2026NL300013</v>
      </c>
      <c r="C185" s="21" t="s">
        <v>855</v>
      </c>
      <c r="D185" s="21" t="s">
        <v>819</v>
      </c>
      <c r="E185" s="20" t="s">
        <v>820</v>
      </c>
      <c r="F185" s="20" t="s">
        <v>821</v>
      </c>
      <c r="G185" s="20" t="s">
        <v>856</v>
      </c>
      <c r="H185" s="20" t="s">
        <v>236</v>
      </c>
      <c r="I185" s="20" t="s">
        <v>65</v>
      </c>
      <c r="J185" s="20" t="s">
        <v>190</v>
      </c>
      <c r="K185" s="22">
        <v>1</v>
      </c>
      <c r="L185" s="23">
        <v>50000</v>
      </c>
      <c r="M185" s="23">
        <v>0</v>
      </c>
      <c r="N185" s="24">
        <f t="shared" si="7"/>
        <v>50000</v>
      </c>
      <c r="O185" s="24">
        <v>0</v>
      </c>
      <c r="P185" s="23">
        <v>50000</v>
      </c>
      <c r="Q185" s="20" t="s">
        <v>824</v>
      </c>
      <c r="R185" s="20" t="s">
        <v>825</v>
      </c>
      <c r="S185" s="20" t="s">
        <v>12</v>
      </c>
      <c r="T185" s="20" t="s">
        <v>826</v>
      </c>
      <c r="U185" s="20" t="s">
        <v>12</v>
      </c>
      <c r="V185" s="20" t="s">
        <v>827</v>
      </c>
      <c r="W185" s="20" t="s">
        <v>827</v>
      </c>
    </row>
    <row r="186" spans="1:23" ht="10.5" customHeight="1" x14ac:dyDescent="0.25">
      <c r="A186" s="19">
        <v>46032</v>
      </c>
      <c r="B186" s="20" t="str">
        <f t="shared" si="8"/>
        <v>10/01/2026NL300018</v>
      </c>
      <c r="C186" s="21" t="s">
        <v>855</v>
      </c>
      <c r="D186" s="21" t="s">
        <v>819</v>
      </c>
      <c r="E186" s="20" t="s">
        <v>820</v>
      </c>
      <c r="F186" s="20" t="s">
        <v>821</v>
      </c>
      <c r="G186" s="20" t="s">
        <v>856</v>
      </c>
      <c r="H186" s="20" t="s">
        <v>294</v>
      </c>
      <c r="I186" s="20" t="s">
        <v>830</v>
      </c>
      <c r="J186" s="20" t="s">
        <v>190</v>
      </c>
      <c r="K186" s="22">
        <v>1.4</v>
      </c>
      <c r="L186" s="23">
        <v>38000</v>
      </c>
      <c r="M186" s="23">
        <v>0</v>
      </c>
      <c r="N186" s="24">
        <f t="shared" si="7"/>
        <v>53200</v>
      </c>
      <c r="O186" s="24">
        <v>0</v>
      </c>
      <c r="P186" s="23">
        <v>38000</v>
      </c>
      <c r="Q186" s="20" t="s">
        <v>824</v>
      </c>
      <c r="R186" s="20" t="s">
        <v>825</v>
      </c>
      <c r="S186" s="20" t="s">
        <v>12</v>
      </c>
      <c r="T186" s="20" t="s">
        <v>826</v>
      </c>
      <c r="U186" s="20" t="s">
        <v>12</v>
      </c>
      <c r="V186" s="20" t="s">
        <v>827</v>
      </c>
      <c r="W186" s="20" t="s">
        <v>827</v>
      </c>
    </row>
    <row r="187" spans="1:23" ht="10.5" customHeight="1" x14ac:dyDescent="0.25">
      <c r="A187" s="19">
        <v>46032</v>
      </c>
      <c r="B187" s="20" t="str">
        <f t="shared" si="8"/>
        <v>10/01/2026NL300022</v>
      </c>
      <c r="C187" s="21" t="s">
        <v>855</v>
      </c>
      <c r="D187" s="21" t="s">
        <v>819</v>
      </c>
      <c r="E187" s="20" t="s">
        <v>820</v>
      </c>
      <c r="F187" s="20" t="s">
        <v>821</v>
      </c>
      <c r="G187" s="20" t="s">
        <v>856</v>
      </c>
      <c r="H187" s="20" t="s">
        <v>305</v>
      </c>
      <c r="I187" s="20" t="s">
        <v>67</v>
      </c>
      <c r="J187" s="20" t="s">
        <v>190</v>
      </c>
      <c r="K187" s="22">
        <v>10</v>
      </c>
      <c r="L187" s="23">
        <v>18000</v>
      </c>
      <c r="M187" s="23">
        <v>0</v>
      </c>
      <c r="N187" s="24">
        <f t="shared" si="7"/>
        <v>180000</v>
      </c>
      <c r="O187" s="24">
        <v>0</v>
      </c>
      <c r="P187" s="23">
        <v>18000</v>
      </c>
      <c r="Q187" s="20" t="s">
        <v>824</v>
      </c>
      <c r="R187" s="20" t="s">
        <v>825</v>
      </c>
      <c r="S187" s="20" t="s">
        <v>12</v>
      </c>
      <c r="T187" s="20" t="s">
        <v>826</v>
      </c>
      <c r="U187" s="20" t="s">
        <v>12</v>
      </c>
      <c r="V187" s="20" t="s">
        <v>827</v>
      </c>
      <c r="W187" s="20" t="s">
        <v>827</v>
      </c>
    </row>
    <row r="188" spans="1:23" ht="10.5" customHeight="1" x14ac:dyDescent="0.25">
      <c r="A188" s="19">
        <v>46032</v>
      </c>
      <c r="B188" s="20" t="str">
        <f t="shared" si="8"/>
        <v>10/01/2026NL300033</v>
      </c>
      <c r="C188" s="21" t="s">
        <v>855</v>
      </c>
      <c r="D188" s="21" t="s">
        <v>819</v>
      </c>
      <c r="E188" s="20" t="s">
        <v>820</v>
      </c>
      <c r="F188" s="20" t="s">
        <v>821</v>
      </c>
      <c r="G188" s="20" t="s">
        <v>856</v>
      </c>
      <c r="H188" s="20" t="s">
        <v>335</v>
      </c>
      <c r="I188" s="20" t="s">
        <v>823</v>
      </c>
      <c r="J188" s="20" t="s">
        <v>190</v>
      </c>
      <c r="K188" s="22">
        <v>1</v>
      </c>
      <c r="L188" s="23">
        <v>13000</v>
      </c>
      <c r="M188" s="23">
        <v>0</v>
      </c>
      <c r="N188" s="24">
        <f t="shared" si="7"/>
        <v>13000</v>
      </c>
      <c r="O188" s="24">
        <v>0</v>
      </c>
      <c r="P188" s="23">
        <v>13000</v>
      </c>
      <c r="Q188" s="20" t="s">
        <v>824</v>
      </c>
      <c r="R188" s="20" t="s">
        <v>825</v>
      </c>
      <c r="S188" s="20" t="s">
        <v>12</v>
      </c>
      <c r="T188" s="20" t="s">
        <v>826</v>
      </c>
      <c r="U188" s="20" t="s">
        <v>12</v>
      </c>
      <c r="V188" s="20" t="s">
        <v>827</v>
      </c>
      <c r="W188" s="20" t="s">
        <v>827</v>
      </c>
    </row>
    <row r="189" spans="1:23" ht="10.5" customHeight="1" x14ac:dyDescent="0.25">
      <c r="A189" s="19">
        <v>46032</v>
      </c>
      <c r="B189" s="20" t="str">
        <f t="shared" si="8"/>
        <v>10/01/2026NL300036</v>
      </c>
      <c r="C189" s="21" t="s">
        <v>855</v>
      </c>
      <c r="D189" s="21" t="s">
        <v>819</v>
      </c>
      <c r="E189" s="20" t="s">
        <v>820</v>
      </c>
      <c r="F189" s="20" t="s">
        <v>821</v>
      </c>
      <c r="G189" s="20" t="s">
        <v>856</v>
      </c>
      <c r="H189" s="20" t="s">
        <v>357</v>
      </c>
      <c r="I189" s="20" t="s">
        <v>17</v>
      </c>
      <c r="J189" s="20" t="s">
        <v>190</v>
      </c>
      <c r="K189" s="22">
        <v>0.7</v>
      </c>
      <c r="L189" s="23">
        <v>47000</v>
      </c>
      <c r="M189" s="23">
        <v>0</v>
      </c>
      <c r="N189" s="24">
        <f t="shared" si="7"/>
        <v>32900</v>
      </c>
      <c r="O189" s="24">
        <v>0</v>
      </c>
      <c r="P189" s="23">
        <v>47000</v>
      </c>
      <c r="Q189" s="20" t="s">
        <v>824</v>
      </c>
      <c r="R189" s="20" t="s">
        <v>825</v>
      </c>
      <c r="S189" s="20" t="s">
        <v>12</v>
      </c>
      <c r="T189" s="20" t="s">
        <v>826</v>
      </c>
      <c r="U189" s="20" t="s">
        <v>12</v>
      </c>
      <c r="V189" s="20" t="s">
        <v>827</v>
      </c>
      <c r="W189" s="20" t="s">
        <v>827</v>
      </c>
    </row>
    <row r="190" spans="1:23" ht="10.5" customHeight="1" x14ac:dyDescent="0.25">
      <c r="A190" s="19">
        <v>46032</v>
      </c>
      <c r="B190" s="20" t="str">
        <f t="shared" si="8"/>
        <v>10/01/2026NL300058</v>
      </c>
      <c r="C190" s="21" t="s">
        <v>855</v>
      </c>
      <c r="D190" s="21" t="s">
        <v>819</v>
      </c>
      <c r="E190" s="20" t="s">
        <v>820</v>
      </c>
      <c r="F190" s="20" t="s">
        <v>821</v>
      </c>
      <c r="G190" s="20" t="s">
        <v>856</v>
      </c>
      <c r="H190" s="20" t="s">
        <v>450</v>
      </c>
      <c r="I190" s="20" t="s">
        <v>19</v>
      </c>
      <c r="J190" s="20" t="s">
        <v>190</v>
      </c>
      <c r="K190" s="22">
        <v>1</v>
      </c>
      <c r="L190" s="23">
        <v>55000</v>
      </c>
      <c r="M190" s="23">
        <v>0</v>
      </c>
      <c r="N190" s="24">
        <f t="shared" si="7"/>
        <v>55000</v>
      </c>
      <c r="O190" s="24">
        <v>0</v>
      </c>
      <c r="P190" s="23">
        <v>55000</v>
      </c>
      <c r="Q190" s="20" t="s">
        <v>824</v>
      </c>
      <c r="R190" s="20" t="s">
        <v>825</v>
      </c>
      <c r="S190" s="20" t="s">
        <v>12</v>
      </c>
      <c r="T190" s="20" t="s">
        <v>826</v>
      </c>
      <c r="U190" s="20" t="s">
        <v>12</v>
      </c>
      <c r="V190" s="20" t="s">
        <v>827</v>
      </c>
      <c r="W190" s="20" t="s">
        <v>827</v>
      </c>
    </row>
    <row r="191" spans="1:23" ht="10.5" customHeight="1" x14ac:dyDescent="0.25">
      <c r="A191" s="19">
        <v>46032</v>
      </c>
      <c r="B191" s="20" t="str">
        <f t="shared" si="8"/>
        <v>10/01/2026NL300074</v>
      </c>
      <c r="C191" s="21" t="s">
        <v>855</v>
      </c>
      <c r="D191" s="21" t="s">
        <v>819</v>
      </c>
      <c r="E191" s="20" t="s">
        <v>820</v>
      </c>
      <c r="F191" s="20" t="s">
        <v>821</v>
      </c>
      <c r="G191" s="20" t="s">
        <v>856</v>
      </c>
      <c r="H191" s="20" t="s">
        <v>503</v>
      </c>
      <c r="I191" s="20" t="s">
        <v>73</v>
      </c>
      <c r="J191" s="20" t="s">
        <v>190</v>
      </c>
      <c r="K191" s="22">
        <v>0.6</v>
      </c>
      <c r="L191" s="23">
        <v>18000</v>
      </c>
      <c r="M191" s="23">
        <v>0</v>
      </c>
      <c r="N191" s="24">
        <f t="shared" si="7"/>
        <v>10800</v>
      </c>
      <c r="O191" s="24">
        <v>0</v>
      </c>
      <c r="P191" s="23">
        <v>18000</v>
      </c>
      <c r="Q191" s="20" t="s">
        <v>824</v>
      </c>
      <c r="R191" s="20" t="s">
        <v>825</v>
      </c>
      <c r="S191" s="20" t="s">
        <v>12</v>
      </c>
      <c r="T191" s="20" t="s">
        <v>826</v>
      </c>
      <c r="U191" s="20" t="s">
        <v>12</v>
      </c>
      <c r="V191" s="20" t="s">
        <v>827</v>
      </c>
      <c r="W191" s="20" t="s">
        <v>827</v>
      </c>
    </row>
    <row r="192" spans="1:23" ht="10.5" customHeight="1" x14ac:dyDescent="0.25">
      <c r="A192" s="19">
        <v>46032</v>
      </c>
      <c r="B192" s="20" t="str">
        <f t="shared" si="8"/>
        <v>10/01/2026NL300084</v>
      </c>
      <c r="C192" s="21" t="s">
        <v>855</v>
      </c>
      <c r="D192" s="21" t="s">
        <v>819</v>
      </c>
      <c r="E192" s="20" t="s">
        <v>820</v>
      </c>
      <c r="F192" s="20" t="s">
        <v>821</v>
      </c>
      <c r="G192" s="20" t="s">
        <v>856</v>
      </c>
      <c r="H192" s="20" t="s">
        <v>562</v>
      </c>
      <c r="I192" s="20" t="s">
        <v>563</v>
      </c>
      <c r="J192" s="20" t="s">
        <v>190</v>
      </c>
      <c r="K192" s="22">
        <v>2</v>
      </c>
      <c r="L192" s="23">
        <v>22000</v>
      </c>
      <c r="M192" s="23">
        <v>0</v>
      </c>
      <c r="N192" s="24">
        <f t="shared" si="7"/>
        <v>44000</v>
      </c>
      <c r="O192" s="24">
        <v>0</v>
      </c>
      <c r="P192" s="23">
        <v>22000</v>
      </c>
      <c r="Q192" s="20" t="s">
        <v>824</v>
      </c>
      <c r="R192" s="20" t="s">
        <v>825</v>
      </c>
      <c r="S192" s="20" t="s">
        <v>12</v>
      </c>
      <c r="T192" s="20" t="s">
        <v>826</v>
      </c>
      <c r="U192" s="20" t="s">
        <v>12</v>
      </c>
      <c r="V192" s="20" t="s">
        <v>827</v>
      </c>
      <c r="W192" s="20" t="s">
        <v>827</v>
      </c>
    </row>
    <row r="193" spans="1:23" ht="10.5" customHeight="1" x14ac:dyDescent="0.25">
      <c r="A193" s="19">
        <v>46032</v>
      </c>
      <c r="B193" s="20" t="str">
        <f t="shared" si="8"/>
        <v>10/01/2026NL300085</v>
      </c>
      <c r="C193" s="21" t="s">
        <v>855</v>
      </c>
      <c r="D193" s="21" t="s">
        <v>819</v>
      </c>
      <c r="E193" s="20" t="s">
        <v>820</v>
      </c>
      <c r="F193" s="20" t="s">
        <v>821</v>
      </c>
      <c r="G193" s="20" t="s">
        <v>856</v>
      </c>
      <c r="H193" s="20" t="s">
        <v>564</v>
      </c>
      <c r="I193" s="20" t="s">
        <v>565</v>
      </c>
      <c r="J193" s="20" t="s">
        <v>190</v>
      </c>
      <c r="K193" s="22">
        <v>1</v>
      </c>
      <c r="L193" s="23">
        <v>45000</v>
      </c>
      <c r="M193" s="23">
        <v>0</v>
      </c>
      <c r="N193" s="24">
        <f t="shared" si="7"/>
        <v>45000</v>
      </c>
      <c r="O193" s="24">
        <v>0</v>
      </c>
      <c r="P193" s="23">
        <v>45000</v>
      </c>
      <c r="Q193" s="20" t="s">
        <v>824</v>
      </c>
      <c r="R193" s="20" t="s">
        <v>825</v>
      </c>
      <c r="S193" s="20" t="s">
        <v>12</v>
      </c>
      <c r="T193" s="20" t="s">
        <v>826</v>
      </c>
      <c r="U193" s="20" t="s">
        <v>12</v>
      </c>
      <c r="V193" s="20" t="s">
        <v>827</v>
      </c>
      <c r="W193" s="20" t="s">
        <v>827</v>
      </c>
    </row>
    <row r="194" spans="1:23" ht="10.5" customHeight="1" x14ac:dyDescent="0.25">
      <c r="A194" s="19">
        <v>46032</v>
      </c>
      <c r="B194" s="20" t="str">
        <f t="shared" si="8"/>
        <v>10/01/2026NL300091</v>
      </c>
      <c r="C194" s="21" t="s">
        <v>855</v>
      </c>
      <c r="D194" s="21" t="s">
        <v>819</v>
      </c>
      <c r="E194" s="20" t="s">
        <v>820</v>
      </c>
      <c r="F194" s="20" t="s">
        <v>821</v>
      </c>
      <c r="G194" s="20" t="s">
        <v>856</v>
      </c>
      <c r="H194" s="20" t="s">
        <v>580</v>
      </c>
      <c r="I194" s="20" t="s">
        <v>39</v>
      </c>
      <c r="J194" s="20" t="s">
        <v>190</v>
      </c>
      <c r="K194" s="22">
        <v>3</v>
      </c>
      <c r="L194" s="23">
        <v>47000</v>
      </c>
      <c r="M194" s="23">
        <v>0</v>
      </c>
      <c r="N194" s="24">
        <f t="shared" ref="N194:N256" si="9">L194*K194</f>
        <v>141000</v>
      </c>
      <c r="O194" s="24">
        <v>0</v>
      </c>
      <c r="P194" s="23">
        <v>47000</v>
      </c>
      <c r="Q194" s="20" t="s">
        <v>824</v>
      </c>
      <c r="R194" s="20" t="s">
        <v>825</v>
      </c>
      <c r="S194" s="20" t="s">
        <v>12</v>
      </c>
      <c r="T194" s="20" t="s">
        <v>826</v>
      </c>
      <c r="U194" s="20" t="s">
        <v>12</v>
      </c>
      <c r="V194" s="20" t="s">
        <v>827</v>
      </c>
      <c r="W194" s="20" t="s">
        <v>827</v>
      </c>
    </row>
    <row r="195" spans="1:23" ht="10.5" customHeight="1" x14ac:dyDescent="0.25">
      <c r="A195" s="19">
        <v>46032</v>
      </c>
      <c r="B195" s="20" t="str">
        <f t="shared" si="8"/>
        <v>10/01/2026NL300096</v>
      </c>
      <c r="C195" s="21" t="s">
        <v>855</v>
      </c>
      <c r="D195" s="21" t="s">
        <v>819</v>
      </c>
      <c r="E195" s="20" t="s">
        <v>820</v>
      </c>
      <c r="F195" s="20" t="s">
        <v>821</v>
      </c>
      <c r="G195" s="20" t="s">
        <v>856</v>
      </c>
      <c r="H195" s="20" t="s">
        <v>586</v>
      </c>
      <c r="I195" s="20" t="s">
        <v>43</v>
      </c>
      <c r="J195" s="20" t="s">
        <v>190</v>
      </c>
      <c r="K195" s="22">
        <v>3.8</v>
      </c>
      <c r="L195" s="23">
        <v>45000</v>
      </c>
      <c r="M195" s="23">
        <v>0</v>
      </c>
      <c r="N195" s="24">
        <f t="shared" si="9"/>
        <v>171000</v>
      </c>
      <c r="O195" s="24">
        <v>0</v>
      </c>
      <c r="P195" s="23">
        <v>45000</v>
      </c>
      <c r="Q195" s="20" t="s">
        <v>824</v>
      </c>
      <c r="R195" s="20" t="s">
        <v>825</v>
      </c>
      <c r="S195" s="20" t="s">
        <v>12</v>
      </c>
      <c r="T195" s="20" t="s">
        <v>826</v>
      </c>
      <c r="U195" s="20" t="s">
        <v>12</v>
      </c>
      <c r="V195" s="20" t="s">
        <v>827</v>
      </c>
      <c r="W195" s="20" t="s">
        <v>827</v>
      </c>
    </row>
    <row r="196" spans="1:23" ht="10.5" customHeight="1" x14ac:dyDescent="0.25">
      <c r="A196" s="19">
        <v>46032</v>
      </c>
      <c r="B196" s="20" t="str">
        <f t="shared" si="8"/>
        <v>10/01/2026NL300098</v>
      </c>
      <c r="C196" s="21" t="s">
        <v>855</v>
      </c>
      <c r="D196" s="21" t="s">
        <v>819</v>
      </c>
      <c r="E196" s="20" t="s">
        <v>820</v>
      </c>
      <c r="F196" s="20" t="s">
        <v>821</v>
      </c>
      <c r="G196" s="20" t="s">
        <v>856</v>
      </c>
      <c r="H196" s="20" t="s">
        <v>590</v>
      </c>
      <c r="I196" s="20" t="s">
        <v>591</v>
      </c>
      <c r="J196" s="20" t="s">
        <v>190</v>
      </c>
      <c r="K196" s="22">
        <v>2.2000000000000002</v>
      </c>
      <c r="L196" s="23">
        <v>95000</v>
      </c>
      <c r="M196" s="23">
        <v>0</v>
      </c>
      <c r="N196" s="24">
        <f t="shared" si="9"/>
        <v>209000.00000000003</v>
      </c>
      <c r="O196" s="24">
        <v>0</v>
      </c>
      <c r="P196" s="23">
        <v>95000</v>
      </c>
      <c r="Q196" s="20" t="s">
        <v>824</v>
      </c>
      <c r="R196" s="20" t="s">
        <v>825</v>
      </c>
      <c r="S196" s="20" t="s">
        <v>12</v>
      </c>
      <c r="T196" s="20" t="s">
        <v>826</v>
      </c>
      <c r="U196" s="20" t="s">
        <v>12</v>
      </c>
      <c r="V196" s="20" t="s">
        <v>827</v>
      </c>
      <c r="W196" s="20" t="s">
        <v>827</v>
      </c>
    </row>
    <row r="197" spans="1:23" ht="10.5" customHeight="1" x14ac:dyDescent="0.25">
      <c r="A197" s="19">
        <v>46032</v>
      </c>
      <c r="B197" s="20" t="str">
        <f t="shared" si="8"/>
        <v>10/01/2026NL300107</v>
      </c>
      <c r="C197" s="21" t="s">
        <v>855</v>
      </c>
      <c r="D197" s="21" t="s">
        <v>819</v>
      </c>
      <c r="E197" s="20" t="s">
        <v>820</v>
      </c>
      <c r="F197" s="20" t="s">
        <v>821</v>
      </c>
      <c r="G197" s="20" t="s">
        <v>856</v>
      </c>
      <c r="H197" s="20" t="s">
        <v>616</v>
      </c>
      <c r="I197" s="20" t="s">
        <v>828</v>
      </c>
      <c r="J197" s="20" t="s">
        <v>385</v>
      </c>
      <c r="K197" s="22">
        <v>3</v>
      </c>
      <c r="L197" s="23">
        <v>8500</v>
      </c>
      <c r="M197" s="23">
        <v>0</v>
      </c>
      <c r="N197" s="24">
        <f t="shared" si="9"/>
        <v>25500</v>
      </c>
      <c r="O197" s="24">
        <v>0</v>
      </c>
      <c r="P197" s="23">
        <v>8500</v>
      </c>
      <c r="Q197" s="20" t="s">
        <v>824</v>
      </c>
      <c r="R197" s="20" t="s">
        <v>825</v>
      </c>
      <c r="S197" s="20" t="s">
        <v>12</v>
      </c>
      <c r="T197" s="20" t="s">
        <v>826</v>
      </c>
      <c r="U197" s="20" t="s">
        <v>12</v>
      </c>
      <c r="V197" s="20" t="s">
        <v>827</v>
      </c>
      <c r="W197" s="20" t="s">
        <v>827</v>
      </c>
    </row>
    <row r="198" spans="1:23" ht="10.5" customHeight="1" x14ac:dyDescent="0.25">
      <c r="A198" s="19">
        <v>46032</v>
      </c>
      <c r="B198" s="20" t="str">
        <f t="shared" si="8"/>
        <v>10/01/2026NL300113</v>
      </c>
      <c r="C198" s="21" t="s">
        <v>855</v>
      </c>
      <c r="D198" s="21" t="s">
        <v>819</v>
      </c>
      <c r="E198" s="20" t="s">
        <v>820</v>
      </c>
      <c r="F198" s="20" t="s">
        <v>821</v>
      </c>
      <c r="G198" s="20" t="s">
        <v>856</v>
      </c>
      <c r="H198" s="20" t="s">
        <v>627</v>
      </c>
      <c r="I198" s="20" t="s">
        <v>30</v>
      </c>
      <c r="J198" s="20" t="s">
        <v>190</v>
      </c>
      <c r="K198" s="22">
        <v>1</v>
      </c>
      <c r="L198" s="23">
        <v>145000</v>
      </c>
      <c r="M198" s="23">
        <v>0</v>
      </c>
      <c r="N198" s="24">
        <f t="shared" si="9"/>
        <v>145000</v>
      </c>
      <c r="O198" s="24">
        <v>0</v>
      </c>
      <c r="P198" s="23">
        <v>145000</v>
      </c>
      <c r="Q198" s="20" t="s">
        <v>824</v>
      </c>
      <c r="R198" s="20" t="s">
        <v>825</v>
      </c>
      <c r="S198" s="20" t="s">
        <v>12</v>
      </c>
      <c r="T198" s="20" t="s">
        <v>826</v>
      </c>
      <c r="U198" s="20" t="s">
        <v>12</v>
      </c>
      <c r="V198" s="20" t="s">
        <v>827</v>
      </c>
      <c r="W198" s="20" t="s">
        <v>827</v>
      </c>
    </row>
    <row r="199" spans="1:23" ht="10.5" customHeight="1" x14ac:dyDescent="0.25">
      <c r="A199" s="19">
        <v>46032</v>
      </c>
      <c r="B199" s="20" t="str">
        <f t="shared" si="8"/>
        <v>10/01/2026NL300142</v>
      </c>
      <c r="C199" s="21" t="s">
        <v>855</v>
      </c>
      <c r="D199" s="21" t="s">
        <v>819</v>
      </c>
      <c r="E199" s="20" t="s">
        <v>820</v>
      </c>
      <c r="F199" s="20" t="s">
        <v>821</v>
      </c>
      <c r="G199" s="20" t="s">
        <v>856</v>
      </c>
      <c r="H199" s="20" t="s">
        <v>766</v>
      </c>
      <c r="I199" s="20" t="s">
        <v>829</v>
      </c>
      <c r="J199" s="20" t="s">
        <v>190</v>
      </c>
      <c r="K199" s="22">
        <v>1.5</v>
      </c>
      <c r="L199" s="23">
        <v>50000</v>
      </c>
      <c r="M199" s="23">
        <v>0</v>
      </c>
      <c r="N199" s="24">
        <f t="shared" si="9"/>
        <v>75000</v>
      </c>
      <c r="O199" s="24">
        <v>0</v>
      </c>
      <c r="P199" s="23">
        <v>50000</v>
      </c>
      <c r="Q199" s="20" t="s">
        <v>824</v>
      </c>
      <c r="R199" s="20" t="s">
        <v>825</v>
      </c>
      <c r="S199" s="20" t="s">
        <v>12</v>
      </c>
      <c r="T199" s="20" t="s">
        <v>826</v>
      </c>
      <c r="U199" s="20" t="s">
        <v>12</v>
      </c>
      <c r="V199" s="20" t="s">
        <v>827</v>
      </c>
      <c r="W199" s="20" t="s">
        <v>827</v>
      </c>
    </row>
    <row r="200" spans="1:23" ht="10.5" customHeight="1" x14ac:dyDescent="0.25">
      <c r="A200" s="19">
        <v>46032</v>
      </c>
      <c r="B200" s="20" t="str">
        <f t="shared" si="8"/>
        <v>10/01/2026NL300147</v>
      </c>
      <c r="C200" s="21" t="s">
        <v>855</v>
      </c>
      <c r="D200" s="21" t="s">
        <v>819</v>
      </c>
      <c r="E200" s="20" t="s">
        <v>820</v>
      </c>
      <c r="F200" s="20" t="s">
        <v>821</v>
      </c>
      <c r="G200" s="20" t="s">
        <v>856</v>
      </c>
      <c r="H200" s="20" t="s">
        <v>790</v>
      </c>
      <c r="I200" s="20" t="s">
        <v>791</v>
      </c>
      <c r="J200" s="20" t="s">
        <v>190</v>
      </c>
      <c r="K200" s="22">
        <v>5</v>
      </c>
      <c r="L200" s="23">
        <v>62000</v>
      </c>
      <c r="M200" s="23">
        <v>0</v>
      </c>
      <c r="N200" s="24">
        <f t="shared" si="9"/>
        <v>310000</v>
      </c>
      <c r="O200" s="24">
        <v>0</v>
      </c>
      <c r="P200" s="23">
        <v>62000</v>
      </c>
      <c r="Q200" s="20" t="s">
        <v>824</v>
      </c>
      <c r="R200" s="20" t="s">
        <v>825</v>
      </c>
      <c r="S200" s="20" t="s">
        <v>12</v>
      </c>
      <c r="T200" s="20" t="s">
        <v>826</v>
      </c>
      <c r="U200" s="20" t="s">
        <v>12</v>
      </c>
      <c r="V200" s="20" t="s">
        <v>827</v>
      </c>
      <c r="W200" s="20" t="s">
        <v>827</v>
      </c>
    </row>
    <row r="201" spans="1:23" ht="10.5" customHeight="1" x14ac:dyDescent="0.25">
      <c r="A201" s="19">
        <v>46032</v>
      </c>
      <c r="B201" s="20" t="str">
        <f t="shared" si="8"/>
        <v>10/01/2026NL300203</v>
      </c>
      <c r="C201" s="21" t="s">
        <v>855</v>
      </c>
      <c r="D201" s="21" t="s">
        <v>819</v>
      </c>
      <c r="E201" s="20" t="s">
        <v>820</v>
      </c>
      <c r="F201" s="20" t="s">
        <v>821</v>
      </c>
      <c r="G201" s="20" t="s">
        <v>856</v>
      </c>
      <c r="H201" s="20" t="s">
        <v>346</v>
      </c>
      <c r="I201" s="20" t="s">
        <v>347</v>
      </c>
      <c r="J201" s="20" t="s">
        <v>190</v>
      </c>
      <c r="K201" s="22">
        <v>1</v>
      </c>
      <c r="L201" s="23">
        <v>45000</v>
      </c>
      <c r="M201" s="23">
        <v>0</v>
      </c>
      <c r="N201" s="24">
        <f t="shared" si="9"/>
        <v>45000</v>
      </c>
      <c r="O201" s="24">
        <v>0</v>
      </c>
      <c r="P201" s="23">
        <v>45000</v>
      </c>
      <c r="Q201" s="20" t="s">
        <v>824</v>
      </c>
      <c r="R201" s="20" t="s">
        <v>825</v>
      </c>
      <c r="S201" s="20" t="s">
        <v>12</v>
      </c>
      <c r="T201" s="20" t="s">
        <v>826</v>
      </c>
      <c r="U201" s="20" t="s">
        <v>12</v>
      </c>
      <c r="V201" s="20" t="s">
        <v>827</v>
      </c>
      <c r="W201" s="20" t="s">
        <v>827</v>
      </c>
    </row>
    <row r="202" spans="1:23" ht="10.5" customHeight="1" x14ac:dyDescent="0.25">
      <c r="A202" s="19">
        <v>46032</v>
      </c>
      <c r="B202" s="20" t="str">
        <f t="shared" si="8"/>
        <v>10/01/2026NL300209</v>
      </c>
      <c r="C202" s="21" t="s">
        <v>855</v>
      </c>
      <c r="D202" s="21" t="s">
        <v>819</v>
      </c>
      <c r="E202" s="20" t="s">
        <v>820</v>
      </c>
      <c r="F202" s="20" t="s">
        <v>821</v>
      </c>
      <c r="G202" s="20" t="s">
        <v>856</v>
      </c>
      <c r="H202" s="20" t="s">
        <v>797</v>
      </c>
      <c r="I202" s="20" t="s">
        <v>798</v>
      </c>
      <c r="J202" s="20" t="s">
        <v>190</v>
      </c>
      <c r="K202" s="22">
        <v>0.8</v>
      </c>
      <c r="L202" s="23">
        <v>30000</v>
      </c>
      <c r="M202" s="23">
        <v>0</v>
      </c>
      <c r="N202" s="24">
        <f t="shared" si="9"/>
        <v>24000</v>
      </c>
      <c r="O202" s="24">
        <v>0</v>
      </c>
      <c r="P202" s="23">
        <v>30000</v>
      </c>
      <c r="Q202" s="20" t="s">
        <v>824</v>
      </c>
      <c r="R202" s="20" t="s">
        <v>825</v>
      </c>
      <c r="S202" s="20" t="s">
        <v>12</v>
      </c>
      <c r="T202" s="20" t="s">
        <v>826</v>
      </c>
      <c r="U202" s="20" t="s">
        <v>12</v>
      </c>
      <c r="V202" s="20" t="s">
        <v>827</v>
      </c>
      <c r="W202" s="20" t="s">
        <v>827</v>
      </c>
    </row>
    <row r="203" spans="1:23" ht="10.5" customHeight="1" x14ac:dyDescent="0.25">
      <c r="A203" s="19">
        <v>46032</v>
      </c>
      <c r="B203" s="20" t="str">
        <f t="shared" si="8"/>
        <v>10/01/2026NL300218</v>
      </c>
      <c r="C203" s="21" t="s">
        <v>855</v>
      </c>
      <c r="D203" s="21" t="s">
        <v>819</v>
      </c>
      <c r="E203" s="20" t="s">
        <v>820</v>
      </c>
      <c r="F203" s="20" t="s">
        <v>821</v>
      </c>
      <c r="G203" s="20" t="s">
        <v>856</v>
      </c>
      <c r="H203" s="20" t="s">
        <v>529</v>
      </c>
      <c r="I203" s="20" t="s">
        <v>847</v>
      </c>
      <c r="J203" s="20" t="s">
        <v>82</v>
      </c>
      <c r="K203" s="22">
        <v>0</v>
      </c>
      <c r="L203" s="23">
        <v>40000</v>
      </c>
      <c r="M203" s="23">
        <v>0</v>
      </c>
      <c r="N203" s="24">
        <f t="shared" si="9"/>
        <v>0</v>
      </c>
      <c r="O203" s="24">
        <v>0</v>
      </c>
      <c r="P203" s="23">
        <v>40000</v>
      </c>
      <c r="Q203" s="20" t="s">
        <v>824</v>
      </c>
      <c r="R203" s="20" t="s">
        <v>825</v>
      </c>
      <c r="S203" s="20" t="s">
        <v>12</v>
      </c>
      <c r="T203" s="20" t="s">
        <v>826</v>
      </c>
      <c r="U203" s="20" t="s">
        <v>12</v>
      </c>
      <c r="V203" s="20" t="s">
        <v>827</v>
      </c>
      <c r="W203" s="20" t="s">
        <v>827</v>
      </c>
    </row>
    <row r="204" spans="1:23" ht="10.5" customHeight="1" x14ac:dyDescent="0.25">
      <c r="A204" s="19">
        <v>46032</v>
      </c>
      <c r="B204" s="20" t="str">
        <f t="shared" si="8"/>
        <v>10/01/2026NL300030</v>
      </c>
      <c r="C204" s="21" t="s">
        <v>855</v>
      </c>
      <c r="D204" s="21" t="s">
        <v>819</v>
      </c>
      <c r="E204" s="20" t="s">
        <v>820</v>
      </c>
      <c r="F204" s="20" t="s">
        <v>821</v>
      </c>
      <c r="G204" s="20" t="s">
        <v>856</v>
      </c>
      <c r="H204" s="20" t="s">
        <v>326</v>
      </c>
      <c r="I204" s="20" t="s">
        <v>834</v>
      </c>
      <c r="J204" s="20" t="s">
        <v>190</v>
      </c>
      <c r="K204" s="22">
        <v>0.4</v>
      </c>
      <c r="L204" s="23">
        <v>34000</v>
      </c>
      <c r="M204" s="23">
        <v>0</v>
      </c>
      <c r="N204" s="24">
        <f t="shared" si="9"/>
        <v>13600</v>
      </c>
      <c r="O204" s="24">
        <v>0</v>
      </c>
      <c r="P204" s="23">
        <v>34000</v>
      </c>
      <c r="Q204" s="20" t="s">
        <v>824</v>
      </c>
      <c r="R204" s="20" t="s">
        <v>825</v>
      </c>
      <c r="S204" s="20" t="s">
        <v>12</v>
      </c>
      <c r="T204" s="20" t="s">
        <v>826</v>
      </c>
      <c r="U204" s="20" t="s">
        <v>12</v>
      </c>
      <c r="V204" s="20" t="s">
        <v>827</v>
      </c>
      <c r="W204" s="20" t="s">
        <v>827</v>
      </c>
    </row>
    <row r="205" spans="1:23" ht="10.5" customHeight="1" x14ac:dyDescent="0.25">
      <c r="A205" s="19">
        <v>46032</v>
      </c>
      <c r="B205" s="20" t="str">
        <f t="shared" si="8"/>
        <v>10/01/2026NL300062</v>
      </c>
      <c r="C205" s="21" t="s">
        <v>855</v>
      </c>
      <c r="D205" s="21" t="s">
        <v>819</v>
      </c>
      <c r="E205" s="20" t="s">
        <v>820</v>
      </c>
      <c r="F205" s="20" t="s">
        <v>821</v>
      </c>
      <c r="G205" s="20" t="s">
        <v>856</v>
      </c>
      <c r="H205" s="20" t="s">
        <v>468</v>
      </c>
      <c r="I205" s="20" t="s">
        <v>469</v>
      </c>
      <c r="J205" s="20" t="s">
        <v>190</v>
      </c>
      <c r="K205" s="22">
        <v>0.1</v>
      </c>
      <c r="L205" s="23">
        <v>65000</v>
      </c>
      <c r="M205" s="23">
        <v>0</v>
      </c>
      <c r="N205" s="24">
        <f t="shared" si="9"/>
        <v>6500</v>
      </c>
      <c r="O205" s="24">
        <v>0</v>
      </c>
      <c r="P205" s="23">
        <v>65000</v>
      </c>
      <c r="Q205" s="20" t="s">
        <v>824</v>
      </c>
      <c r="R205" s="20" t="s">
        <v>825</v>
      </c>
      <c r="S205" s="20" t="s">
        <v>12</v>
      </c>
      <c r="T205" s="20" t="s">
        <v>826</v>
      </c>
      <c r="U205" s="20" t="s">
        <v>12</v>
      </c>
      <c r="V205" s="20" t="s">
        <v>827</v>
      </c>
      <c r="W205" s="20" t="s">
        <v>827</v>
      </c>
    </row>
    <row r="206" spans="1:23" ht="10.5" customHeight="1" x14ac:dyDescent="0.25">
      <c r="A206" s="19">
        <v>46033</v>
      </c>
      <c r="B206" s="20" t="str">
        <f t="shared" si="8"/>
        <v>11/01/2026NL300013</v>
      </c>
      <c r="C206" s="21" t="s">
        <v>857</v>
      </c>
      <c r="D206" s="21" t="s">
        <v>819</v>
      </c>
      <c r="E206" s="20" t="s">
        <v>820</v>
      </c>
      <c r="F206" s="20" t="s">
        <v>821</v>
      </c>
      <c r="G206" s="20" t="s">
        <v>858</v>
      </c>
      <c r="H206" s="20" t="s">
        <v>236</v>
      </c>
      <c r="I206" s="20" t="s">
        <v>65</v>
      </c>
      <c r="J206" s="20" t="s">
        <v>190</v>
      </c>
      <c r="K206" s="22">
        <v>1.1000000000000001</v>
      </c>
      <c r="L206" s="23">
        <v>50000</v>
      </c>
      <c r="M206" s="23">
        <v>0</v>
      </c>
      <c r="N206" s="24">
        <f t="shared" si="9"/>
        <v>55000.000000000007</v>
      </c>
      <c r="O206" s="24">
        <v>0</v>
      </c>
      <c r="P206" s="23">
        <v>50000</v>
      </c>
      <c r="Q206" s="20" t="s">
        <v>824</v>
      </c>
      <c r="R206" s="20" t="s">
        <v>825</v>
      </c>
      <c r="S206" s="20" t="s">
        <v>12</v>
      </c>
      <c r="T206" s="20" t="s">
        <v>826</v>
      </c>
      <c r="U206" s="20" t="s">
        <v>12</v>
      </c>
      <c r="V206" s="20" t="s">
        <v>827</v>
      </c>
      <c r="W206" s="20" t="s">
        <v>827</v>
      </c>
    </row>
    <row r="207" spans="1:23" ht="10.5" customHeight="1" x14ac:dyDescent="0.25">
      <c r="A207" s="19">
        <v>46033</v>
      </c>
      <c r="B207" s="20" t="str">
        <f t="shared" si="8"/>
        <v>11/01/2026NL300022</v>
      </c>
      <c r="C207" s="21" t="s">
        <v>857</v>
      </c>
      <c r="D207" s="21" t="s">
        <v>819</v>
      </c>
      <c r="E207" s="20" t="s">
        <v>820</v>
      </c>
      <c r="F207" s="20" t="s">
        <v>821</v>
      </c>
      <c r="G207" s="20" t="s">
        <v>858</v>
      </c>
      <c r="H207" s="20" t="s">
        <v>305</v>
      </c>
      <c r="I207" s="20" t="s">
        <v>67</v>
      </c>
      <c r="J207" s="20" t="s">
        <v>190</v>
      </c>
      <c r="K207" s="22">
        <v>6</v>
      </c>
      <c r="L207" s="23">
        <v>18000</v>
      </c>
      <c r="M207" s="23">
        <v>0</v>
      </c>
      <c r="N207" s="24">
        <f t="shared" si="9"/>
        <v>108000</v>
      </c>
      <c r="O207" s="24">
        <v>0</v>
      </c>
      <c r="P207" s="23">
        <v>18000</v>
      </c>
      <c r="Q207" s="20" t="s">
        <v>824</v>
      </c>
      <c r="R207" s="20" t="s">
        <v>825</v>
      </c>
      <c r="S207" s="20" t="s">
        <v>12</v>
      </c>
      <c r="T207" s="20" t="s">
        <v>826</v>
      </c>
      <c r="U207" s="20" t="s">
        <v>12</v>
      </c>
      <c r="V207" s="20" t="s">
        <v>827</v>
      </c>
      <c r="W207" s="20" t="s">
        <v>827</v>
      </c>
    </row>
    <row r="208" spans="1:23" ht="10.5" customHeight="1" x14ac:dyDescent="0.25">
      <c r="A208" s="19">
        <v>46033</v>
      </c>
      <c r="B208" s="20" t="str">
        <f t="shared" si="8"/>
        <v>11/01/2026NL300033</v>
      </c>
      <c r="C208" s="21" t="s">
        <v>857</v>
      </c>
      <c r="D208" s="21" t="s">
        <v>819</v>
      </c>
      <c r="E208" s="20" t="s">
        <v>820</v>
      </c>
      <c r="F208" s="20" t="s">
        <v>821</v>
      </c>
      <c r="G208" s="20" t="s">
        <v>858</v>
      </c>
      <c r="H208" s="20" t="s">
        <v>335</v>
      </c>
      <c r="I208" s="20" t="s">
        <v>823</v>
      </c>
      <c r="J208" s="20" t="s">
        <v>190</v>
      </c>
      <c r="K208" s="22">
        <v>1</v>
      </c>
      <c r="L208" s="23">
        <v>13000</v>
      </c>
      <c r="M208" s="23">
        <v>0</v>
      </c>
      <c r="N208" s="24">
        <f t="shared" si="9"/>
        <v>13000</v>
      </c>
      <c r="O208" s="24">
        <v>0</v>
      </c>
      <c r="P208" s="23">
        <v>13000</v>
      </c>
      <c r="Q208" s="20" t="s">
        <v>824</v>
      </c>
      <c r="R208" s="20" t="s">
        <v>825</v>
      </c>
      <c r="S208" s="20" t="s">
        <v>12</v>
      </c>
      <c r="T208" s="20" t="s">
        <v>826</v>
      </c>
      <c r="U208" s="20" t="s">
        <v>12</v>
      </c>
      <c r="V208" s="20" t="s">
        <v>827</v>
      </c>
      <c r="W208" s="20" t="s">
        <v>827</v>
      </c>
    </row>
    <row r="209" spans="1:23" ht="10.5" customHeight="1" x14ac:dyDescent="0.25">
      <c r="A209" s="19">
        <v>46033</v>
      </c>
      <c r="B209" s="20" t="str">
        <f t="shared" si="8"/>
        <v>11/01/2026NL300036</v>
      </c>
      <c r="C209" s="21" t="s">
        <v>857</v>
      </c>
      <c r="D209" s="21" t="s">
        <v>819</v>
      </c>
      <c r="E209" s="20" t="s">
        <v>820</v>
      </c>
      <c r="F209" s="20" t="s">
        <v>821</v>
      </c>
      <c r="G209" s="20" t="s">
        <v>858</v>
      </c>
      <c r="H209" s="20" t="s">
        <v>357</v>
      </c>
      <c r="I209" s="20" t="s">
        <v>17</v>
      </c>
      <c r="J209" s="20" t="s">
        <v>190</v>
      </c>
      <c r="K209" s="22">
        <v>0.9</v>
      </c>
      <c r="L209" s="23">
        <v>47000</v>
      </c>
      <c r="M209" s="23">
        <v>0</v>
      </c>
      <c r="N209" s="24">
        <f t="shared" si="9"/>
        <v>42300</v>
      </c>
      <c r="O209" s="24">
        <v>0</v>
      </c>
      <c r="P209" s="23">
        <v>47000</v>
      </c>
      <c r="Q209" s="20" t="s">
        <v>824</v>
      </c>
      <c r="R209" s="20" t="s">
        <v>825</v>
      </c>
      <c r="S209" s="20" t="s">
        <v>12</v>
      </c>
      <c r="T209" s="20" t="s">
        <v>826</v>
      </c>
      <c r="U209" s="20" t="s">
        <v>12</v>
      </c>
      <c r="V209" s="20" t="s">
        <v>827</v>
      </c>
      <c r="W209" s="20" t="s">
        <v>827</v>
      </c>
    </row>
    <row r="210" spans="1:23" ht="10.5" customHeight="1" x14ac:dyDescent="0.25">
      <c r="A210" s="19">
        <v>46033</v>
      </c>
      <c r="B210" s="20" t="str">
        <f t="shared" si="8"/>
        <v>11/01/2026NL300058</v>
      </c>
      <c r="C210" s="21" t="s">
        <v>857</v>
      </c>
      <c r="D210" s="21" t="s">
        <v>819</v>
      </c>
      <c r="E210" s="20" t="s">
        <v>820</v>
      </c>
      <c r="F210" s="20" t="s">
        <v>821</v>
      </c>
      <c r="G210" s="20" t="s">
        <v>858</v>
      </c>
      <c r="H210" s="20" t="s">
        <v>450</v>
      </c>
      <c r="I210" s="20" t="s">
        <v>19</v>
      </c>
      <c r="J210" s="20" t="s">
        <v>190</v>
      </c>
      <c r="K210" s="22">
        <v>0.6</v>
      </c>
      <c r="L210" s="23">
        <v>55000</v>
      </c>
      <c r="M210" s="23">
        <v>0</v>
      </c>
      <c r="N210" s="24">
        <f t="shared" si="9"/>
        <v>33000</v>
      </c>
      <c r="O210" s="24">
        <v>0</v>
      </c>
      <c r="P210" s="23">
        <v>55000</v>
      </c>
      <c r="Q210" s="20" t="s">
        <v>824</v>
      </c>
      <c r="R210" s="20" t="s">
        <v>825</v>
      </c>
      <c r="S210" s="20" t="s">
        <v>12</v>
      </c>
      <c r="T210" s="20" t="s">
        <v>826</v>
      </c>
      <c r="U210" s="20" t="s">
        <v>12</v>
      </c>
      <c r="V210" s="20" t="s">
        <v>827</v>
      </c>
      <c r="W210" s="20" t="s">
        <v>827</v>
      </c>
    </row>
    <row r="211" spans="1:23" ht="10.5" customHeight="1" x14ac:dyDescent="0.25">
      <c r="A211" s="19">
        <v>46033</v>
      </c>
      <c r="B211" s="20" t="str">
        <f t="shared" si="8"/>
        <v>11/01/2026NL300074</v>
      </c>
      <c r="C211" s="21" t="s">
        <v>857</v>
      </c>
      <c r="D211" s="21" t="s">
        <v>819</v>
      </c>
      <c r="E211" s="20" t="s">
        <v>820</v>
      </c>
      <c r="F211" s="20" t="s">
        <v>821</v>
      </c>
      <c r="G211" s="20" t="s">
        <v>858</v>
      </c>
      <c r="H211" s="20" t="s">
        <v>503</v>
      </c>
      <c r="I211" s="20" t="s">
        <v>73</v>
      </c>
      <c r="J211" s="20" t="s">
        <v>190</v>
      </c>
      <c r="K211" s="22">
        <v>1.4</v>
      </c>
      <c r="L211" s="23">
        <v>18000</v>
      </c>
      <c r="M211" s="23">
        <v>0</v>
      </c>
      <c r="N211" s="24">
        <f t="shared" si="9"/>
        <v>25200</v>
      </c>
      <c r="O211" s="24">
        <v>0</v>
      </c>
      <c r="P211" s="23">
        <v>18000</v>
      </c>
      <c r="Q211" s="20" t="s">
        <v>824</v>
      </c>
      <c r="R211" s="20" t="s">
        <v>825</v>
      </c>
      <c r="S211" s="20" t="s">
        <v>12</v>
      </c>
      <c r="T211" s="20" t="s">
        <v>826</v>
      </c>
      <c r="U211" s="20" t="s">
        <v>12</v>
      </c>
      <c r="V211" s="20" t="s">
        <v>827</v>
      </c>
      <c r="W211" s="20" t="s">
        <v>827</v>
      </c>
    </row>
    <row r="212" spans="1:23" ht="10.5" customHeight="1" x14ac:dyDescent="0.25">
      <c r="A212" s="19">
        <v>46033</v>
      </c>
      <c r="B212" s="20" t="str">
        <f t="shared" si="8"/>
        <v>11/01/2026NL300084</v>
      </c>
      <c r="C212" s="21" t="s">
        <v>857</v>
      </c>
      <c r="D212" s="21" t="s">
        <v>819</v>
      </c>
      <c r="E212" s="20" t="s">
        <v>820</v>
      </c>
      <c r="F212" s="20" t="s">
        <v>821</v>
      </c>
      <c r="G212" s="20" t="s">
        <v>858</v>
      </c>
      <c r="H212" s="20" t="s">
        <v>562</v>
      </c>
      <c r="I212" s="20" t="s">
        <v>563</v>
      </c>
      <c r="J212" s="20" t="s">
        <v>190</v>
      </c>
      <c r="K212" s="22">
        <v>2</v>
      </c>
      <c r="L212" s="23">
        <v>22000</v>
      </c>
      <c r="M212" s="23">
        <v>0</v>
      </c>
      <c r="N212" s="24">
        <f t="shared" si="9"/>
        <v>44000</v>
      </c>
      <c r="O212" s="24">
        <v>0</v>
      </c>
      <c r="P212" s="23">
        <v>22000</v>
      </c>
      <c r="Q212" s="20" t="s">
        <v>824</v>
      </c>
      <c r="R212" s="20" t="s">
        <v>825</v>
      </c>
      <c r="S212" s="20" t="s">
        <v>12</v>
      </c>
      <c r="T212" s="20" t="s">
        <v>826</v>
      </c>
      <c r="U212" s="20" t="s">
        <v>12</v>
      </c>
      <c r="V212" s="20" t="s">
        <v>827</v>
      </c>
      <c r="W212" s="20" t="s">
        <v>827</v>
      </c>
    </row>
    <row r="213" spans="1:23" ht="10.5" customHeight="1" x14ac:dyDescent="0.25">
      <c r="A213" s="19">
        <v>46033</v>
      </c>
      <c r="B213" s="20" t="str">
        <f t="shared" si="8"/>
        <v>11/01/2026NL300085</v>
      </c>
      <c r="C213" s="21" t="s">
        <v>857</v>
      </c>
      <c r="D213" s="21" t="s">
        <v>819</v>
      </c>
      <c r="E213" s="20" t="s">
        <v>820</v>
      </c>
      <c r="F213" s="20" t="s">
        <v>821</v>
      </c>
      <c r="G213" s="20" t="s">
        <v>858</v>
      </c>
      <c r="H213" s="20" t="s">
        <v>564</v>
      </c>
      <c r="I213" s="20" t="s">
        <v>565</v>
      </c>
      <c r="J213" s="20" t="s">
        <v>190</v>
      </c>
      <c r="K213" s="22">
        <v>1</v>
      </c>
      <c r="L213" s="23">
        <v>45000</v>
      </c>
      <c r="M213" s="23">
        <v>0</v>
      </c>
      <c r="N213" s="24">
        <f t="shared" si="9"/>
        <v>45000</v>
      </c>
      <c r="O213" s="24">
        <v>0</v>
      </c>
      <c r="P213" s="23">
        <v>45000</v>
      </c>
      <c r="Q213" s="20" t="s">
        <v>824</v>
      </c>
      <c r="R213" s="20" t="s">
        <v>825</v>
      </c>
      <c r="S213" s="20" t="s">
        <v>12</v>
      </c>
      <c r="T213" s="20" t="s">
        <v>826</v>
      </c>
      <c r="U213" s="20" t="s">
        <v>12</v>
      </c>
      <c r="V213" s="20" t="s">
        <v>827</v>
      </c>
      <c r="W213" s="20" t="s">
        <v>827</v>
      </c>
    </row>
    <row r="214" spans="1:23" ht="10.5" customHeight="1" x14ac:dyDescent="0.25">
      <c r="A214" s="19">
        <v>46033</v>
      </c>
      <c r="B214" s="20" t="str">
        <f t="shared" si="8"/>
        <v>11/01/2026NL300091</v>
      </c>
      <c r="C214" s="21" t="s">
        <v>857</v>
      </c>
      <c r="D214" s="21" t="s">
        <v>819</v>
      </c>
      <c r="E214" s="20" t="s">
        <v>820</v>
      </c>
      <c r="F214" s="20" t="s">
        <v>821</v>
      </c>
      <c r="G214" s="20" t="s">
        <v>858</v>
      </c>
      <c r="H214" s="20" t="s">
        <v>580</v>
      </c>
      <c r="I214" s="20" t="s">
        <v>39</v>
      </c>
      <c r="J214" s="20" t="s">
        <v>190</v>
      </c>
      <c r="K214" s="22">
        <v>3</v>
      </c>
      <c r="L214" s="23">
        <v>47000</v>
      </c>
      <c r="M214" s="23">
        <v>0</v>
      </c>
      <c r="N214" s="24">
        <f t="shared" si="9"/>
        <v>141000</v>
      </c>
      <c r="O214" s="24">
        <v>0</v>
      </c>
      <c r="P214" s="23">
        <v>47000</v>
      </c>
      <c r="Q214" s="20" t="s">
        <v>824</v>
      </c>
      <c r="R214" s="20" t="s">
        <v>825</v>
      </c>
      <c r="S214" s="20" t="s">
        <v>12</v>
      </c>
      <c r="T214" s="20" t="s">
        <v>826</v>
      </c>
      <c r="U214" s="20" t="s">
        <v>12</v>
      </c>
      <c r="V214" s="20" t="s">
        <v>827</v>
      </c>
      <c r="W214" s="20" t="s">
        <v>827</v>
      </c>
    </row>
    <row r="215" spans="1:23" ht="10.5" customHeight="1" x14ac:dyDescent="0.25">
      <c r="A215" s="19">
        <v>46033</v>
      </c>
      <c r="B215" s="20" t="str">
        <f t="shared" si="8"/>
        <v>11/01/2026NL300094</v>
      </c>
      <c r="C215" s="21" t="s">
        <v>857</v>
      </c>
      <c r="D215" s="21" t="s">
        <v>819</v>
      </c>
      <c r="E215" s="20" t="s">
        <v>820</v>
      </c>
      <c r="F215" s="20" t="s">
        <v>821</v>
      </c>
      <c r="G215" s="20" t="s">
        <v>858</v>
      </c>
      <c r="H215" s="20" t="s">
        <v>584</v>
      </c>
      <c r="I215" s="20" t="s">
        <v>585</v>
      </c>
      <c r="J215" s="20" t="s">
        <v>190</v>
      </c>
      <c r="K215" s="22">
        <v>1</v>
      </c>
      <c r="L215" s="23">
        <v>80000</v>
      </c>
      <c r="M215" s="23">
        <v>0</v>
      </c>
      <c r="N215" s="24">
        <f t="shared" si="9"/>
        <v>80000</v>
      </c>
      <c r="O215" s="24">
        <v>0</v>
      </c>
      <c r="P215" s="23">
        <v>80000</v>
      </c>
      <c r="Q215" s="20" t="s">
        <v>824</v>
      </c>
      <c r="R215" s="20" t="s">
        <v>825</v>
      </c>
      <c r="S215" s="20" t="s">
        <v>12</v>
      </c>
      <c r="T215" s="20" t="s">
        <v>826</v>
      </c>
      <c r="U215" s="20" t="s">
        <v>12</v>
      </c>
      <c r="V215" s="20" t="s">
        <v>827</v>
      </c>
      <c r="W215" s="20" t="s">
        <v>827</v>
      </c>
    </row>
    <row r="216" spans="1:23" ht="10.5" customHeight="1" x14ac:dyDescent="0.25">
      <c r="A216" s="19">
        <v>46033</v>
      </c>
      <c r="B216" s="20" t="str">
        <f t="shared" si="8"/>
        <v>11/01/2026NL300096</v>
      </c>
      <c r="C216" s="21" t="s">
        <v>857</v>
      </c>
      <c r="D216" s="21" t="s">
        <v>819</v>
      </c>
      <c r="E216" s="20" t="s">
        <v>820</v>
      </c>
      <c r="F216" s="20" t="s">
        <v>821</v>
      </c>
      <c r="G216" s="20" t="s">
        <v>858</v>
      </c>
      <c r="H216" s="20" t="s">
        <v>586</v>
      </c>
      <c r="I216" s="20" t="s">
        <v>43</v>
      </c>
      <c r="J216" s="20" t="s">
        <v>190</v>
      </c>
      <c r="K216" s="22">
        <v>6</v>
      </c>
      <c r="L216" s="23">
        <v>45000</v>
      </c>
      <c r="M216" s="23">
        <v>0</v>
      </c>
      <c r="N216" s="24">
        <f t="shared" si="9"/>
        <v>270000</v>
      </c>
      <c r="O216" s="24">
        <v>0</v>
      </c>
      <c r="P216" s="23">
        <v>45000</v>
      </c>
      <c r="Q216" s="20" t="s">
        <v>824</v>
      </c>
      <c r="R216" s="20" t="s">
        <v>825</v>
      </c>
      <c r="S216" s="20" t="s">
        <v>12</v>
      </c>
      <c r="T216" s="20" t="s">
        <v>826</v>
      </c>
      <c r="U216" s="20" t="s">
        <v>12</v>
      </c>
      <c r="V216" s="20" t="s">
        <v>827</v>
      </c>
      <c r="W216" s="20" t="s">
        <v>827</v>
      </c>
    </row>
    <row r="217" spans="1:23" ht="10.5" customHeight="1" x14ac:dyDescent="0.25">
      <c r="A217" s="19">
        <v>46033</v>
      </c>
      <c r="B217" s="20" t="str">
        <f t="shared" si="8"/>
        <v>11/01/2026NL300098</v>
      </c>
      <c r="C217" s="21" t="s">
        <v>857</v>
      </c>
      <c r="D217" s="21" t="s">
        <v>819</v>
      </c>
      <c r="E217" s="20" t="s">
        <v>820</v>
      </c>
      <c r="F217" s="20" t="s">
        <v>821</v>
      </c>
      <c r="G217" s="20" t="s">
        <v>858</v>
      </c>
      <c r="H217" s="20" t="s">
        <v>590</v>
      </c>
      <c r="I217" s="20" t="s">
        <v>591</v>
      </c>
      <c r="J217" s="20" t="s">
        <v>190</v>
      </c>
      <c r="K217" s="22">
        <v>5.4</v>
      </c>
      <c r="L217" s="23">
        <v>95000</v>
      </c>
      <c r="M217" s="23">
        <v>0</v>
      </c>
      <c r="N217" s="24">
        <f t="shared" si="9"/>
        <v>513000.00000000006</v>
      </c>
      <c r="O217" s="24">
        <v>0</v>
      </c>
      <c r="P217" s="23">
        <v>95000</v>
      </c>
      <c r="Q217" s="20" t="s">
        <v>824</v>
      </c>
      <c r="R217" s="20" t="s">
        <v>825</v>
      </c>
      <c r="S217" s="20" t="s">
        <v>12</v>
      </c>
      <c r="T217" s="20" t="s">
        <v>826</v>
      </c>
      <c r="U217" s="20" t="s">
        <v>12</v>
      </c>
      <c r="V217" s="20" t="s">
        <v>827</v>
      </c>
      <c r="W217" s="20" t="s">
        <v>827</v>
      </c>
    </row>
    <row r="218" spans="1:23" ht="10.5" customHeight="1" x14ac:dyDescent="0.25">
      <c r="A218" s="19">
        <v>46033</v>
      </c>
      <c r="B218" s="20" t="str">
        <f t="shared" si="8"/>
        <v>11/01/2026NL300107</v>
      </c>
      <c r="C218" s="21" t="s">
        <v>857</v>
      </c>
      <c r="D218" s="21" t="s">
        <v>819</v>
      </c>
      <c r="E218" s="20" t="s">
        <v>820</v>
      </c>
      <c r="F218" s="20" t="s">
        <v>821</v>
      </c>
      <c r="G218" s="20" t="s">
        <v>858</v>
      </c>
      <c r="H218" s="20" t="s">
        <v>616</v>
      </c>
      <c r="I218" s="20" t="s">
        <v>828</v>
      </c>
      <c r="J218" s="20" t="s">
        <v>385</v>
      </c>
      <c r="K218" s="22">
        <v>3</v>
      </c>
      <c r="L218" s="23">
        <v>8500</v>
      </c>
      <c r="M218" s="23">
        <v>0</v>
      </c>
      <c r="N218" s="24">
        <f t="shared" si="9"/>
        <v>25500</v>
      </c>
      <c r="O218" s="24">
        <v>0</v>
      </c>
      <c r="P218" s="23">
        <v>8500</v>
      </c>
      <c r="Q218" s="20" t="s">
        <v>824</v>
      </c>
      <c r="R218" s="20" t="s">
        <v>825</v>
      </c>
      <c r="S218" s="20" t="s">
        <v>12</v>
      </c>
      <c r="T218" s="20" t="s">
        <v>826</v>
      </c>
      <c r="U218" s="20" t="s">
        <v>12</v>
      </c>
      <c r="V218" s="20" t="s">
        <v>827</v>
      </c>
      <c r="W218" s="20" t="s">
        <v>827</v>
      </c>
    </row>
    <row r="219" spans="1:23" ht="10.5" customHeight="1" x14ac:dyDescent="0.25">
      <c r="A219" s="19">
        <v>46033</v>
      </c>
      <c r="B219" s="20" t="str">
        <f t="shared" si="8"/>
        <v>11/01/2026NL300113</v>
      </c>
      <c r="C219" s="21" t="s">
        <v>857</v>
      </c>
      <c r="D219" s="21" t="s">
        <v>819</v>
      </c>
      <c r="E219" s="20" t="s">
        <v>820</v>
      </c>
      <c r="F219" s="20" t="s">
        <v>821</v>
      </c>
      <c r="G219" s="20" t="s">
        <v>858</v>
      </c>
      <c r="H219" s="20" t="s">
        <v>627</v>
      </c>
      <c r="I219" s="20" t="s">
        <v>30</v>
      </c>
      <c r="J219" s="20" t="s">
        <v>190</v>
      </c>
      <c r="K219" s="22">
        <v>1</v>
      </c>
      <c r="L219" s="23">
        <v>145000</v>
      </c>
      <c r="M219" s="23">
        <v>0</v>
      </c>
      <c r="N219" s="24">
        <f t="shared" si="9"/>
        <v>145000</v>
      </c>
      <c r="O219" s="24">
        <v>0</v>
      </c>
      <c r="P219" s="23">
        <v>145000</v>
      </c>
      <c r="Q219" s="20" t="s">
        <v>824</v>
      </c>
      <c r="R219" s="20" t="s">
        <v>825</v>
      </c>
      <c r="S219" s="20" t="s">
        <v>12</v>
      </c>
      <c r="T219" s="20" t="s">
        <v>826</v>
      </c>
      <c r="U219" s="20" t="s">
        <v>12</v>
      </c>
      <c r="V219" s="20" t="s">
        <v>827</v>
      </c>
      <c r="W219" s="20" t="s">
        <v>827</v>
      </c>
    </row>
    <row r="220" spans="1:23" ht="10.5" customHeight="1" x14ac:dyDescent="0.25">
      <c r="A220" s="19">
        <v>46033</v>
      </c>
      <c r="B220" s="20" t="str">
        <f t="shared" si="8"/>
        <v>11/01/2026NL300126</v>
      </c>
      <c r="C220" s="21" t="s">
        <v>857</v>
      </c>
      <c r="D220" s="21" t="s">
        <v>819</v>
      </c>
      <c r="E220" s="20" t="s">
        <v>820</v>
      </c>
      <c r="F220" s="20" t="s">
        <v>821</v>
      </c>
      <c r="G220" s="20" t="s">
        <v>858</v>
      </c>
      <c r="H220" s="20" t="s">
        <v>704</v>
      </c>
      <c r="I220" s="20" t="s">
        <v>705</v>
      </c>
      <c r="J220" s="20" t="s">
        <v>190</v>
      </c>
      <c r="K220" s="22">
        <v>0.2</v>
      </c>
      <c r="L220" s="23">
        <v>70000</v>
      </c>
      <c r="M220" s="23">
        <v>0</v>
      </c>
      <c r="N220" s="24">
        <f t="shared" si="9"/>
        <v>14000</v>
      </c>
      <c r="O220" s="24">
        <v>0</v>
      </c>
      <c r="P220" s="23">
        <v>70000</v>
      </c>
      <c r="Q220" s="20" t="s">
        <v>824</v>
      </c>
      <c r="R220" s="20" t="s">
        <v>825</v>
      </c>
      <c r="S220" s="20" t="s">
        <v>12</v>
      </c>
      <c r="T220" s="20" t="s">
        <v>826</v>
      </c>
      <c r="U220" s="20" t="s">
        <v>12</v>
      </c>
      <c r="V220" s="20" t="s">
        <v>827</v>
      </c>
      <c r="W220" s="20" t="s">
        <v>827</v>
      </c>
    </row>
    <row r="221" spans="1:23" ht="10.5" customHeight="1" x14ac:dyDescent="0.25">
      <c r="A221" s="19">
        <v>46033</v>
      </c>
      <c r="B221" s="20" t="str">
        <f t="shared" si="8"/>
        <v>11/01/2026NL300142</v>
      </c>
      <c r="C221" s="21" t="s">
        <v>857</v>
      </c>
      <c r="D221" s="21" t="s">
        <v>819</v>
      </c>
      <c r="E221" s="20" t="s">
        <v>820</v>
      </c>
      <c r="F221" s="20" t="s">
        <v>821</v>
      </c>
      <c r="G221" s="20" t="s">
        <v>858</v>
      </c>
      <c r="H221" s="20" t="s">
        <v>766</v>
      </c>
      <c r="I221" s="20" t="s">
        <v>829</v>
      </c>
      <c r="J221" s="20" t="s">
        <v>190</v>
      </c>
      <c r="K221" s="22">
        <v>1.6</v>
      </c>
      <c r="L221" s="23">
        <v>50000</v>
      </c>
      <c r="M221" s="23">
        <v>0</v>
      </c>
      <c r="N221" s="24">
        <f t="shared" si="9"/>
        <v>80000</v>
      </c>
      <c r="O221" s="24">
        <v>0</v>
      </c>
      <c r="P221" s="23">
        <v>50000</v>
      </c>
      <c r="Q221" s="20" t="s">
        <v>824</v>
      </c>
      <c r="R221" s="20" t="s">
        <v>825</v>
      </c>
      <c r="S221" s="20" t="s">
        <v>12</v>
      </c>
      <c r="T221" s="20" t="s">
        <v>826</v>
      </c>
      <c r="U221" s="20" t="s">
        <v>12</v>
      </c>
      <c r="V221" s="20" t="s">
        <v>827</v>
      </c>
      <c r="W221" s="20" t="s">
        <v>827</v>
      </c>
    </row>
    <row r="222" spans="1:23" ht="10.5" customHeight="1" x14ac:dyDescent="0.25">
      <c r="A222" s="19">
        <v>46033</v>
      </c>
      <c r="B222" s="20" t="str">
        <f t="shared" si="8"/>
        <v>11/01/2026NL300147</v>
      </c>
      <c r="C222" s="21" t="s">
        <v>857</v>
      </c>
      <c r="D222" s="21" t="s">
        <v>819</v>
      </c>
      <c r="E222" s="20" t="s">
        <v>820</v>
      </c>
      <c r="F222" s="20" t="s">
        <v>821</v>
      </c>
      <c r="G222" s="20" t="s">
        <v>858</v>
      </c>
      <c r="H222" s="20" t="s">
        <v>790</v>
      </c>
      <c r="I222" s="20" t="s">
        <v>791</v>
      </c>
      <c r="J222" s="20" t="s">
        <v>190</v>
      </c>
      <c r="K222" s="22">
        <v>7</v>
      </c>
      <c r="L222" s="23">
        <v>62000</v>
      </c>
      <c r="M222" s="23">
        <v>0</v>
      </c>
      <c r="N222" s="24">
        <f t="shared" si="9"/>
        <v>434000</v>
      </c>
      <c r="O222" s="24">
        <v>0</v>
      </c>
      <c r="P222" s="23">
        <v>62000</v>
      </c>
      <c r="Q222" s="20" t="s">
        <v>824</v>
      </c>
      <c r="R222" s="20" t="s">
        <v>825</v>
      </c>
      <c r="S222" s="20" t="s">
        <v>12</v>
      </c>
      <c r="T222" s="20" t="s">
        <v>826</v>
      </c>
      <c r="U222" s="20" t="s">
        <v>12</v>
      </c>
      <c r="V222" s="20" t="s">
        <v>827</v>
      </c>
      <c r="W222" s="20" t="s">
        <v>827</v>
      </c>
    </row>
    <row r="223" spans="1:23" ht="10.5" customHeight="1" x14ac:dyDescent="0.25">
      <c r="A223" s="19">
        <v>46033</v>
      </c>
      <c r="B223" s="20" t="str">
        <f t="shared" si="8"/>
        <v>11/01/2026NL300203</v>
      </c>
      <c r="C223" s="21" t="s">
        <v>857</v>
      </c>
      <c r="D223" s="21" t="s">
        <v>819</v>
      </c>
      <c r="E223" s="20" t="s">
        <v>820</v>
      </c>
      <c r="F223" s="20" t="s">
        <v>821</v>
      </c>
      <c r="G223" s="20" t="s">
        <v>858</v>
      </c>
      <c r="H223" s="20" t="s">
        <v>346</v>
      </c>
      <c r="I223" s="20" t="s">
        <v>347</v>
      </c>
      <c r="J223" s="20" t="s">
        <v>190</v>
      </c>
      <c r="K223" s="22">
        <v>1</v>
      </c>
      <c r="L223" s="23">
        <v>45000</v>
      </c>
      <c r="M223" s="23">
        <v>0</v>
      </c>
      <c r="N223" s="24">
        <f t="shared" si="9"/>
        <v>45000</v>
      </c>
      <c r="O223" s="24">
        <v>0</v>
      </c>
      <c r="P223" s="23">
        <v>45000</v>
      </c>
      <c r="Q223" s="20" t="s">
        <v>824</v>
      </c>
      <c r="R223" s="20" t="s">
        <v>825</v>
      </c>
      <c r="S223" s="20" t="s">
        <v>12</v>
      </c>
      <c r="T223" s="20" t="s">
        <v>826</v>
      </c>
      <c r="U223" s="20" t="s">
        <v>12</v>
      </c>
      <c r="V223" s="20" t="s">
        <v>827</v>
      </c>
      <c r="W223" s="20" t="s">
        <v>827</v>
      </c>
    </row>
    <row r="224" spans="1:23" ht="10.5" customHeight="1" x14ac:dyDescent="0.25">
      <c r="A224" s="19">
        <v>46033</v>
      </c>
      <c r="B224" s="20" t="str">
        <f t="shared" si="8"/>
        <v>11/01/2026NL300209</v>
      </c>
      <c r="C224" s="21" t="s">
        <v>857</v>
      </c>
      <c r="D224" s="21" t="s">
        <v>819</v>
      </c>
      <c r="E224" s="20" t="s">
        <v>820</v>
      </c>
      <c r="F224" s="20" t="s">
        <v>821</v>
      </c>
      <c r="G224" s="20" t="s">
        <v>858</v>
      </c>
      <c r="H224" s="20" t="s">
        <v>797</v>
      </c>
      <c r="I224" s="20" t="s">
        <v>798</v>
      </c>
      <c r="J224" s="20" t="s">
        <v>190</v>
      </c>
      <c r="K224" s="22">
        <v>1.1000000000000001</v>
      </c>
      <c r="L224" s="23">
        <v>30000</v>
      </c>
      <c r="M224" s="23">
        <v>0</v>
      </c>
      <c r="N224" s="24">
        <f t="shared" si="9"/>
        <v>33000</v>
      </c>
      <c r="O224" s="24">
        <v>0</v>
      </c>
      <c r="P224" s="23">
        <v>30000</v>
      </c>
      <c r="Q224" s="20" t="s">
        <v>824</v>
      </c>
      <c r="R224" s="20" t="s">
        <v>825</v>
      </c>
      <c r="S224" s="20" t="s">
        <v>12</v>
      </c>
      <c r="T224" s="20" t="s">
        <v>826</v>
      </c>
      <c r="U224" s="20" t="s">
        <v>12</v>
      </c>
      <c r="V224" s="20" t="s">
        <v>827</v>
      </c>
      <c r="W224" s="20" t="s">
        <v>827</v>
      </c>
    </row>
    <row r="225" spans="1:23" ht="10.5" customHeight="1" x14ac:dyDescent="0.25">
      <c r="A225" s="19">
        <v>46033</v>
      </c>
      <c r="B225" s="20" t="str">
        <f t="shared" si="8"/>
        <v>11/01/2026NL300119</v>
      </c>
      <c r="C225" s="21" t="s">
        <v>857</v>
      </c>
      <c r="D225" s="21" t="s">
        <v>819</v>
      </c>
      <c r="E225" s="20" t="s">
        <v>820</v>
      </c>
      <c r="F225" s="20" t="s">
        <v>821</v>
      </c>
      <c r="G225" s="20" t="s">
        <v>858</v>
      </c>
      <c r="H225" s="20" t="s">
        <v>652</v>
      </c>
      <c r="I225" s="20" t="s">
        <v>653</v>
      </c>
      <c r="J225" s="20" t="s">
        <v>190</v>
      </c>
      <c r="K225" s="22">
        <v>4.5999999999999996</v>
      </c>
      <c r="L225" s="23">
        <v>21000</v>
      </c>
      <c r="M225" s="23">
        <v>0</v>
      </c>
      <c r="N225" s="24">
        <f t="shared" si="9"/>
        <v>96599.999999999985</v>
      </c>
      <c r="O225" s="24">
        <v>0</v>
      </c>
      <c r="P225" s="23">
        <v>21000</v>
      </c>
      <c r="Q225" s="20" t="s">
        <v>824</v>
      </c>
      <c r="R225" s="20" t="s">
        <v>825</v>
      </c>
      <c r="S225" s="20" t="s">
        <v>12</v>
      </c>
      <c r="T225" s="20" t="s">
        <v>826</v>
      </c>
      <c r="U225" s="20" t="s">
        <v>12</v>
      </c>
      <c r="V225" s="20" t="s">
        <v>827</v>
      </c>
      <c r="W225" s="20" t="s">
        <v>827</v>
      </c>
    </row>
    <row r="226" spans="1:23" ht="10.5" customHeight="1" x14ac:dyDescent="0.25">
      <c r="A226" s="19">
        <v>46033</v>
      </c>
      <c r="B226" s="20" t="str">
        <f t="shared" si="8"/>
        <v>11/01/2026NL600004</v>
      </c>
      <c r="C226" s="21" t="s">
        <v>857</v>
      </c>
      <c r="D226" s="21" t="s">
        <v>819</v>
      </c>
      <c r="E226" s="20" t="s">
        <v>820</v>
      </c>
      <c r="F226" s="20" t="s">
        <v>821</v>
      </c>
      <c r="G226" s="20" t="s">
        <v>858</v>
      </c>
      <c r="H226" s="20" t="s">
        <v>427</v>
      </c>
      <c r="I226" s="20" t="s">
        <v>51</v>
      </c>
      <c r="J226" s="20" t="s">
        <v>190</v>
      </c>
      <c r="K226" s="22">
        <v>15</v>
      </c>
      <c r="L226" s="23">
        <v>18000</v>
      </c>
      <c r="M226" s="23">
        <v>0</v>
      </c>
      <c r="N226" s="24">
        <f t="shared" si="9"/>
        <v>270000</v>
      </c>
      <c r="O226" s="24">
        <v>0</v>
      </c>
      <c r="P226" s="23">
        <v>18000</v>
      </c>
      <c r="Q226" s="20" t="s">
        <v>824</v>
      </c>
      <c r="R226" s="20" t="s">
        <v>825</v>
      </c>
      <c r="S226" s="20" t="s">
        <v>12</v>
      </c>
      <c r="T226" s="20" t="s">
        <v>826</v>
      </c>
      <c r="U226" s="20" t="s">
        <v>12</v>
      </c>
      <c r="V226" s="20" t="s">
        <v>827</v>
      </c>
      <c r="W226" s="20" t="s">
        <v>827</v>
      </c>
    </row>
    <row r="227" spans="1:23" ht="10.5" customHeight="1" x14ac:dyDescent="0.25">
      <c r="A227" s="19">
        <v>46033</v>
      </c>
      <c r="B227" s="20" t="str">
        <f t="shared" si="8"/>
        <v>11/01/2026NL300018</v>
      </c>
      <c r="C227" s="21" t="s">
        <v>857</v>
      </c>
      <c r="D227" s="21" t="s">
        <v>819</v>
      </c>
      <c r="E227" s="20" t="s">
        <v>820</v>
      </c>
      <c r="F227" s="20" t="s">
        <v>821</v>
      </c>
      <c r="G227" s="20" t="s">
        <v>858</v>
      </c>
      <c r="H227" s="20" t="s">
        <v>294</v>
      </c>
      <c r="I227" s="20" t="s">
        <v>830</v>
      </c>
      <c r="J227" s="20" t="s">
        <v>190</v>
      </c>
      <c r="K227" s="22">
        <v>2.5</v>
      </c>
      <c r="L227" s="23">
        <v>38000</v>
      </c>
      <c r="M227" s="23">
        <v>0</v>
      </c>
      <c r="N227" s="24">
        <f t="shared" si="9"/>
        <v>95000</v>
      </c>
      <c r="O227" s="24">
        <v>0</v>
      </c>
      <c r="P227" s="23">
        <v>38000</v>
      </c>
      <c r="Q227" s="20" t="s">
        <v>824</v>
      </c>
      <c r="R227" s="20" t="s">
        <v>825</v>
      </c>
      <c r="S227" s="20" t="s">
        <v>12</v>
      </c>
      <c r="T227" s="20" t="s">
        <v>826</v>
      </c>
      <c r="U227" s="20" t="s">
        <v>12</v>
      </c>
      <c r="V227" s="20" t="s">
        <v>827</v>
      </c>
      <c r="W227" s="20" t="s">
        <v>827</v>
      </c>
    </row>
    <row r="228" spans="1:23" ht="10.5" customHeight="1" x14ac:dyDescent="0.25">
      <c r="A228" s="19">
        <v>46033</v>
      </c>
      <c r="B228" s="20" t="str">
        <f t="shared" si="8"/>
        <v>11/01/2026NL300084</v>
      </c>
      <c r="C228" s="21" t="s">
        <v>857</v>
      </c>
      <c r="D228" s="21" t="s">
        <v>819</v>
      </c>
      <c r="E228" s="20" t="s">
        <v>820</v>
      </c>
      <c r="F228" s="20" t="s">
        <v>821</v>
      </c>
      <c r="G228" s="20" t="s">
        <v>858</v>
      </c>
      <c r="H228" s="20" t="s">
        <v>562</v>
      </c>
      <c r="I228" s="20" t="s">
        <v>563</v>
      </c>
      <c r="J228" s="20" t="s">
        <v>190</v>
      </c>
      <c r="K228" s="22">
        <v>0</v>
      </c>
      <c r="L228" s="23">
        <v>22000</v>
      </c>
      <c r="M228" s="23">
        <v>0</v>
      </c>
      <c r="N228" s="24">
        <f t="shared" si="9"/>
        <v>0</v>
      </c>
      <c r="O228" s="24">
        <v>0</v>
      </c>
      <c r="P228" s="23">
        <v>22000</v>
      </c>
      <c r="Q228" s="20" t="s">
        <v>824</v>
      </c>
      <c r="R228" s="20" t="s">
        <v>825</v>
      </c>
      <c r="S228" s="20" t="s">
        <v>12</v>
      </c>
      <c r="T228" s="20" t="s">
        <v>826</v>
      </c>
      <c r="U228" s="20" t="s">
        <v>12</v>
      </c>
      <c r="V228" s="20" t="s">
        <v>827</v>
      </c>
      <c r="W228" s="20" t="s">
        <v>827</v>
      </c>
    </row>
    <row r="229" spans="1:23" ht="10.5" customHeight="1" x14ac:dyDescent="0.25">
      <c r="A229" s="19">
        <v>46033</v>
      </c>
      <c r="B229" s="20" t="str">
        <f t="shared" si="8"/>
        <v>11/01/2026NL300096</v>
      </c>
      <c r="C229" s="21" t="s">
        <v>857</v>
      </c>
      <c r="D229" s="21" t="s">
        <v>819</v>
      </c>
      <c r="E229" s="20" t="s">
        <v>820</v>
      </c>
      <c r="F229" s="20" t="s">
        <v>821</v>
      </c>
      <c r="G229" s="20" t="s">
        <v>858</v>
      </c>
      <c r="H229" s="20" t="s">
        <v>586</v>
      </c>
      <c r="I229" s="20" t="s">
        <v>43</v>
      </c>
      <c r="J229" s="20" t="s">
        <v>190</v>
      </c>
      <c r="K229" s="22">
        <v>0</v>
      </c>
      <c r="L229" s="23">
        <v>45000</v>
      </c>
      <c r="M229" s="23">
        <v>0</v>
      </c>
      <c r="N229" s="24">
        <f t="shared" si="9"/>
        <v>0</v>
      </c>
      <c r="O229" s="24">
        <v>0</v>
      </c>
      <c r="P229" s="23">
        <v>45000</v>
      </c>
      <c r="Q229" s="20" t="s">
        <v>824</v>
      </c>
      <c r="R229" s="20" t="s">
        <v>825</v>
      </c>
      <c r="S229" s="20" t="s">
        <v>12</v>
      </c>
      <c r="T229" s="20" t="s">
        <v>826</v>
      </c>
      <c r="U229" s="20" t="s">
        <v>12</v>
      </c>
      <c r="V229" s="20" t="s">
        <v>827</v>
      </c>
      <c r="W229" s="20" t="s">
        <v>827</v>
      </c>
    </row>
    <row r="230" spans="1:23" ht="10.5" customHeight="1" x14ac:dyDescent="0.25">
      <c r="A230" s="19">
        <v>46033</v>
      </c>
      <c r="B230" s="20" t="str">
        <f t="shared" si="8"/>
        <v>11/01/2026NL300098</v>
      </c>
      <c r="C230" s="21" t="s">
        <v>857</v>
      </c>
      <c r="D230" s="21" t="s">
        <v>819</v>
      </c>
      <c r="E230" s="20" t="s">
        <v>820</v>
      </c>
      <c r="F230" s="20" t="s">
        <v>821</v>
      </c>
      <c r="G230" s="20" t="s">
        <v>858</v>
      </c>
      <c r="H230" s="20" t="s">
        <v>590</v>
      </c>
      <c r="I230" s="20" t="s">
        <v>591</v>
      </c>
      <c r="J230" s="20" t="s">
        <v>190</v>
      </c>
      <c r="K230" s="22">
        <v>0</v>
      </c>
      <c r="L230" s="23">
        <v>95000</v>
      </c>
      <c r="M230" s="23">
        <v>0</v>
      </c>
      <c r="N230" s="24">
        <f t="shared" si="9"/>
        <v>0</v>
      </c>
      <c r="O230" s="24">
        <v>0</v>
      </c>
      <c r="P230" s="23">
        <v>95000</v>
      </c>
      <c r="Q230" s="20" t="s">
        <v>824</v>
      </c>
      <c r="R230" s="20" t="s">
        <v>825</v>
      </c>
      <c r="S230" s="20" t="s">
        <v>12</v>
      </c>
      <c r="T230" s="20" t="s">
        <v>826</v>
      </c>
      <c r="U230" s="20" t="s">
        <v>12</v>
      </c>
      <c r="V230" s="20" t="s">
        <v>827</v>
      </c>
      <c r="W230" s="20" t="s">
        <v>827</v>
      </c>
    </row>
    <row r="231" spans="1:23" ht="10.5" customHeight="1" x14ac:dyDescent="0.25">
      <c r="A231" s="19">
        <v>46033</v>
      </c>
      <c r="B231" s="20" t="str">
        <f t="shared" si="8"/>
        <v>11/01/2026NL300147</v>
      </c>
      <c r="C231" s="21" t="s">
        <v>857</v>
      </c>
      <c r="D231" s="21" t="s">
        <v>819</v>
      </c>
      <c r="E231" s="20" t="s">
        <v>820</v>
      </c>
      <c r="F231" s="20" t="s">
        <v>821</v>
      </c>
      <c r="G231" s="20" t="s">
        <v>858</v>
      </c>
      <c r="H231" s="20" t="s">
        <v>790</v>
      </c>
      <c r="I231" s="20" t="s">
        <v>791</v>
      </c>
      <c r="J231" s="20" t="s">
        <v>190</v>
      </c>
      <c r="K231" s="22">
        <v>0</v>
      </c>
      <c r="L231" s="23">
        <v>62000</v>
      </c>
      <c r="M231" s="23">
        <v>0</v>
      </c>
      <c r="N231" s="24">
        <f t="shared" si="9"/>
        <v>0</v>
      </c>
      <c r="O231" s="24">
        <v>0</v>
      </c>
      <c r="P231" s="23">
        <v>62000</v>
      </c>
      <c r="Q231" s="20" t="s">
        <v>824</v>
      </c>
      <c r="R231" s="20" t="s">
        <v>825</v>
      </c>
      <c r="S231" s="20" t="s">
        <v>12</v>
      </c>
      <c r="T231" s="20" t="s">
        <v>826</v>
      </c>
      <c r="U231" s="20" t="s">
        <v>12</v>
      </c>
      <c r="V231" s="20" t="s">
        <v>827</v>
      </c>
      <c r="W231" s="20" t="s">
        <v>827</v>
      </c>
    </row>
    <row r="232" spans="1:23" ht="10.5" customHeight="1" x14ac:dyDescent="0.25">
      <c r="A232" s="19">
        <v>46034</v>
      </c>
      <c r="B232" s="20" t="str">
        <f t="shared" si="8"/>
        <v>12/01/2026NL300013</v>
      </c>
      <c r="C232" s="21" t="s">
        <v>859</v>
      </c>
      <c r="D232" s="21" t="s">
        <v>819</v>
      </c>
      <c r="E232" s="20" t="s">
        <v>820</v>
      </c>
      <c r="F232" s="20" t="s">
        <v>821</v>
      </c>
      <c r="G232" s="20" t="s">
        <v>860</v>
      </c>
      <c r="H232" s="20" t="s">
        <v>236</v>
      </c>
      <c r="I232" s="20" t="s">
        <v>65</v>
      </c>
      <c r="J232" s="20" t="s">
        <v>190</v>
      </c>
      <c r="K232" s="22">
        <v>1.2</v>
      </c>
      <c r="L232" s="23">
        <v>50000</v>
      </c>
      <c r="M232" s="23">
        <v>0</v>
      </c>
      <c r="N232" s="24">
        <f t="shared" si="9"/>
        <v>60000</v>
      </c>
      <c r="O232" s="24">
        <v>0</v>
      </c>
      <c r="P232" s="23">
        <v>50000</v>
      </c>
      <c r="Q232" s="20" t="s">
        <v>824</v>
      </c>
      <c r="R232" s="20" t="s">
        <v>825</v>
      </c>
      <c r="S232" s="20" t="s">
        <v>12</v>
      </c>
      <c r="T232" s="20" t="s">
        <v>826</v>
      </c>
      <c r="U232" s="20" t="s">
        <v>12</v>
      </c>
      <c r="V232" s="20" t="s">
        <v>827</v>
      </c>
      <c r="W232" s="20" t="s">
        <v>827</v>
      </c>
    </row>
    <row r="233" spans="1:23" ht="10.5" customHeight="1" x14ac:dyDescent="0.25">
      <c r="A233" s="19">
        <v>46034</v>
      </c>
      <c r="B233" s="20" t="str">
        <f t="shared" si="8"/>
        <v>12/01/2026NL300018</v>
      </c>
      <c r="C233" s="21" t="s">
        <v>859</v>
      </c>
      <c r="D233" s="21" t="s">
        <v>819</v>
      </c>
      <c r="E233" s="20" t="s">
        <v>820</v>
      </c>
      <c r="F233" s="20" t="s">
        <v>821</v>
      </c>
      <c r="G233" s="20" t="s">
        <v>860</v>
      </c>
      <c r="H233" s="20" t="s">
        <v>294</v>
      </c>
      <c r="I233" s="20" t="s">
        <v>830</v>
      </c>
      <c r="J233" s="20" t="s">
        <v>190</v>
      </c>
      <c r="K233" s="22">
        <v>2</v>
      </c>
      <c r="L233" s="23">
        <v>38000</v>
      </c>
      <c r="M233" s="23">
        <v>0</v>
      </c>
      <c r="N233" s="24">
        <f t="shared" si="9"/>
        <v>76000</v>
      </c>
      <c r="O233" s="24">
        <v>0</v>
      </c>
      <c r="P233" s="23">
        <v>38000</v>
      </c>
      <c r="Q233" s="20" t="s">
        <v>824</v>
      </c>
      <c r="R233" s="20" t="s">
        <v>825</v>
      </c>
      <c r="S233" s="20" t="s">
        <v>12</v>
      </c>
      <c r="T233" s="20" t="s">
        <v>826</v>
      </c>
      <c r="U233" s="20" t="s">
        <v>12</v>
      </c>
      <c r="V233" s="20" t="s">
        <v>827</v>
      </c>
      <c r="W233" s="20" t="s">
        <v>827</v>
      </c>
    </row>
    <row r="234" spans="1:23" ht="10.5" customHeight="1" x14ac:dyDescent="0.25">
      <c r="A234" s="19">
        <v>46034</v>
      </c>
      <c r="B234" s="20" t="str">
        <f t="shared" si="8"/>
        <v>12/01/2026NL300022</v>
      </c>
      <c r="C234" s="21" t="s">
        <v>859</v>
      </c>
      <c r="D234" s="21" t="s">
        <v>819</v>
      </c>
      <c r="E234" s="20" t="s">
        <v>820</v>
      </c>
      <c r="F234" s="20" t="s">
        <v>821</v>
      </c>
      <c r="G234" s="20" t="s">
        <v>860</v>
      </c>
      <c r="H234" s="20" t="s">
        <v>305</v>
      </c>
      <c r="I234" s="20" t="s">
        <v>67</v>
      </c>
      <c r="J234" s="20" t="s">
        <v>190</v>
      </c>
      <c r="K234" s="22">
        <v>8.4</v>
      </c>
      <c r="L234" s="23">
        <v>18000</v>
      </c>
      <c r="M234" s="23">
        <v>0</v>
      </c>
      <c r="N234" s="24">
        <f t="shared" si="9"/>
        <v>151200</v>
      </c>
      <c r="O234" s="24">
        <v>0</v>
      </c>
      <c r="P234" s="23">
        <v>18000</v>
      </c>
      <c r="Q234" s="20" t="s">
        <v>824</v>
      </c>
      <c r="R234" s="20" t="s">
        <v>825</v>
      </c>
      <c r="S234" s="20" t="s">
        <v>12</v>
      </c>
      <c r="T234" s="20" t="s">
        <v>826</v>
      </c>
      <c r="U234" s="20" t="s">
        <v>12</v>
      </c>
      <c r="V234" s="20" t="s">
        <v>827</v>
      </c>
      <c r="W234" s="20" t="s">
        <v>827</v>
      </c>
    </row>
    <row r="235" spans="1:23" ht="10.5" customHeight="1" x14ac:dyDescent="0.25">
      <c r="A235" s="19">
        <v>46034</v>
      </c>
      <c r="B235" s="20" t="str">
        <f t="shared" si="8"/>
        <v>12/01/2026NL300036</v>
      </c>
      <c r="C235" s="21" t="s">
        <v>859</v>
      </c>
      <c r="D235" s="21" t="s">
        <v>819</v>
      </c>
      <c r="E235" s="20" t="s">
        <v>820</v>
      </c>
      <c r="F235" s="20" t="s">
        <v>821</v>
      </c>
      <c r="G235" s="20" t="s">
        <v>860</v>
      </c>
      <c r="H235" s="20" t="s">
        <v>357</v>
      </c>
      <c r="I235" s="20" t="s">
        <v>17</v>
      </c>
      <c r="J235" s="20" t="s">
        <v>190</v>
      </c>
      <c r="K235" s="22">
        <v>0.6</v>
      </c>
      <c r="L235" s="23">
        <v>47000</v>
      </c>
      <c r="M235" s="23">
        <v>0</v>
      </c>
      <c r="N235" s="24">
        <f t="shared" si="9"/>
        <v>28200</v>
      </c>
      <c r="O235" s="24">
        <v>0</v>
      </c>
      <c r="P235" s="23">
        <v>47000</v>
      </c>
      <c r="Q235" s="20" t="s">
        <v>824</v>
      </c>
      <c r="R235" s="20" t="s">
        <v>825</v>
      </c>
      <c r="S235" s="20" t="s">
        <v>12</v>
      </c>
      <c r="T235" s="20" t="s">
        <v>826</v>
      </c>
      <c r="U235" s="20" t="s">
        <v>12</v>
      </c>
      <c r="V235" s="20" t="s">
        <v>827</v>
      </c>
      <c r="W235" s="20" t="s">
        <v>827</v>
      </c>
    </row>
    <row r="236" spans="1:23" ht="10.5" customHeight="1" x14ac:dyDescent="0.25">
      <c r="A236" s="19">
        <v>46034</v>
      </c>
      <c r="B236" s="20" t="str">
        <f t="shared" si="8"/>
        <v>12/01/2026NL300074</v>
      </c>
      <c r="C236" s="21" t="s">
        <v>859</v>
      </c>
      <c r="D236" s="21" t="s">
        <v>819</v>
      </c>
      <c r="E236" s="20" t="s">
        <v>820</v>
      </c>
      <c r="F236" s="20" t="s">
        <v>821</v>
      </c>
      <c r="G236" s="20" t="s">
        <v>860</v>
      </c>
      <c r="H236" s="20" t="s">
        <v>503</v>
      </c>
      <c r="I236" s="20" t="s">
        <v>73</v>
      </c>
      <c r="J236" s="20" t="s">
        <v>190</v>
      </c>
      <c r="K236" s="22">
        <v>0.5</v>
      </c>
      <c r="L236" s="23">
        <v>18000</v>
      </c>
      <c r="M236" s="23">
        <v>0</v>
      </c>
      <c r="N236" s="24">
        <f t="shared" si="9"/>
        <v>9000</v>
      </c>
      <c r="O236" s="24">
        <v>0</v>
      </c>
      <c r="P236" s="23">
        <v>18000</v>
      </c>
      <c r="Q236" s="20" t="s">
        <v>824</v>
      </c>
      <c r="R236" s="20" t="s">
        <v>825</v>
      </c>
      <c r="S236" s="20" t="s">
        <v>12</v>
      </c>
      <c r="T236" s="20" t="s">
        <v>826</v>
      </c>
      <c r="U236" s="20" t="s">
        <v>12</v>
      </c>
      <c r="V236" s="20" t="s">
        <v>827</v>
      </c>
      <c r="W236" s="20" t="s">
        <v>827</v>
      </c>
    </row>
    <row r="237" spans="1:23" ht="10.5" customHeight="1" x14ac:dyDescent="0.25">
      <c r="A237" s="19">
        <v>46034</v>
      </c>
      <c r="B237" s="20" t="str">
        <f t="shared" si="8"/>
        <v>12/01/2026NL300084</v>
      </c>
      <c r="C237" s="21" t="s">
        <v>859</v>
      </c>
      <c r="D237" s="21" t="s">
        <v>819</v>
      </c>
      <c r="E237" s="20" t="s">
        <v>820</v>
      </c>
      <c r="F237" s="20" t="s">
        <v>821</v>
      </c>
      <c r="G237" s="20" t="s">
        <v>860</v>
      </c>
      <c r="H237" s="20" t="s">
        <v>562</v>
      </c>
      <c r="I237" s="20" t="s">
        <v>563</v>
      </c>
      <c r="J237" s="20" t="s">
        <v>190</v>
      </c>
      <c r="K237" s="22">
        <v>2</v>
      </c>
      <c r="L237" s="23">
        <v>22000</v>
      </c>
      <c r="M237" s="23">
        <v>0</v>
      </c>
      <c r="N237" s="24">
        <f t="shared" si="9"/>
        <v>44000</v>
      </c>
      <c r="O237" s="24">
        <v>0</v>
      </c>
      <c r="P237" s="23">
        <v>22000</v>
      </c>
      <c r="Q237" s="20" t="s">
        <v>824</v>
      </c>
      <c r="R237" s="20" t="s">
        <v>825</v>
      </c>
      <c r="S237" s="20" t="s">
        <v>12</v>
      </c>
      <c r="T237" s="20" t="s">
        <v>826</v>
      </c>
      <c r="U237" s="20" t="s">
        <v>12</v>
      </c>
      <c r="V237" s="20" t="s">
        <v>827</v>
      </c>
      <c r="W237" s="20" t="s">
        <v>827</v>
      </c>
    </row>
    <row r="238" spans="1:23" ht="10.5" customHeight="1" x14ac:dyDescent="0.25">
      <c r="A238" s="19">
        <v>46034</v>
      </c>
      <c r="B238" s="20" t="str">
        <f t="shared" si="8"/>
        <v>12/01/2026NL300090</v>
      </c>
      <c r="C238" s="21" t="s">
        <v>859</v>
      </c>
      <c r="D238" s="21" t="s">
        <v>819</v>
      </c>
      <c r="E238" s="20" t="s">
        <v>820</v>
      </c>
      <c r="F238" s="20" t="s">
        <v>821</v>
      </c>
      <c r="G238" s="20" t="s">
        <v>860</v>
      </c>
      <c r="H238" s="20" t="s">
        <v>578</v>
      </c>
      <c r="I238" s="20" t="s">
        <v>37</v>
      </c>
      <c r="J238" s="20" t="s">
        <v>190</v>
      </c>
      <c r="K238" s="22">
        <v>2</v>
      </c>
      <c r="L238" s="23">
        <v>145000</v>
      </c>
      <c r="M238" s="23">
        <v>0</v>
      </c>
      <c r="N238" s="24">
        <f t="shared" si="9"/>
        <v>290000</v>
      </c>
      <c r="O238" s="24">
        <v>0</v>
      </c>
      <c r="P238" s="23">
        <v>145000</v>
      </c>
      <c r="Q238" s="20" t="s">
        <v>824</v>
      </c>
      <c r="R238" s="20" t="s">
        <v>825</v>
      </c>
      <c r="S238" s="20" t="s">
        <v>12</v>
      </c>
      <c r="T238" s="20" t="s">
        <v>826</v>
      </c>
      <c r="U238" s="20" t="s">
        <v>12</v>
      </c>
      <c r="V238" s="20" t="s">
        <v>827</v>
      </c>
      <c r="W238" s="20" t="s">
        <v>827</v>
      </c>
    </row>
    <row r="239" spans="1:23" ht="10.5" customHeight="1" x14ac:dyDescent="0.25">
      <c r="A239" s="19">
        <v>46034</v>
      </c>
      <c r="B239" s="20" t="str">
        <f t="shared" si="8"/>
        <v>12/01/2026NL300091</v>
      </c>
      <c r="C239" s="21" t="s">
        <v>859</v>
      </c>
      <c r="D239" s="21" t="s">
        <v>819</v>
      </c>
      <c r="E239" s="20" t="s">
        <v>820</v>
      </c>
      <c r="F239" s="20" t="s">
        <v>821</v>
      </c>
      <c r="G239" s="20" t="s">
        <v>860</v>
      </c>
      <c r="H239" s="20" t="s">
        <v>580</v>
      </c>
      <c r="I239" s="20" t="s">
        <v>39</v>
      </c>
      <c r="J239" s="20" t="s">
        <v>190</v>
      </c>
      <c r="K239" s="22">
        <v>4</v>
      </c>
      <c r="L239" s="23">
        <v>47000</v>
      </c>
      <c r="M239" s="23">
        <v>0</v>
      </c>
      <c r="N239" s="24">
        <f t="shared" si="9"/>
        <v>188000</v>
      </c>
      <c r="O239" s="24">
        <v>0</v>
      </c>
      <c r="P239" s="23">
        <v>47000</v>
      </c>
      <c r="Q239" s="20" t="s">
        <v>824</v>
      </c>
      <c r="R239" s="20" t="s">
        <v>825</v>
      </c>
      <c r="S239" s="20" t="s">
        <v>12</v>
      </c>
      <c r="T239" s="20" t="s">
        <v>826</v>
      </c>
      <c r="U239" s="20" t="s">
        <v>12</v>
      </c>
      <c r="V239" s="20" t="s">
        <v>827</v>
      </c>
      <c r="W239" s="20" t="s">
        <v>827</v>
      </c>
    </row>
    <row r="240" spans="1:23" ht="10.5" customHeight="1" x14ac:dyDescent="0.25">
      <c r="A240" s="19">
        <v>46034</v>
      </c>
      <c r="B240" s="20" t="str">
        <f t="shared" si="8"/>
        <v>12/01/2026NL300096</v>
      </c>
      <c r="C240" s="21" t="s">
        <v>859</v>
      </c>
      <c r="D240" s="21" t="s">
        <v>819</v>
      </c>
      <c r="E240" s="20" t="s">
        <v>820</v>
      </c>
      <c r="F240" s="20" t="s">
        <v>821</v>
      </c>
      <c r="G240" s="20" t="s">
        <v>860</v>
      </c>
      <c r="H240" s="20" t="s">
        <v>586</v>
      </c>
      <c r="I240" s="20" t="s">
        <v>43</v>
      </c>
      <c r="J240" s="20" t="s">
        <v>190</v>
      </c>
      <c r="K240" s="22">
        <v>4</v>
      </c>
      <c r="L240" s="23">
        <v>45000</v>
      </c>
      <c r="M240" s="23">
        <v>0</v>
      </c>
      <c r="N240" s="24">
        <f t="shared" si="9"/>
        <v>180000</v>
      </c>
      <c r="O240" s="24">
        <v>0</v>
      </c>
      <c r="P240" s="23">
        <v>45000</v>
      </c>
      <c r="Q240" s="20" t="s">
        <v>824</v>
      </c>
      <c r="R240" s="20" t="s">
        <v>825</v>
      </c>
      <c r="S240" s="20" t="s">
        <v>12</v>
      </c>
      <c r="T240" s="20" t="s">
        <v>826</v>
      </c>
      <c r="U240" s="20" t="s">
        <v>12</v>
      </c>
      <c r="V240" s="20" t="s">
        <v>827</v>
      </c>
      <c r="W240" s="20" t="s">
        <v>827</v>
      </c>
    </row>
    <row r="241" spans="1:23" ht="10.5" customHeight="1" x14ac:dyDescent="0.25">
      <c r="A241" s="19">
        <v>46034</v>
      </c>
      <c r="B241" s="20" t="str">
        <f t="shared" si="8"/>
        <v>12/01/2026NL300098</v>
      </c>
      <c r="C241" s="21" t="s">
        <v>859</v>
      </c>
      <c r="D241" s="21" t="s">
        <v>819</v>
      </c>
      <c r="E241" s="20" t="s">
        <v>820</v>
      </c>
      <c r="F241" s="20" t="s">
        <v>821</v>
      </c>
      <c r="G241" s="20" t="s">
        <v>860</v>
      </c>
      <c r="H241" s="20" t="s">
        <v>590</v>
      </c>
      <c r="I241" s="20" t="s">
        <v>591</v>
      </c>
      <c r="J241" s="20" t="s">
        <v>190</v>
      </c>
      <c r="K241" s="22">
        <v>2</v>
      </c>
      <c r="L241" s="23">
        <v>95000</v>
      </c>
      <c r="M241" s="23">
        <v>0</v>
      </c>
      <c r="N241" s="24">
        <f t="shared" si="9"/>
        <v>190000</v>
      </c>
      <c r="O241" s="24">
        <v>0</v>
      </c>
      <c r="P241" s="23">
        <v>95000</v>
      </c>
      <c r="Q241" s="20" t="s">
        <v>824</v>
      </c>
      <c r="R241" s="20" t="s">
        <v>825</v>
      </c>
      <c r="S241" s="20" t="s">
        <v>12</v>
      </c>
      <c r="T241" s="20" t="s">
        <v>826</v>
      </c>
      <c r="U241" s="20" t="s">
        <v>12</v>
      </c>
      <c r="V241" s="20" t="s">
        <v>827</v>
      </c>
      <c r="W241" s="20" t="s">
        <v>827</v>
      </c>
    </row>
    <row r="242" spans="1:23" ht="10.5" customHeight="1" x14ac:dyDescent="0.25">
      <c r="A242" s="19">
        <v>46034</v>
      </c>
      <c r="B242" s="20" t="str">
        <f t="shared" si="8"/>
        <v>12/01/2026NL300107</v>
      </c>
      <c r="C242" s="21" t="s">
        <v>859</v>
      </c>
      <c r="D242" s="21" t="s">
        <v>819</v>
      </c>
      <c r="E242" s="20" t="s">
        <v>820</v>
      </c>
      <c r="F242" s="20" t="s">
        <v>821</v>
      </c>
      <c r="G242" s="20" t="s">
        <v>860</v>
      </c>
      <c r="H242" s="20" t="s">
        <v>616</v>
      </c>
      <c r="I242" s="20" t="s">
        <v>828</v>
      </c>
      <c r="J242" s="20" t="s">
        <v>385</v>
      </c>
      <c r="K242" s="22">
        <v>3</v>
      </c>
      <c r="L242" s="23">
        <v>8500</v>
      </c>
      <c r="M242" s="23">
        <v>0</v>
      </c>
      <c r="N242" s="24">
        <f t="shared" si="9"/>
        <v>25500</v>
      </c>
      <c r="O242" s="24">
        <v>0</v>
      </c>
      <c r="P242" s="23">
        <v>8500</v>
      </c>
      <c r="Q242" s="20" t="s">
        <v>824</v>
      </c>
      <c r="R242" s="20" t="s">
        <v>825</v>
      </c>
      <c r="S242" s="20" t="s">
        <v>12</v>
      </c>
      <c r="T242" s="20" t="s">
        <v>826</v>
      </c>
      <c r="U242" s="20" t="s">
        <v>12</v>
      </c>
      <c r="V242" s="20" t="s">
        <v>827</v>
      </c>
      <c r="W242" s="20" t="s">
        <v>827</v>
      </c>
    </row>
    <row r="243" spans="1:23" ht="10.5" customHeight="1" x14ac:dyDescent="0.25">
      <c r="A243" s="19">
        <v>46034</v>
      </c>
      <c r="B243" s="20" t="str">
        <f t="shared" si="8"/>
        <v>12/01/2026NL300113</v>
      </c>
      <c r="C243" s="21" t="s">
        <v>859</v>
      </c>
      <c r="D243" s="21" t="s">
        <v>819</v>
      </c>
      <c r="E243" s="20" t="s">
        <v>820</v>
      </c>
      <c r="F243" s="20" t="s">
        <v>821</v>
      </c>
      <c r="G243" s="20" t="s">
        <v>860</v>
      </c>
      <c r="H243" s="20" t="s">
        <v>627</v>
      </c>
      <c r="I243" s="20" t="s">
        <v>30</v>
      </c>
      <c r="J243" s="20" t="s">
        <v>190</v>
      </c>
      <c r="K243" s="22">
        <v>0.3</v>
      </c>
      <c r="L243" s="23">
        <v>145000</v>
      </c>
      <c r="M243" s="23">
        <v>0</v>
      </c>
      <c r="N243" s="24">
        <f t="shared" si="9"/>
        <v>43500</v>
      </c>
      <c r="O243" s="24">
        <v>0</v>
      </c>
      <c r="P243" s="23">
        <v>145000</v>
      </c>
      <c r="Q243" s="20" t="s">
        <v>824</v>
      </c>
      <c r="R243" s="20" t="s">
        <v>825</v>
      </c>
      <c r="S243" s="20" t="s">
        <v>12</v>
      </c>
      <c r="T243" s="20" t="s">
        <v>826</v>
      </c>
      <c r="U243" s="20" t="s">
        <v>12</v>
      </c>
      <c r="V243" s="20" t="s">
        <v>827</v>
      </c>
      <c r="W243" s="20" t="s">
        <v>827</v>
      </c>
    </row>
    <row r="244" spans="1:23" ht="10.5" customHeight="1" x14ac:dyDescent="0.25">
      <c r="A244" s="19">
        <v>46034</v>
      </c>
      <c r="B244" s="20" t="str">
        <f t="shared" si="8"/>
        <v>12/01/2026NL300126</v>
      </c>
      <c r="C244" s="21" t="s">
        <v>859</v>
      </c>
      <c r="D244" s="21" t="s">
        <v>819</v>
      </c>
      <c r="E244" s="20" t="s">
        <v>820</v>
      </c>
      <c r="F244" s="20" t="s">
        <v>821</v>
      </c>
      <c r="G244" s="20" t="s">
        <v>860</v>
      </c>
      <c r="H244" s="20" t="s">
        <v>704</v>
      </c>
      <c r="I244" s="20" t="s">
        <v>705</v>
      </c>
      <c r="J244" s="20" t="s">
        <v>190</v>
      </c>
      <c r="K244" s="22">
        <v>0.1</v>
      </c>
      <c r="L244" s="23">
        <v>70000</v>
      </c>
      <c r="M244" s="23">
        <v>0</v>
      </c>
      <c r="N244" s="24">
        <f t="shared" si="9"/>
        <v>7000</v>
      </c>
      <c r="O244" s="24">
        <v>0</v>
      </c>
      <c r="P244" s="23">
        <v>70000</v>
      </c>
      <c r="Q244" s="20" t="s">
        <v>824</v>
      </c>
      <c r="R244" s="20" t="s">
        <v>825</v>
      </c>
      <c r="S244" s="20" t="s">
        <v>12</v>
      </c>
      <c r="T244" s="20" t="s">
        <v>826</v>
      </c>
      <c r="U244" s="20" t="s">
        <v>12</v>
      </c>
      <c r="V244" s="20" t="s">
        <v>827</v>
      </c>
      <c r="W244" s="20" t="s">
        <v>827</v>
      </c>
    </row>
    <row r="245" spans="1:23" ht="10.5" customHeight="1" x14ac:dyDescent="0.25">
      <c r="A245" s="19">
        <v>46034</v>
      </c>
      <c r="B245" s="20" t="str">
        <f t="shared" ref="B245:B303" si="10">""&amp;DAY(A245)&amp;"/01/2026"&amp;H245</f>
        <v>12/01/2026NL300142</v>
      </c>
      <c r="C245" s="21" t="s">
        <v>859</v>
      </c>
      <c r="D245" s="21" t="s">
        <v>819</v>
      </c>
      <c r="E245" s="20" t="s">
        <v>820</v>
      </c>
      <c r="F245" s="20" t="s">
        <v>821</v>
      </c>
      <c r="G245" s="20" t="s">
        <v>860</v>
      </c>
      <c r="H245" s="20" t="s">
        <v>766</v>
      </c>
      <c r="I245" s="20" t="s">
        <v>829</v>
      </c>
      <c r="J245" s="20" t="s">
        <v>190</v>
      </c>
      <c r="K245" s="22">
        <v>0.8</v>
      </c>
      <c r="L245" s="23">
        <v>50000</v>
      </c>
      <c r="M245" s="23">
        <v>0</v>
      </c>
      <c r="N245" s="24">
        <f t="shared" si="9"/>
        <v>40000</v>
      </c>
      <c r="O245" s="24">
        <v>0</v>
      </c>
      <c r="P245" s="23">
        <v>50000</v>
      </c>
      <c r="Q245" s="20" t="s">
        <v>824</v>
      </c>
      <c r="R245" s="20" t="s">
        <v>825</v>
      </c>
      <c r="S245" s="20" t="s">
        <v>12</v>
      </c>
      <c r="T245" s="20" t="s">
        <v>826</v>
      </c>
      <c r="U245" s="20" t="s">
        <v>12</v>
      </c>
      <c r="V245" s="20" t="s">
        <v>827</v>
      </c>
      <c r="W245" s="20" t="s">
        <v>827</v>
      </c>
    </row>
    <row r="246" spans="1:23" ht="10.5" customHeight="1" x14ac:dyDescent="0.25">
      <c r="A246" s="19">
        <v>46034</v>
      </c>
      <c r="B246" s="20" t="str">
        <f t="shared" si="10"/>
        <v>12/01/2026NL300147</v>
      </c>
      <c r="C246" s="21" t="s">
        <v>859</v>
      </c>
      <c r="D246" s="21" t="s">
        <v>819</v>
      </c>
      <c r="E246" s="20" t="s">
        <v>820</v>
      </c>
      <c r="F246" s="20" t="s">
        <v>821</v>
      </c>
      <c r="G246" s="20" t="s">
        <v>860</v>
      </c>
      <c r="H246" s="20" t="s">
        <v>790</v>
      </c>
      <c r="I246" s="20" t="s">
        <v>791</v>
      </c>
      <c r="J246" s="20" t="s">
        <v>190</v>
      </c>
      <c r="K246" s="22">
        <v>4.9000000000000004</v>
      </c>
      <c r="L246" s="23">
        <v>62000</v>
      </c>
      <c r="M246" s="23">
        <v>0</v>
      </c>
      <c r="N246" s="24">
        <f t="shared" si="9"/>
        <v>303800</v>
      </c>
      <c r="O246" s="24">
        <v>0</v>
      </c>
      <c r="P246" s="23">
        <v>62000</v>
      </c>
      <c r="Q246" s="20" t="s">
        <v>824</v>
      </c>
      <c r="R246" s="20" t="s">
        <v>825</v>
      </c>
      <c r="S246" s="20" t="s">
        <v>12</v>
      </c>
      <c r="T246" s="20" t="s">
        <v>826</v>
      </c>
      <c r="U246" s="20" t="s">
        <v>12</v>
      </c>
      <c r="V246" s="20" t="s">
        <v>827</v>
      </c>
      <c r="W246" s="20" t="s">
        <v>827</v>
      </c>
    </row>
    <row r="247" spans="1:23" ht="10.5" customHeight="1" x14ac:dyDescent="0.25">
      <c r="A247" s="19">
        <v>46034</v>
      </c>
      <c r="B247" s="20" t="str">
        <f t="shared" si="10"/>
        <v>12/01/2026NL300203</v>
      </c>
      <c r="C247" s="21" t="s">
        <v>859</v>
      </c>
      <c r="D247" s="21" t="s">
        <v>819</v>
      </c>
      <c r="E247" s="20" t="s">
        <v>820</v>
      </c>
      <c r="F247" s="20" t="s">
        <v>821</v>
      </c>
      <c r="G247" s="20" t="s">
        <v>860</v>
      </c>
      <c r="H247" s="20" t="s">
        <v>346</v>
      </c>
      <c r="I247" s="20" t="s">
        <v>347</v>
      </c>
      <c r="J247" s="20" t="s">
        <v>190</v>
      </c>
      <c r="K247" s="22">
        <v>1</v>
      </c>
      <c r="L247" s="23">
        <v>45000</v>
      </c>
      <c r="M247" s="23">
        <v>0</v>
      </c>
      <c r="N247" s="24">
        <f t="shared" si="9"/>
        <v>45000</v>
      </c>
      <c r="O247" s="24">
        <v>0</v>
      </c>
      <c r="P247" s="23">
        <v>45000</v>
      </c>
      <c r="Q247" s="20" t="s">
        <v>824</v>
      </c>
      <c r="R247" s="20" t="s">
        <v>825</v>
      </c>
      <c r="S247" s="20" t="s">
        <v>12</v>
      </c>
      <c r="T247" s="20" t="s">
        <v>826</v>
      </c>
      <c r="U247" s="20" t="s">
        <v>12</v>
      </c>
      <c r="V247" s="20" t="s">
        <v>827</v>
      </c>
      <c r="W247" s="20" t="s">
        <v>827</v>
      </c>
    </row>
    <row r="248" spans="1:23" ht="10.5" customHeight="1" x14ac:dyDescent="0.25">
      <c r="A248" s="19">
        <v>46034</v>
      </c>
      <c r="B248" s="20" t="str">
        <f t="shared" si="10"/>
        <v>12/01/2026NL300209</v>
      </c>
      <c r="C248" s="21" t="s">
        <v>859</v>
      </c>
      <c r="D248" s="21" t="s">
        <v>819</v>
      </c>
      <c r="E248" s="20" t="s">
        <v>820</v>
      </c>
      <c r="F248" s="20" t="s">
        <v>821</v>
      </c>
      <c r="G248" s="20" t="s">
        <v>860</v>
      </c>
      <c r="H248" s="20" t="s">
        <v>797</v>
      </c>
      <c r="I248" s="20" t="s">
        <v>798</v>
      </c>
      <c r="J248" s="20" t="s">
        <v>190</v>
      </c>
      <c r="K248" s="22">
        <v>1.4</v>
      </c>
      <c r="L248" s="23">
        <v>30000</v>
      </c>
      <c r="M248" s="23">
        <v>0</v>
      </c>
      <c r="N248" s="24">
        <f t="shared" si="9"/>
        <v>42000</v>
      </c>
      <c r="O248" s="24">
        <v>0</v>
      </c>
      <c r="P248" s="23">
        <v>30000</v>
      </c>
      <c r="Q248" s="20" t="s">
        <v>824</v>
      </c>
      <c r="R248" s="20" t="s">
        <v>825</v>
      </c>
      <c r="S248" s="20" t="s">
        <v>12</v>
      </c>
      <c r="T248" s="20" t="s">
        <v>826</v>
      </c>
      <c r="U248" s="20" t="s">
        <v>12</v>
      </c>
      <c r="V248" s="20" t="s">
        <v>827</v>
      </c>
      <c r="W248" s="20" t="s">
        <v>827</v>
      </c>
    </row>
    <row r="249" spans="1:23" ht="10.5" customHeight="1" x14ac:dyDescent="0.25">
      <c r="A249" s="19">
        <v>46034</v>
      </c>
      <c r="B249" s="20" t="str">
        <f t="shared" si="10"/>
        <v>12/01/2026NL300029</v>
      </c>
      <c r="C249" s="21" t="s">
        <v>859</v>
      </c>
      <c r="D249" s="21" t="s">
        <v>819</v>
      </c>
      <c r="E249" s="20" t="s">
        <v>820</v>
      </c>
      <c r="F249" s="20" t="s">
        <v>821</v>
      </c>
      <c r="G249" s="20" t="s">
        <v>860</v>
      </c>
      <c r="H249" s="20" t="s">
        <v>322</v>
      </c>
      <c r="I249" s="20" t="s">
        <v>323</v>
      </c>
      <c r="J249" s="20" t="s">
        <v>190</v>
      </c>
      <c r="K249" s="22">
        <v>0.5</v>
      </c>
      <c r="L249" s="23">
        <v>22000</v>
      </c>
      <c r="M249" s="23">
        <v>0</v>
      </c>
      <c r="N249" s="24">
        <f t="shared" si="9"/>
        <v>11000</v>
      </c>
      <c r="O249" s="24">
        <v>0</v>
      </c>
      <c r="P249" s="23">
        <v>22000</v>
      </c>
      <c r="Q249" s="20" t="s">
        <v>824</v>
      </c>
      <c r="R249" s="20" t="s">
        <v>825</v>
      </c>
      <c r="S249" s="20" t="s">
        <v>12</v>
      </c>
      <c r="T249" s="20" t="s">
        <v>826</v>
      </c>
      <c r="U249" s="20" t="s">
        <v>12</v>
      </c>
      <c r="V249" s="20" t="s">
        <v>827</v>
      </c>
      <c r="W249" s="20" t="s">
        <v>827</v>
      </c>
    </row>
    <row r="250" spans="1:23" ht="10.5" customHeight="1" x14ac:dyDescent="0.25">
      <c r="A250" s="19">
        <v>46034</v>
      </c>
      <c r="B250" s="20" t="str">
        <f t="shared" si="10"/>
        <v>12/01/2026NL300030</v>
      </c>
      <c r="C250" s="21" t="s">
        <v>859</v>
      </c>
      <c r="D250" s="21" t="s">
        <v>819</v>
      </c>
      <c r="E250" s="20" t="s">
        <v>820</v>
      </c>
      <c r="F250" s="20" t="s">
        <v>821</v>
      </c>
      <c r="G250" s="20" t="s">
        <v>860</v>
      </c>
      <c r="H250" s="20" t="s">
        <v>326</v>
      </c>
      <c r="I250" s="20" t="s">
        <v>834</v>
      </c>
      <c r="J250" s="20" t="s">
        <v>190</v>
      </c>
      <c r="K250" s="22">
        <v>0.5</v>
      </c>
      <c r="L250" s="23">
        <v>34000</v>
      </c>
      <c r="M250" s="23">
        <v>0</v>
      </c>
      <c r="N250" s="24">
        <f t="shared" si="9"/>
        <v>17000</v>
      </c>
      <c r="O250" s="24">
        <v>0</v>
      </c>
      <c r="P250" s="23">
        <v>34000</v>
      </c>
      <c r="Q250" s="20" t="s">
        <v>824</v>
      </c>
      <c r="R250" s="20" t="s">
        <v>825</v>
      </c>
      <c r="S250" s="20" t="s">
        <v>12</v>
      </c>
      <c r="T250" s="20" t="s">
        <v>826</v>
      </c>
      <c r="U250" s="20" t="s">
        <v>12</v>
      </c>
      <c r="V250" s="20" t="s">
        <v>827</v>
      </c>
      <c r="W250" s="20" t="s">
        <v>827</v>
      </c>
    </row>
    <row r="251" spans="1:23" ht="10.5" customHeight="1" x14ac:dyDescent="0.25">
      <c r="A251" s="19">
        <v>46034</v>
      </c>
      <c r="B251" s="20" t="str">
        <f t="shared" si="10"/>
        <v>12/01/2026NL300062</v>
      </c>
      <c r="C251" s="21" t="s">
        <v>859</v>
      </c>
      <c r="D251" s="21" t="s">
        <v>819</v>
      </c>
      <c r="E251" s="20" t="s">
        <v>820</v>
      </c>
      <c r="F251" s="20" t="s">
        <v>821</v>
      </c>
      <c r="G251" s="20" t="s">
        <v>860</v>
      </c>
      <c r="H251" s="20" t="s">
        <v>468</v>
      </c>
      <c r="I251" s="20" t="s">
        <v>469</v>
      </c>
      <c r="J251" s="20" t="s">
        <v>190</v>
      </c>
      <c r="K251" s="22">
        <v>0.1</v>
      </c>
      <c r="L251" s="23">
        <v>65000</v>
      </c>
      <c r="M251" s="23">
        <v>0</v>
      </c>
      <c r="N251" s="24">
        <f t="shared" si="9"/>
        <v>6500</v>
      </c>
      <c r="O251" s="24">
        <v>0</v>
      </c>
      <c r="P251" s="23">
        <v>65000</v>
      </c>
      <c r="Q251" s="20" t="s">
        <v>824</v>
      </c>
      <c r="R251" s="20" t="s">
        <v>825</v>
      </c>
      <c r="S251" s="20" t="s">
        <v>12</v>
      </c>
      <c r="T251" s="20" t="s">
        <v>826</v>
      </c>
      <c r="U251" s="20" t="s">
        <v>12</v>
      </c>
      <c r="V251" s="20" t="s">
        <v>827</v>
      </c>
      <c r="W251" s="20" t="s">
        <v>827</v>
      </c>
    </row>
    <row r="252" spans="1:23" ht="10.5" customHeight="1" x14ac:dyDescent="0.25">
      <c r="A252" s="19">
        <v>46034</v>
      </c>
      <c r="B252" s="20" t="str">
        <f t="shared" si="10"/>
        <v>12/01/2026NL300119</v>
      </c>
      <c r="C252" s="21" t="s">
        <v>859</v>
      </c>
      <c r="D252" s="21" t="s">
        <v>819</v>
      </c>
      <c r="E252" s="20" t="s">
        <v>820</v>
      </c>
      <c r="F252" s="20" t="s">
        <v>821</v>
      </c>
      <c r="G252" s="20" t="s">
        <v>860</v>
      </c>
      <c r="H252" s="20" t="s">
        <v>652</v>
      </c>
      <c r="I252" s="20" t="s">
        <v>653</v>
      </c>
      <c r="J252" s="20" t="s">
        <v>190</v>
      </c>
      <c r="K252" s="22">
        <v>2</v>
      </c>
      <c r="L252" s="23">
        <v>21000</v>
      </c>
      <c r="M252" s="23">
        <v>0</v>
      </c>
      <c r="N252" s="24">
        <f t="shared" si="9"/>
        <v>42000</v>
      </c>
      <c r="O252" s="24">
        <v>0</v>
      </c>
      <c r="P252" s="23">
        <v>21000</v>
      </c>
      <c r="Q252" s="20" t="s">
        <v>824</v>
      </c>
      <c r="R252" s="20" t="s">
        <v>825</v>
      </c>
      <c r="S252" s="20" t="s">
        <v>12</v>
      </c>
      <c r="T252" s="20" t="s">
        <v>826</v>
      </c>
      <c r="U252" s="20" t="s">
        <v>12</v>
      </c>
      <c r="V252" s="20" t="s">
        <v>827</v>
      </c>
      <c r="W252" s="20" t="s">
        <v>827</v>
      </c>
    </row>
    <row r="253" spans="1:23" ht="10.5" customHeight="1" x14ac:dyDescent="0.25">
      <c r="A253" s="19">
        <v>46034</v>
      </c>
      <c r="B253" s="20" t="str">
        <f t="shared" si="10"/>
        <v>12/01/2026NL600004</v>
      </c>
      <c r="C253" s="21" t="s">
        <v>859</v>
      </c>
      <c r="D253" s="21" t="s">
        <v>819</v>
      </c>
      <c r="E253" s="20" t="s">
        <v>820</v>
      </c>
      <c r="F253" s="20" t="s">
        <v>821</v>
      </c>
      <c r="G253" s="20" t="s">
        <v>860</v>
      </c>
      <c r="H253" s="20" t="s">
        <v>427</v>
      </c>
      <c r="I253" s="20" t="s">
        <v>51</v>
      </c>
      <c r="J253" s="20" t="s">
        <v>190</v>
      </c>
      <c r="K253" s="22">
        <v>14</v>
      </c>
      <c r="L253" s="23">
        <v>18000</v>
      </c>
      <c r="M253" s="23">
        <v>0</v>
      </c>
      <c r="N253" s="24">
        <f t="shared" si="9"/>
        <v>252000</v>
      </c>
      <c r="O253" s="24">
        <v>0</v>
      </c>
      <c r="P253" s="23">
        <v>18000</v>
      </c>
      <c r="Q253" s="20" t="s">
        <v>824</v>
      </c>
      <c r="R253" s="20" t="s">
        <v>825</v>
      </c>
      <c r="S253" s="20" t="s">
        <v>12</v>
      </c>
      <c r="T253" s="20" t="s">
        <v>826</v>
      </c>
      <c r="U253" s="20" t="s">
        <v>12</v>
      </c>
      <c r="V253" s="20" t="s">
        <v>827</v>
      </c>
      <c r="W253" s="20" t="s">
        <v>827</v>
      </c>
    </row>
    <row r="254" spans="1:23" ht="10.5" customHeight="1" x14ac:dyDescent="0.25">
      <c r="A254" s="19">
        <v>46034</v>
      </c>
      <c r="B254" s="20" t="str">
        <f t="shared" si="10"/>
        <v>12/01/2026NL600068</v>
      </c>
      <c r="C254" s="21" t="s">
        <v>859</v>
      </c>
      <c r="D254" s="21" t="s">
        <v>819</v>
      </c>
      <c r="E254" s="20" t="s">
        <v>820</v>
      </c>
      <c r="F254" s="20" t="s">
        <v>821</v>
      </c>
      <c r="G254" s="20" t="s">
        <v>860</v>
      </c>
      <c r="H254" s="20" t="s">
        <v>324</v>
      </c>
      <c r="I254" s="20" t="s">
        <v>59</v>
      </c>
      <c r="J254" s="20" t="s">
        <v>190</v>
      </c>
      <c r="K254" s="22">
        <v>0.4</v>
      </c>
      <c r="L254" s="23">
        <v>95000</v>
      </c>
      <c r="M254" s="23">
        <v>0</v>
      </c>
      <c r="N254" s="24">
        <f t="shared" si="9"/>
        <v>38000</v>
      </c>
      <c r="O254" s="24">
        <v>0</v>
      </c>
      <c r="P254" s="23">
        <v>95000</v>
      </c>
      <c r="Q254" s="20" t="s">
        <v>824</v>
      </c>
      <c r="R254" s="20" t="s">
        <v>825</v>
      </c>
      <c r="S254" s="20" t="s">
        <v>12</v>
      </c>
      <c r="T254" s="20" t="s">
        <v>826</v>
      </c>
      <c r="U254" s="20" t="s">
        <v>12</v>
      </c>
      <c r="V254" s="20" t="s">
        <v>827</v>
      </c>
      <c r="W254" s="20" t="s">
        <v>827</v>
      </c>
    </row>
    <row r="255" spans="1:23" ht="10.5" customHeight="1" x14ac:dyDescent="0.25">
      <c r="A255" s="19">
        <v>46034</v>
      </c>
      <c r="B255" s="20" t="str">
        <f t="shared" si="10"/>
        <v>12/01/2026NL300098</v>
      </c>
      <c r="C255" s="21" t="s">
        <v>861</v>
      </c>
      <c r="D255" s="21" t="s">
        <v>819</v>
      </c>
      <c r="E255" s="20" t="s">
        <v>820</v>
      </c>
      <c r="F255" s="20" t="s">
        <v>821</v>
      </c>
      <c r="G255" s="20" t="s">
        <v>860</v>
      </c>
      <c r="H255" s="20" t="s">
        <v>590</v>
      </c>
      <c r="I255" s="20" t="s">
        <v>591</v>
      </c>
      <c r="J255" s="20" t="s">
        <v>190</v>
      </c>
      <c r="K255" s="22">
        <v>2</v>
      </c>
      <c r="L255" s="23">
        <v>95000</v>
      </c>
      <c r="M255" s="23">
        <v>0</v>
      </c>
      <c r="N255" s="24">
        <f t="shared" si="9"/>
        <v>190000</v>
      </c>
      <c r="O255" s="24">
        <v>0</v>
      </c>
      <c r="P255" s="23">
        <v>95000</v>
      </c>
      <c r="Q255" s="20" t="s">
        <v>824</v>
      </c>
      <c r="R255" s="20" t="s">
        <v>825</v>
      </c>
      <c r="S255" s="20" t="s">
        <v>12</v>
      </c>
      <c r="T255" s="20" t="s">
        <v>826</v>
      </c>
      <c r="U255" s="20" t="s">
        <v>12</v>
      </c>
      <c r="V255" s="20" t="s">
        <v>827</v>
      </c>
      <c r="W255" s="20" t="s">
        <v>827</v>
      </c>
    </row>
    <row r="256" spans="1:23" ht="10.5" customHeight="1" x14ac:dyDescent="0.25">
      <c r="A256" s="19">
        <v>46035</v>
      </c>
      <c r="B256" s="20" t="str">
        <f t="shared" si="10"/>
        <v>13/01/2026NL300062</v>
      </c>
      <c r="C256" s="21" t="s">
        <v>862</v>
      </c>
      <c r="D256" s="21" t="s">
        <v>819</v>
      </c>
      <c r="E256" s="20" t="s">
        <v>820</v>
      </c>
      <c r="F256" s="20" t="s">
        <v>821</v>
      </c>
      <c r="G256" s="20" t="s">
        <v>863</v>
      </c>
      <c r="H256" s="20" t="s">
        <v>468</v>
      </c>
      <c r="I256" s="20" t="s">
        <v>469</v>
      </c>
      <c r="J256" s="20" t="s">
        <v>190</v>
      </c>
      <c r="K256" s="22">
        <v>0.1</v>
      </c>
      <c r="L256" s="23">
        <v>65000</v>
      </c>
      <c r="M256" s="23">
        <v>0</v>
      </c>
      <c r="N256" s="24">
        <f t="shared" si="9"/>
        <v>6500</v>
      </c>
      <c r="O256" s="24">
        <v>0</v>
      </c>
      <c r="P256" s="23">
        <v>65000</v>
      </c>
      <c r="Q256" s="20" t="s">
        <v>824</v>
      </c>
      <c r="R256" s="20" t="s">
        <v>825</v>
      </c>
      <c r="S256" s="20" t="s">
        <v>12</v>
      </c>
      <c r="T256" s="20" t="s">
        <v>826</v>
      </c>
      <c r="U256" s="20" t="s">
        <v>12</v>
      </c>
      <c r="V256" s="20" t="s">
        <v>827</v>
      </c>
      <c r="W256" s="20" t="s">
        <v>827</v>
      </c>
    </row>
    <row r="257" spans="1:23" ht="10.5" customHeight="1" x14ac:dyDescent="0.25">
      <c r="A257" s="19">
        <v>46035</v>
      </c>
      <c r="B257" s="20" t="str">
        <f t="shared" si="10"/>
        <v>13/01/2026NL300119</v>
      </c>
      <c r="C257" s="21" t="s">
        <v>862</v>
      </c>
      <c r="D257" s="21" t="s">
        <v>819</v>
      </c>
      <c r="E257" s="20" t="s">
        <v>820</v>
      </c>
      <c r="F257" s="20" t="s">
        <v>821</v>
      </c>
      <c r="G257" s="20" t="s">
        <v>863</v>
      </c>
      <c r="H257" s="20" t="s">
        <v>652</v>
      </c>
      <c r="I257" s="20" t="s">
        <v>653</v>
      </c>
      <c r="J257" s="20" t="s">
        <v>190</v>
      </c>
      <c r="K257" s="22">
        <v>2.7</v>
      </c>
      <c r="L257" s="23">
        <v>21000</v>
      </c>
      <c r="M257" s="23">
        <v>0</v>
      </c>
      <c r="N257" s="24">
        <f t="shared" ref="N257:N303" si="11">L257*K257</f>
        <v>56700.000000000007</v>
      </c>
      <c r="O257" s="24">
        <v>0</v>
      </c>
      <c r="P257" s="23">
        <v>21000</v>
      </c>
      <c r="Q257" s="20" t="s">
        <v>824</v>
      </c>
      <c r="R257" s="20" t="s">
        <v>825</v>
      </c>
      <c r="S257" s="20" t="s">
        <v>12</v>
      </c>
      <c r="T257" s="20" t="s">
        <v>826</v>
      </c>
      <c r="U257" s="20" t="s">
        <v>12</v>
      </c>
      <c r="V257" s="20" t="s">
        <v>827</v>
      </c>
      <c r="W257" s="20" t="s">
        <v>827</v>
      </c>
    </row>
    <row r="258" spans="1:23" ht="10.5" customHeight="1" x14ac:dyDescent="0.25">
      <c r="A258" s="19">
        <v>46035</v>
      </c>
      <c r="B258" s="20" t="str">
        <f t="shared" si="10"/>
        <v>13/01/2026NL600004</v>
      </c>
      <c r="C258" s="21" t="s">
        <v>862</v>
      </c>
      <c r="D258" s="21" t="s">
        <v>819</v>
      </c>
      <c r="E258" s="20" t="s">
        <v>820</v>
      </c>
      <c r="F258" s="20" t="s">
        <v>821</v>
      </c>
      <c r="G258" s="20" t="s">
        <v>863</v>
      </c>
      <c r="H258" s="20" t="s">
        <v>427</v>
      </c>
      <c r="I258" s="20" t="s">
        <v>51</v>
      </c>
      <c r="J258" s="20" t="s">
        <v>190</v>
      </c>
      <c r="K258" s="22">
        <v>17.399999999999999</v>
      </c>
      <c r="L258" s="23">
        <v>18000</v>
      </c>
      <c r="M258" s="23">
        <v>0</v>
      </c>
      <c r="N258" s="24">
        <f t="shared" si="11"/>
        <v>313200</v>
      </c>
      <c r="O258" s="24">
        <v>0</v>
      </c>
      <c r="P258" s="23">
        <v>18000</v>
      </c>
      <c r="Q258" s="20" t="s">
        <v>824</v>
      </c>
      <c r="R258" s="20" t="s">
        <v>825</v>
      </c>
      <c r="S258" s="20" t="s">
        <v>12</v>
      </c>
      <c r="T258" s="20" t="s">
        <v>826</v>
      </c>
      <c r="U258" s="20" t="s">
        <v>12</v>
      </c>
      <c r="V258" s="20" t="s">
        <v>827</v>
      </c>
      <c r="W258" s="20" t="s">
        <v>827</v>
      </c>
    </row>
    <row r="259" spans="1:23" ht="10.5" customHeight="1" x14ac:dyDescent="0.25">
      <c r="A259" s="19">
        <v>46035</v>
      </c>
      <c r="B259" s="20" t="str">
        <f t="shared" si="10"/>
        <v>13/01/2026NL300018</v>
      </c>
      <c r="C259" s="21" t="s">
        <v>862</v>
      </c>
      <c r="D259" s="21" t="s">
        <v>819</v>
      </c>
      <c r="E259" s="20" t="s">
        <v>820</v>
      </c>
      <c r="F259" s="20" t="s">
        <v>821</v>
      </c>
      <c r="G259" s="20" t="s">
        <v>863</v>
      </c>
      <c r="H259" s="20" t="s">
        <v>294</v>
      </c>
      <c r="I259" s="20" t="s">
        <v>830</v>
      </c>
      <c r="J259" s="20" t="s">
        <v>190</v>
      </c>
      <c r="K259" s="22">
        <v>0.8</v>
      </c>
      <c r="L259" s="23">
        <v>38000</v>
      </c>
      <c r="M259" s="23">
        <v>0</v>
      </c>
      <c r="N259" s="24">
        <f t="shared" si="11"/>
        <v>30400</v>
      </c>
      <c r="O259" s="24">
        <v>0</v>
      </c>
      <c r="P259" s="23">
        <v>38000</v>
      </c>
      <c r="Q259" s="20" t="s">
        <v>824</v>
      </c>
      <c r="R259" s="20" t="s">
        <v>825</v>
      </c>
      <c r="S259" s="20" t="s">
        <v>12</v>
      </c>
      <c r="T259" s="20" t="s">
        <v>826</v>
      </c>
      <c r="U259" s="20" t="s">
        <v>12</v>
      </c>
      <c r="V259" s="20" t="s">
        <v>827</v>
      </c>
      <c r="W259" s="20" t="s">
        <v>827</v>
      </c>
    </row>
    <row r="260" spans="1:23" ht="10.5" customHeight="1" x14ac:dyDescent="0.25">
      <c r="A260" s="19">
        <v>46035</v>
      </c>
      <c r="B260" s="20" t="str">
        <f t="shared" si="10"/>
        <v>13/01/2026NL300022</v>
      </c>
      <c r="C260" s="21" t="s">
        <v>862</v>
      </c>
      <c r="D260" s="21" t="s">
        <v>819</v>
      </c>
      <c r="E260" s="20" t="s">
        <v>820</v>
      </c>
      <c r="F260" s="20" t="s">
        <v>821</v>
      </c>
      <c r="G260" s="20" t="s">
        <v>863</v>
      </c>
      <c r="H260" s="20" t="s">
        <v>305</v>
      </c>
      <c r="I260" s="20" t="s">
        <v>67</v>
      </c>
      <c r="J260" s="20" t="s">
        <v>190</v>
      </c>
      <c r="K260" s="22">
        <v>6.9</v>
      </c>
      <c r="L260" s="23">
        <v>18000</v>
      </c>
      <c r="M260" s="23">
        <v>0</v>
      </c>
      <c r="N260" s="24">
        <f t="shared" si="11"/>
        <v>124200</v>
      </c>
      <c r="O260" s="24">
        <v>0</v>
      </c>
      <c r="P260" s="23">
        <v>18000</v>
      </c>
      <c r="Q260" s="20" t="s">
        <v>824</v>
      </c>
      <c r="R260" s="20" t="s">
        <v>825</v>
      </c>
      <c r="S260" s="20" t="s">
        <v>12</v>
      </c>
      <c r="T260" s="20" t="s">
        <v>826</v>
      </c>
      <c r="U260" s="20" t="s">
        <v>12</v>
      </c>
      <c r="V260" s="20" t="s">
        <v>827</v>
      </c>
      <c r="W260" s="20" t="s">
        <v>827</v>
      </c>
    </row>
    <row r="261" spans="1:23" ht="10.5" customHeight="1" x14ac:dyDescent="0.25">
      <c r="A261" s="19">
        <v>46035</v>
      </c>
      <c r="B261" s="20" t="str">
        <f t="shared" si="10"/>
        <v>13/01/2026NL300058</v>
      </c>
      <c r="C261" s="21" t="s">
        <v>862</v>
      </c>
      <c r="D261" s="21" t="s">
        <v>819</v>
      </c>
      <c r="E261" s="20" t="s">
        <v>820</v>
      </c>
      <c r="F261" s="20" t="s">
        <v>821</v>
      </c>
      <c r="G261" s="20" t="s">
        <v>863</v>
      </c>
      <c r="H261" s="20" t="s">
        <v>450</v>
      </c>
      <c r="I261" s="20" t="s">
        <v>19</v>
      </c>
      <c r="J261" s="20" t="s">
        <v>190</v>
      </c>
      <c r="K261" s="22">
        <v>0.3</v>
      </c>
      <c r="L261" s="23">
        <v>55000</v>
      </c>
      <c r="M261" s="23">
        <v>0</v>
      </c>
      <c r="N261" s="24">
        <f t="shared" si="11"/>
        <v>16500</v>
      </c>
      <c r="O261" s="24">
        <v>0</v>
      </c>
      <c r="P261" s="23">
        <v>55000</v>
      </c>
      <c r="Q261" s="20" t="s">
        <v>824</v>
      </c>
      <c r="R261" s="20" t="s">
        <v>825</v>
      </c>
      <c r="S261" s="20" t="s">
        <v>12</v>
      </c>
      <c r="T261" s="20" t="s">
        <v>826</v>
      </c>
      <c r="U261" s="20" t="s">
        <v>12</v>
      </c>
      <c r="V261" s="20" t="s">
        <v>827</v>
      </c>
      <c r="W261" s="20" t="s">
        <v>827</v>
      </c>
    </row>
    <row r="262" spans="1:23" ht="10.5" customHeight="1" x14ac:dyDescent="0.25">
      <c r="A262" s="19">
        <v>46035</v>
      </c>
      <c r="B262" s="20" t="str">
        <f t="shared" si="10"/>
        <v>13/01/2026NL300074</v>
      </c>
      <c r="C262" s="21" t="s">
        <v>862</v>
      </c>
      <c r="D262" s="21" t="s">
        <v>819</v>
      </c>
      <c r="E262" s="20" t="s">
        <v>820</v>
      </c>
      <c r="F262" s="20" t="s">
        <v>821</v>
      </c>
      <c r="G262" s="20" t="s">
        <v>863</v>
      </c>
      <c r="H262" s="20" t="s">
        <v>503</v>
      </c>
      <c r="I262" s="20" t="s">
        <v>73</v>
      </c>
      <c r="J262" s="20" t="s">
        <v>190</v>
      </c>
      <c r="K262" s="22">
        <v>1.2</v>
      </c>
      <c r="L262" s="23">
        <v>18000</v>
      </c>
      <c r="M262" s="23">
        <v>0</v>
      </c>
      <c r="N262" s="24">
        <f t="shared" si="11"/>
        <v>21600</v>
      </c>
      <c r="O262" s="24">
        <v>0</v>
      </c>
      <c r="P262" s="23">
        <v>18000</v>
      </c>
      <c r="Q262" s="20" t="s">
        <v>824</v>
      </c>
      <c r="R262" s="20" t="s">
        <v>825</v>
      </c>
      <c r="S262" s="20" t="s">
        <v>12</v>
      </c>
      <c r="T262" s="20" t="s">
        <v>826</v>
      </c>
      <c r="U262" s="20" t="s">
        <v>12</v>
      </c>
      <c r="V262" s="20" t="s">
        <v>827</v>
      </c>
      <c r="W262" s="20" t="s">
        <v>827</v>
      </c>
    </row>
    <row r="263" spans="1:23" ht="10.5" customHeight="1" x14ac:dyDescent="0.25">
      <c r="A263" s="19">
        <v>46035</v>
      </c>
      <c r="B263" s="20" t="str">
        <f t="shared" si="10"/>
        <v>13/01/2026NL300084</v>
      </c>
      <c r="C263" s="21" t="s">
        <v>862</v>
      </c>
      <c r="D263" s="21" t="s">
        <v>819</v>
      </c>
      <c r="E263" s="20" t="s">
        <v>820</v>
      </c>
      <c r="F263" s="20" t="s">
        <v>821</v>
      </c>
      <c r="G263" s="20" t="s">
        <v>863</v>
      </c>
      <c r="H263" s="20" t="s">
        <v>562</v>
      </c>
      <c r="I263" s="20" t="s">
        <v>563</v>
      </c>
      <c r="J263" s="20" t="s">
        <v>190</v>
      </c>
      <c r="K263" s="22">
        <v>1.7</v>
      </c>
      <c r="L263" s="23">
        <v>22000</v>
      </c>
      <c r="M263" s="23">
        <v>0</v>
      </c>
      <c r="N263" s="24">
        <f t="shared" si="11"/>
        <v>37400</v>
      </c>
      <c r="O263" s="24">
        <v>0</v>
      </c>
      <c r="P263" s="23">
        <v>22000</v>
      </c>
      <c r="Q263" s="20" t="s">
        <v>824</v>
      </c>
      <c r="R263" s="20" t="s">
        <v>825</v>
      </c>
      <c r="S263" s="20" t="s">
        <v>12</v>
      </c>
      <c r="T263" s="20" t="s">
        <v>826</v>
      </c>
      <c r="U263" s="20" t="s">
        <v>12</v>
      </c>
      <c r="V263" s="20" t="s">
        <v>827</v>
      </c>
      <c r="W263" s="20" t="s">
        <v>827</v>
      </c>
    </row>
    <row r="264" spans="1:23" ht="10.5" customHeight="1" x14ac:dyDescent="0.25">
      <c r="A264" s="19">
        <v>46035</v>
      </c>
      <c r="B264" s="20" t="str">
        <f t="shared" si="10"/>
        <v>13/01/2026NL300090</v>
      </c>
      <c r="C264" s="21" t="s">
        <v>862</v>
      </c>
      <c r="D264" s="21" t="s">
        <v>819</v>
      </c>
      <c r="E264" s="20" t="s">
        <v>820</v>
      </c>
      <c r="F264" s="20" t="s">
        <v>821</v>
      </c>
      <c r="G264" s="20" t="s">
        <v>863</v>
      </c>
      <c r="H264" s="20" t="s">
        <v>578</v>
      </c>
      <c r="I264" s="20" t="s">
        <v>37</v>
      </c>
      <c r="J264" s="20" t="s">
        <v>190</v>
      </c>
      <c r="K264" s="22">
        <v>2</v>
      </c>
      <c r="L264" s="23">
        <v>145000</v>
      </c>
      <c r="M264" s="23">
        <v>0</v>
      </c>
      <c r="N264" s="24">
        <f t="shared" si="11"/>
        <v>290000</v>
      </c>
      <c r="O264" s="24">
        <v>0</v>
      </c>
      <c r="P264" s="23">
        <v>145000</v>
      </c>
      <c r="Q264" s="20" t="s">
        <v>824</v>
      </c>
      <c r="R264" s="20" t="s">
        <v>825</v>
      </c>
      <c r="S264" s="20" t="s">
        <v>12</v>
      </c>
      <c r="T264" s="20" t="s">
        <v>826</v>
      </c>
      <c r="U264" s="20" t="s">
        <v>12</v>
      </c>
      <c r="V264" s="20" t="s">
        <v>827</v>
      </c>
      <c r="W264" s="20" t="s">
        <v>827</v>
      </c>
    </row>
    <row r="265" spans="1:23" ht="10.5" customHeight="1" x14ac:dyDescent="0.25">
      <c r="A265" s="19">
        <v>46035</v>
      </c>
      <c r="B265" s="20" t="str">
        <f t="shared" si="10"/>
        <v>13/01/2026NL300091</v>
      </c>
      <c r="C265" s="21" t="s">
        <v>862</v>
      </c>
      <c r="D265" s="21" t="s">
        <v>819</v>
      </c>
      <c r="E265" s="20" t="s">
        <v>820</v>
      </c>
      <c r="F265" s="20" t="s">
        <v>821</v>
      </c>
      <c r="G265" s="20" t="s">
        <v>863</v>
      </c>
      <c r="H265" s="20" t="s">
        <v>580</v>
      </c>
      <c r="I265" s="20" t="s">
        <v>39</v>
      </c>
      <c r="J265" s="20" t="s">
        <v>190</v>
      </c>
      <c r="K265" s="22">
        <v>4</v>
      </c>
      <c r="L265" s="23">
        <v>47000</v>
      </c>
      <c r="M265" s="23">
        <v>0</v>
      </c>
      <c r="N265" s="24">
        <f t="shared" si="11"/>
        <v>188000</v>
      </c>
      <c r="O265" s="24">
        <v>0</v>
      </c>
      <c r="P265" s="23">
        <v>47000</v>
      </c>
      <c r="Q265" s="20" t="s">
        <v>824</v>
      </c>
      <c r="R265" s="20" t="s">
        <v>825</v>
      </c>
      <c r="S265" s="20" t="s">
        <v>12</v>
      </c>
      <c r="T265" s="20" t="s">
        <v>826</v>
      </c>
      <c r="U265" s="20" t="s">
        <v>12</v>
      </c>
      <c r="V265" s="20" t="s">
        <v>827</v>
      </c>
      <c r="W265" s="20" t="s">
        <v>827</v>
      </c>
    </row>
    <row r="266" spans="1:23" ht="10.5" customHeight="1" x14ac:dyDescent="0.25">
      <c r="A266" s="19">
        <v>46035</v>
      </c>
      <c r="B266" s="20" t="str">
        <f t="shared" si="10"/>
        <v>13/01/2026NL300096</v>
      </c>
      <c r="C266" s="21" t="s">
        <v>862</v>
      </c>
      <c r="D266" s="21" t="s">
        <v>819</v>
      </c>
      <c r="E266" s="20" t="s">
        <v>820</v>
      </c>
      <c r="F266" s="20" t="s">
        <v>821</v>
      </c>
      <c r="G266" s="20" t="s">
        <v>863</v>
      </c>
      <c r="H266" s="20" t="s">
        <v>586</v>
      </c>
      <c r="I266" s="20" t="s">
        <v>43</v>
      </c>
      <c r="J266" s="20" t="s">
        <v>190</v>
      </c>
      <c r="K266" s="22">
        <v>3</v>
      </c>
      <c r="L266" s="23">
        <v>45000</v>
      </c>
      <c r="M266" s="23">
        <v>0</v>
      </c>
      <c r="N266" s="24">
        <f t="shared" si="11"/>
        <v>135000</v>
      </c>
      <c r="O266" s="24">
        <v>0</v>
      </c>
      <c r="P266" s="23">
        <v>45000</v>
      </c>
      <c r="Q266" s="20" t="s">
        <v>824</v>
      </c>
      <c r="R266" s="20" t="s">
        <v>825</v>
      </c>
      <c r="S266" s="20" t="s">
        <v>12</v>
      </c>
      <c r="T266" s="20" t="s">
        <v>826</v>
      </c>
      <c r="U266" s="20" t="s">
        <v>12</v>
      </c>
      <c r="V266" s="20" t="s">
        <v>827</v>
      </c>
      <c r="W266" s="20" t="s">
        <v>827</v>
      </c>
    </row>
    <row r="267" spans="1:23" ht="10.5" customHeight="1" x14ac:dyDescent="0.25">
      <c r="A267" s="19">
        <v>46035</v>
      </c>
      <c r="B267" s="20" t="str">
        <f t="shared" si="10"/>
        <v>13/01/2026NL300098</v>
      </c>
      <c r="C267" s="21" t="s">
        <v>862</v>
      </c>
      <c r="D267" s="21" t="s">
        <v>819</v>
      </c>
      <c r="E267" s="20" t="s">
        <v>820</v>
      </c>
      <c r="F267" s="20" t="s">
        <v>821</v>
      </c>
      <c r="G267" s="20" t="s">
        <v>863</v>
      </c>
      <c r="H267" s="20" t="s">
        <v>590</v>
      </c>
      <c r="I267" s="20" t="s">
        <v>591</v>
      </c>
      <c r="J267" s="20" t="s">
        <v>190</v>
      </c>
      <c r="K267" s="22">
        <v>3</v>
      </c>
      <c r="L267" s="23">
        <v>95000</v>
      </c>
      <c r="M267" s="23">
        <v>0</v>
      </c>
      <c r="N267" s="24">
        <f t="shared" si="11"/>
        <v>285000</v>
      </c>
      <c r="O267" s="24">
        <v>0</v>
      </c>
      <c r="P267" s="23">
        <v>95000</v>
      </c>
      <c r="Q267" s="20" t="s">
        <v>824</v>
      </c>
      <c r="R267" s="20" t="s">
        <v>825</v>
      </c>
      <c r="S267" s="20" t="s">
        <v>12</v>
      </c>
      <c r="T267" s="20" t="s">
        <v>826</v>
      </c>
      <c r="U267" s="20" t="s">
        <v>12</v>
      </c>
      <c r="V267" s="20" t="s">
        <v>827</v>
      </c>
      <c r="W267" s="20" t="s">
        <v>827</v>
      </c>
    </row>
    <row r="268" spans="1:23" ht="10.5" customHeight="1" x14ac:dyDescent="0.25">
      <c r="A268" s="19">
        <v>46035</v>
      </c>
      <c r="B268" s="20" t="str">
        <f t="shared" si="10"/>
        <v>13/01/2026NL300126</v>
      </c>
      <c r="C268" s="21" t="s">
        <v>862</v>
      </c>
      <c r="D268" s="21" t="s">
        <v>819</v>
      </c>
      <c r="E268" s="20" t="s">
        <v>820</v>
      </c>
      <c r="F268" s="20" t="s">
        <v>821</v>
      </c>
      <c r="G268" s="20" t="s">
        <v>863</v>
      </c>
      <c r="H268" s="20" t="s">
        <v>704</v>
      </c>
      <c r="I268" s="20" t="s">
        <v>705</v>
      </c>
      <c r="J268" s="20" t="s">
        <v>190</v>
      </c>
      <c r="K268" s="22">
        <v>0.1</v>
      </c>
      <c r="L268" s="23">
        <v>70000</v>
      </c>
      <c r="M268" s="23">
        <v>0</v>
      </c>
      <c r="N268" s="24">
        <f t="shared" si="11"/>
        <v>7000</v>
      </c>
      <c r="O268" s="24">
        <v>0</v>
      </c>
      <c r="P268" s="23">
        <v>70000</v>
      </c>
      <c r="Q268" s="20" t="s">
        <v>824</v>
      </c>
      <c r="R268" s="20" t="s">
        <v>825</v>
      </c>
      <c r="S268" s="20" t="s">
        <v>12</v>
      </c>
      <c r="T268" s="20" t="s">
        <v>826</v>
      </c>
      <c r="U268" s="20" t="s">
        <v>12</v>
      </c>
      <c r="V268" s="20" t="s">
        <v>827</v>
      </c>
      <c r="W268" s="20" t="s">
        <v>827</v>
      </c>
    </row>
    <row r="269" spans="1:23" ht="10.5" customHeight="1" x14ac:dyDescent="0.25">
      <c r="A269" s="19">
        <v>46035</v>
      </c>
      <c r="B269" s="20" t="str">
        <f t="shared" si="10"/>
        <v>13/01/2026NL300142</v>
      </c>
      <c r="C269" s="21" t="s">
        <v>862</v>
      </c>
      <c r="D269" s="21" t="s">
        <v>819</v>
      </c>
      <c r="E269" s="20" t="s">
        <v>820</v>
      </c>
      <c r="F269" s="20" t="s">
        <v>821</v>
      </c>
      <c r="G269" s="20" t="s">
        <v>863</v>
      </c>
      <c r="H269" s="20" t="s">
        <v>766</v>
      </c>
      <c r="I269" s="20" t="s">
        <v>829</v>
      </c>
      <c r="J269" s="20" t="s">
        <v>190</v>
      </c>
      <c r="K269" s="22">
        <v>0.3</v>
      </c>
      <c r="L269" s="23">
        <v>50000</v>
      </c>
      <c r="M269" s="23">
        <v>0</v>
      </c>
      <c r="N269" s="24">
        <f t="shared" si="11"/>
        <v>15000</v>
      </c>
      <c r="O269" s="24">
        <v>0</v>
      </c>
      <c r="P269" s="23">
        <v>50000</v>
      </c>
      <c r="Q269" s="20" t="s">
        <v>824</v>
      </c>
      <c r="R269" s="20" t="s">
        <v>825</v>
      </c>
      <c r="S269" s="20" t="s">
        <v>12</v>
      </c>
      <c r="T269" s="20" t="s">
        <v>826</v>
      </c>
      <c r="U269" s="20" t="s">
        <v>12</v>
      </c>
      <c r="V269" s="20" t="s">
        <v>827</v>
      </c>
      <c r="W269" s="20" t="s">
        <v>827</v>
      </c>
    </row>
    <row r="270" spans="1:23" ht="10.5" customHeight="1" x14ac:dyDescent="0.25">
      <c r="A270" s="19">
        <v>46035</v>
      </c>
      <c r="B270" s="20" t="str">
        <f t="shared" si="10"/>
        <v>13/01/2026NL300147</v>
      </c>
      <c r="C270" s="21" t="s">
        <v>862</v>
      </c>
      <c r="D270" s="21" t="s">
        <v>819</v>
      </c>
      <c r="E270" s="20" t="s">
        <v>820</v>
      </c>
      <c r="F270" s="20" t="s">
        <v>821</v>
      </c>
      <c r="G270" s="20" t="s">
        <v>863</v>
      </c>
      <c r="H270" s="20" t="s">
        <v>790</v>
      </c>
      <c r="I270" s="20" t="s">
        <v>791</v>
      </c>
      <c r="J270" s="20" t="s">
        <v>190</v>
      </c>
      <c r="K270" s="22">
        <v>4</v>
      </c>
      <c r="L270" s="23">
        <v>62000</v>
      </c>
      <c r="M270" s="23">
        <v>0</v>
      </c>
      <c r="N270" s="24">
        <f t="shared" si="11"/>
        <v>248000</v>
      </c>
      <c r="O270" s="24">
        <v>0</v>
      </c>
      <c r="P270" s="23">
        <v>62000</v>
      </c>
      <c r="Q270" s="20" t="s">
        <v>824</v>
      </c>
      <c r="R270" s="20" t="s">
        <v>825</v>
      </c>
      <c r="S270" s="20" t="s">
        <v>12</v>
      </c>
      <c r="T270" s="20" t="s">
        <v>826</v>
      </c>
      <c r="U270" s="20" t="s">
        <v>12</v>
      </c>
      <c r="V270" s="20" t="s">
        <v>827</v>
      </c>
      <c r="W270" s="20" t="s">
        <v>827</v>
      </c>
    </row>
    <row r="271" spans="1:23" ht="10.5" customHeight="1" x14ac:dyDescent="0.25">
      <c r="A271" s="19">
        <v>46036</v>
      </c>
      <c r="B271" s="20" t="str">
        <f t="shared" si="10"/>
        <v>14/01/2026NL300013</v>
      </c>
      <c r="C271" s="21" t="s">
        <v>864</v>
      </c>
      <c r="D271" s="21" t="s">
        <v>819</v>
      </c>
      <c r="E271" s="20" t="s">
        <v>820</v>
      </c>
      <c r="F271" s="20" t="s">
        <v>821</v>
      </c>
      <c r="G271" s="20" t="s">
        <v>865</v>
      </c>
      <c r="H271" s="20" t="s">
        <v>236</v>
      </c>
      <c r="I271" s="20" t="s">
        <v>65</v>
      </c>
      <c r="J271" s="20" t="s">
        <v>190</v>
      </c>
      <c r="K271" s="22">
        <v>1</v>
      </c>
      <c r="L271" s="23">
        <v>50000</v>
      </c>
      <c r="M271" s="23">
        <v>0</v>
      </c>
      <c r="N271" s="24">
        <f t="shared" si="11"/>
        <v>50000</v>
      </c>
      <c r="O271" s="24">
        <v>0</v>
      </c>
      <c r="P271" s="23">
        <v>50000</v>
      </c>
      <c r="Q271" s="20" t="s">
        <v>824</v>
      </c>
      <c r="R271" s="20" t="s">
        <v>825</v>
      </c>
      <c r="S271" s="20" t="s">
        <v>12</v>
      </c>
      <c r="T271" s="20" t="s">
        <v>826</v>
      </c>
      <c r="U271" s="20" t="s">
        <v>12</v>
      </c>
      <c r="V271" s="20" t="s">
        <v>827</v>
      </c>
      <c r="W271" s="20" t="s">
        <v>827</v>
      </c>
    </row>
    <row r="272" spans="1:23" ht="10.5" customHeight="1" x14ac:dyDescent="0.25">
      <c r="A272" s="19">
        <v>46036</v>
      </c>
      <c r="B272" s="20" t="str">
        <f t="shared" si="10"/>
        <v>14/01/2026NL300018</v>
      </c>
      <c r="C272" s="21" t="s">
        <v>864</v>
      </c>
      <c r="D272" s="21" t="s">
        <v>819</v>
      </c>
      <c r="E272" s="20" t="s">
        <v>820</v>
      </c>
      <c r="F272" s="20" t="s">
        <v>821</v>
      </c>
      <c r="G272" s="20" t="s">
        <v>865</v>
      </c>
      <c r="H272" s="20" t="s">
        <v>294</v>
      </c>
      <c r="I272" s="20" t="s">
        <v>830</v>
      </c>
      <c r="J272" s="20" t="s">
        <v>190</v>
      </c>
      <c r="K272" s="22">
        <v>0.8</v>
      </c>
      <c r="L272" s="23">
        <v>38000</v>
      </c>
      <c r="M272" s="23">
        <v>0</v>
      </c>
      <c r="N272" s="24">
        <f t="shared" si="11"/>
        <v>30400</v>
      </c>
      <c r="O272" s="24">
        <v>0</v>
      </c>
      <c r="P272" s="23">
        <v>38000</v>
      </c>
      <c r="Q272" s="20" t="s">
        <v>824</v>
      </c>
      <c r="R272" s="20" t="s">
        <v>825</v>
      </c>
      <c r="S272" s="20" t="s">
        <v>12</v>
      </c>
      <c r="T272" s="20" t="s">
        <v>826</v>
      </c>
      <c r="U272" s="20" t="s">
        <v>12</v>
      </c>
      <c r="V272" s="20" t="s">
        <v>827</v>
      </c>
      <c r="W272" s="20" t="s">
        <v>827</v>
      </c>
    </row>
    <row r="273" spans="1:23" ht="10.5" customHeight="1" x14ac:dyDescent="0.25">
      <c r="A273" s="19">
        <v>46036</v>
      </c>
      <c r="B273" s="20" t="str">
        <f t="shared" si="10"/>
        <v>14/01/2026NL300022</v>
      </c>
      <c r="C273" s="21" t="s">
        <v>864</v>
      </c>
      <c r="D273" s="21" t="s">
        <v>819</v>
      </c>
      <c r="E273" s="20" t="s">
        <v>820</v>
      </c>
      <c r="F273" s="20" t="s">
        <v>821</v>
      </c>
      <c r="G273" s="20" t="s">
        <v>865</v>
      </c>
      <c r="H273" s="20" t="s">
        <v>305</v>
      </c>
      <c r="I273" s="20" t="s">
        <v>67</v>
      </c>
      <c r="J273" s="20" t="s">
        <v>190</v>
      </c>
      <c r="K273" s="22">
        <v>9.3000000000000007</v>
      </c>
      <c r="L273" s="23">
        <v>18000</v>
      </c>
      <c r="M273" s="23">
        <v>0</v>
      </c>
      <c r="N273" s="24">
        <f t="shared" si="11"/>
        <v>167400</v>
      </c>
      <c r="O273" s="24">
        <v>0</v>
      </c>
      <c r="P273" s="23">
        <v>18000</v>
      </c>
      <c r="Q273" s="20" t="s">
        <v>824</v>
      </c>
      <c r="R273" s="20" t="s">
        <v>825</v>
      </c>
      <c r="S273" s="20" t="s">
        <v>12</v>
      </c>
      <c r="T273" s="20" t="s">
        <v>826</v>
      </c>
      <c r="U273" s="20" t="s">
        <v>12</v>
      </c>
      <c r="V273" s="20" t="s">
        <v>827</v>
      </c>
      <c r="W273" s="20" t="s">
        <v>827</v>
      </c>
    </row>
    <row r="274" spans="1:23" ht="10.5" customHeight="1" x14ac:dyDescent="0.25">
      <c r="A274" s="19">
        <v>46036</v>
      </c>
      <c r="B274" s="20" t="str">
        <f t="shared" si="10"/>
        <v>14/01/2026NL300054</v>
      </c>
      <c r="C274" s="21" t="s">
        <v>864</v>
      </c>
      <c r="D274" s="21" t="s">
        <v>819</v>
      </c>
      <c r="E274" s="20" t="s">
        <v>820</v>
      </c>
      <c r="F274" s="20" t="s">
        <v>821</v>
      </c>
      <c r="G274" s="20" t="s">
        <v>865</v>
      </c>
      <c r="H274" s="20" t="s">
        <v>445</v>
      </c>
      <c r="I274" s="20" t="s">
        <v>446</v>
      </c>
      <c r="J274" s="20" t="s">
        <v>190</v>
      </c>
      <c r="K274" s="22">
        <v>0.2</v>
      </c>
      <c r="L274" s="23">
        <v>38000</v>
      </c>
      <c r="M274" s="23">
        <v>0</v>
      </c>
      <c r="N274" s="24">
        <f t="shared" si="11"/>
        <v>7600</v>
      </c>
      <c r="O274" s="24">
        <v>0</v>
      </c>
      <c r="P274" s="23">
        <v>38000</v>
      </c>
      <c r="Q274" s="20" t="s">
        <v>824</v>
      </c>
      <c r="R274" s="20" t="s">
        <v>825</v>
      </c>
      <c r="S274" s="20" t="s">
        <v>12</v>
      </c>
      <c r="T274" s="20" t="s">
        <v>826</v>
      </c>
      <c r="U274" s="20" t="s">
        <v>12</v>
      </c>
      <c r="V274" s="20" t="s">
        <v>827</v>
      </c>
      <c r="W274" s="20" t="s">
        <v>827</v>
      </c>
    </row>
    <row r="275" spans="1:23" ht="10.5" customHeight="1" x14ac:dyDescent="0.25">
      <c r="A275" s="19">
        <v>46036</v>
      </c>
      <c r="B275" s="20" t="str">
        <f t="shared" si="10"/>
        <v>14/01/2026NL300084</v>
      </c>
      <c r="C275" s="21" t="s">
        <v>864</v>
      </c>
      <c r="D275" s="21" t="s">
        <v>819</v>
      </c>
      <c r="E275" s="20" t="s">
        <v>820</v>
      </c>
      <c r="F275" s="20" t="s">
        <v>821</v>
      </c>
      <c r="G275" s="20" t="s">
        <v>865</v>
      </c>
      <c r="H275" s="20" t="s">
        <v>562</v>
      </c>
      <c r="I275" s="20" t="s">
        <v>563</v>
      </c>
      <c r="J275" s="20" t="s">
        <v>190</v>
      </c>
      <c r="K275" s="22">
        <v>0.7</v>
      </c>
      <c r="L275" s="23">
        <v>22000</v>
      </c>
      <c r="M275" s="23">
        <v>0</v>
      </c>
      <c r="N275" s="24">
        <f t="shared" si="11"/>
        <v>15399.999999999998</v>
      </c>
      <c r="O275" s="24">
        <v>0</v>
      </c>
      <c r="P275" s="23">
        <v>22000</v>
      </c>
      <c r="Q275" s="20" t="s">
        <v>824</v>
      </c>
      <c r="R275" s="20" t="s">
        <v>825</v>
      </c>
      <c r="S275" s="20" t="s">
        <v>12</v>
      </c>
      <c r="T275" s="20" t="s">
        <v>826</v>
      </c>
      <c r="U275" s="20" t="s">
        <v>12</v>
      </c>
      <c r="V275" s="20" t="s">
        <v>827</v>
      </c>
      <c r="W275" s="20" t="s">
        <v>827</v>
      </c>
    </row>
    <row r="276" spans="1:23" ht="10.5" customHeight="1" x14ac:dyDescent="0.25">
      <c r="A276" s="19">
        <v>46036</v>
      </c>
      <c r="B276" s="20" t="str">
        <f t="shared" si="10"/>
        <v>14/01/2026NL300085</v>
      </c>
      <c r="C276" s="21" t="s">
        <v>864</v>
      </c>
      <c r="D276" s="21" t="s">
        <v>819</v>
      </c>
      <c r="E276" s="20" t="s">
        <v>820</v>
      </c>
      <c r="F276" s="20" t="s">
        <v>821</v>
      </c>
      <c r="G276" s="20" t="s">
        <v>865</v>
      </c>
      <c r="H276" s="20" t="s">
        <v>564</v>
      </c>
      <c r="I276" s="20" t="s">
        <v>565</v>
      </c>
      <c r="J276" s="20" t="s">
        <v>190</v>
      </c>
      <c r="K276" s="22">
        <v>0.4</v>
      </c>
      <c r="L276" s="23">
        <v>45000</v>
      </c>
      <c r="M276" s="23">
        <v>0</v>
      </c>
      <c r="N276" s="24">
        <f t="shared" si="11"/>
        <v>18000</v>
      </c>
      <c r="O276" s="24">
        <v>0</v>
      </c>
      <c r="P276" s="23">
        <v>45000</v>
      </c>
      <c r="Q276" s="20" t="s">
        <v>824</v>
      </c>
      <c r="R276" s="20" t="s">
        <v>825</v>
      </c>
      <c r="S276" s="20" t="s">
        <v>12</v>
      </c>
      <c r="T276" s="20" t="s">
        <v>826</v>
      </c>
      <c r="U276" s="20" t="s">
        <v>12</v>
      </c>
      <c r="V276" s="20" t="s">
        <v>827</v>
      </c>
      <c r="W276" s="20" t="s">
        <v>827</v>
      </c>
    </row>
    <row r="277" spans="1:23" ht="10.5" customHeight="1" x14ac:dyDescent="0.25">
      <c r="A277" s="19">
        <v>46036</v>
      </c>
      <c r="B277" s="20" t="str">
        <f t="shared" si="10"/>
        <v>14/01/2026NL300090</v>
      </c>
      <c r="C277" s="21" t="s">
        <v>864</v>
      </c>
      <c r="D277" s="21" t="s">
        <v>819</v>
      </c>
      <c r="E277" s="20" t="s">
        <v>820</v>
      </c>
      <c r="F277" s="20" t="s">
        <v>821</v>
      </c>
      <c r="G277" s="20" t="s">
        <v>865</v>
      </c>
      <c r="H277" s="20" t="s">
        <v>578</v>
      </c>
      <c r="I277" s="20" t="s">
        <v>37</v>
      </c>
      <c r="J277" s="20" t="s">
        <v>190</v>
      </c>
      <c r="K277" s="22">
        <v>2</v>
      </c>
      <c r="L277" s="23">
        <v>145000</v>
      </c>
      <c r="M277" s="23">
        <v>0</v>
      </c>
      <c r="N277" s="24">
        <f t="shared" si="11"/>
        <v>290000</v>
      </c>
      <c r="O277" s="24">
        <v>0</v>
      </c>
      <c r="P277" s="23">
        <v>145000</v>
      </c>
      <c r="Q277" s="20" t="s">
        <v>824</v>
      </c>
      <c r="R277" s="20" t="s">
        <v>825</v>
      </c>
      <c r="S277" s="20" t="s">
        <v>12</v>
      </c>
      <c r="T277" s="20" t="s">
        <v>826</v>
      </c>
      <c r="U277" s="20" t="s">
        <v>12</v>
      </c>
      <c r="V277" s="20" t="s">
        <v>827</v>
      </c>
      <c r="W277" s="20" t="s">
        <v>827</v>
      </c>
    </row>
    <row r="278" spans="1:23" ht="10.5" customHeight="1" x14ac:dyDescent="0.25">
      <c r="A278" s="19">
        <v>46036</v>
      </c>
      <c r="B278" s="20" t="str">
        <f t="shared" si="10"/>
        <v>14/01/2026NL300091</v>
      </c>
      <c r="C278" s="21" t="s">
        <v>864</v>
      </c>
      <c r="D278" s="21" t="s">
        <v>819</v>
      </c>
      <c r="E278" s="20" t="s">
        <v>820</v>
      </c>
      <c r="F278" s="20" t="s">
        <v>821</v>
      </c>
      <c r="G278" s="20" t="s">
        <v>865</v>
      </c>
      <c r="H278" s="20" t="s">
        <v>580</v>
      </c>
      <c r="I278" s="20" t="s">
        <v>39</v>
      </c>
      <c r="J278" s="20" t="s">
        <v>190</v>
      </c>
      <c r="K278" s="22">
        <v>4</v>
      </c>
      <c r="L278" s="23">
        <v>47000</v>
      </c>
      <c r="M278" s="23">
        <v>0</v>
      </c>
      <c r="N278" s="24">
        <f t="shared" si="11"/>
        <v>188000</v>
      </c>
      <c r="O278" s="24">
        <v>0</v>
      </c>
      <c r="P278" s="23">
        <v>47000</v>
      </c>
      <c r="Q278" s="20" t="s">
        <v>824</v>
      </c>
      <c r="R278" s="20" t="s">
        <v>825</v>
      </c>
      <c r="S278" s="20" t="s">
        <v>12</v>
      </c>
      <c r="T278" s="20" t="s">
        <v>826</v>
      </c>
      <c r="U278" s="20" t="s">
        <v>12</v>
      </c>
      <c r="V278" s="20" t="s">
        <v>827</v>
      </c>
      <c r="W278" s="20" t="s">
        <v>827</v>
      </c>
    </row>
    <row r="279" spans="1:23" ht="10.5" customHeight="1" x14ac:dyDescent="0.25">
      <c r="A279" s="19">
        <v>46036</v>
      </c>
      <c r="B279" s="20" t="str">
        <f t="shared" si="10"/>
        <v>14/01/2026NL300094</v>
      </c>
      <c r="C279" s="21" t="s">
        <v>864</v>
      </c>
      <c r="D279" s="21" t="s">
        <v>819</v>
      </c>
      <c r="E279" s="20" t="s">
        <v>820</v>
      </c>
      <c r="F279" s="20" t="s">
        <v>821</v>
      </c>
      <c r="G279" s="20" t="s">
        <v>865</v>
      </c>
      <c r="H279" s="20" t="s">
        <v>584</v>
      </c>
      <c r="I279" s="20" t="s">
        <v>585</v>
      </c>
      <c r="J279" s="20" t="s">
        <v>190</v>
      </c>
      <c r="K279" s="22">
        <v>1</v>
      </c>
      <c r="L279" s="23">
        <v>80000</v>
      </c>
      <c r="M279" s="23">
        <v>0</v>
      </c>
      <c r="N279" s="24">
        <f t="shared" si="11"/>
        <v>80000</v>
      </c>
      <c r="O279" s="24">
        <v>0</v>
      </c>
      <c r="P279" s="23">
        <v>80000</v>
      </c>
      <c r="Q279" s="20" t="s">
        <v>824</v>
      </c>
      <c r="R279" s="20" t="s">
        <v>825</v>
      </c>
      <c r="S279" s="20" t="s">
        <v>12</v>
      </c>
      <c r="T279" s="20" t="s">
        <v>826</v>
      </c>
      <c r="U279" s="20" t="s">
        <v>12</v>
      </c>
      <c r="V279" s="20" t="s">
        <v>827</v>
      </c>
      <c r="W279" s="20" t="s">
        <v>827</v>
      </c>
    </row>
    <row r="280" spans="1:23" ht="10.5" customHeight="1" x14ac:dyDescent="0.25">
      <c r="A280" s="19">
        <v>46036</v>
      </c>
      <c r="B280" s="20" t="str">
        <f t="shared" si="10"/>
        <v>14/01/2026NL300096</v>
      </c>
      <c r="C280" s="21" t="s">
        <v>864</v>
      </c>
      <c r="D280" s="21" t="s">
        <v>819</v>
      </c>
      <c r="E280" s="20" t="s">
        <v>820</v>
      </c>
      <c r="F280" s="20" t="s">
        <v>821</v>
      </c>
      <c r="G280" s="20" t="s">
        <v>865</v>
      </c>
      <c r="H280" s="20" t="s">
        <v>586</v>
      </c>
      <c r="I280" s="20" t="s">
        <v>43</v>
      </c>
      <c r="J280" s="20" t="s">
        <v>190</v>
      </c>
      <c r="K280" s="22">
        <v>2</v>
      </c>
      <c r="L280" s="23">
        <v>45000</v>
      </c>
      <c r="M280" s="23">
        <v>0</v>
      </c>
      <c r="N280" s="24">
        <f t="shared" si="11"/>
        <v>90000</v>
      </c>
      <c r="O280" s="24">
        <v>0</v>
      </c>
      <c r="P280" s="23">
        <v>45000</v>
      </c>
      <c r="Q280" s="20" t="s">
        <v>824</v>
      </c>
      <c r="R280" s="20" t="s">
        <v>825</v>
      </c>
      <c r="S280" s="20" t="s">
        <v>12</v>
      </c>
      <c r="T280" s="20" t="s">
        <v>826</v>
      </c>
      <c r="U280" s="20" t="s">
        <v>12</v>
      </c>
      <c r="V280" s="20" t="s">
        <v>827</v>
      </c>
      <c r="W280" s="20" t="s">
        <v>827</v>
      </c>
    </row>
    <row r="281" spans="1:23" ht="10.5" customHeight="1" x14ac:dyDescent="0.25">
      <c r="A281" s="19">
        <v>46036</v>
      </c>
      <c r="B281" s="20" t="str">
        <f t="shared" si="10"/>
        <v>14/01/2026NL300098</v>
      </c>
      <c r="C281" s="21" t="s">
        <v>864</v>
      </c>
      <c r="D281" s="21" t="s">
        <v>819</v>
      </c>
      <c r="E281" s="20" t="s">
        <v>820</v>
      </c>
      <c r="F281" s="20" t="s">
        <v>821</v>
      </c>
      <c r="G281" s="20" t="s">
        <v>865</v>
      </c>
      <c r="H281" s="20" t="s">
        <v>590</v>
      </c>
      <c r="I281" s="20" t="s">
        <v>591</v>
      </c>
      <c r="J281" s="20" t="s">
        <v>190</v>
      </c>
      <c r="K281" s="22">
        <v>2</v>
      </c>
      <c r="L281" s="23">
        <v>95000</v>
      </c>
      <c r="M281" s="23">
        <v>0</v>
      </c>
      <c r="N281" s="24">
        <f t="shared" si="11"/>
        <v>190000</v>
      </c>
      <c r="O281" s="24">
        <v>0</v>
      </c>
      <c r="P281" s="23">
        <v>95000</v>
      </c>
      <c r="Q281" s="20" t="s">
        <v>824</v>
      </c>
      <c r="R281" s="20" t="s">
        <v>825</v>
      </c>
      <c r="S281" s="20" t="s">
        <v>12</v>
      </c>
      <c r="T281" s="20" t="s">
        <v>826</v>
      </c>
      <c r="U281" s="20" t="s">
        <v>12</v>
      </c>
      <c r="V281" s="20" t="s">
        <v>827</v>
      </c>
      <c r="W281" s="20" t="s">
        <v>827</v>
      </c>
    </row>
    <row r="282" spans="1:23" ht="10.5" customHeight="1" x14ac:dyDescent="0.25">
      <c r="A282" s="19">
        <v>46036</v>
      </c>
      <c r="B282" s="20" t="str">
        <f t="shared" si="10"/>
        <v>14/01/2026NL300113</v>
      </c>
      <c r="C282" s="21" t="s">
        <v>864</v>
      </c>
      <c r="D282" s="21" t="s">
        <v>819</v>
      </c>
      <c r="E282" s="20" t="s">
        <v>820</v>
      </c>
      <c r="F282" s="20" t="s">
        <v>821</v>
      </c>
      <c r="G282" s="20" t="s">
        <v>865</v>
      </c>
      <c r="H282" s="20" t="s">
        <v>627</v>
      </c>
      <c r="I282" s="20" t="s">
        <v>30</v>
      </c>
      <c r="J282" s="20" t="s">
        <v>190</v>
      </c>
      <c r="K282" s="22">
        <v>0.3</v>
      </c>
      <c r="L282" s="23">
        <v>145000</v>
      </c>
      <c r="M282" s="23">
        <v>0</v>
      </c>
      <c r="N282" s="24">
        <f t="shared" si="11"/>
        <v>43500</v>
      </c>
      <c r="O282" s="24">
        <v>0</v>
      </c>
      <c r="P282" s="23">
        <v>145000</v>
      </c>
      <c r="Q282" s="20" t="s">
        <v>824</v>
      </c>
      <c r="R282" s="20" t="s">
        <v>825</v>
      </c>
      <c r="S282" s="20" t="s">
        <v>12</v>
      </c>
      <c r="T282" s="20" t="s">
        <v>826</v>
      </c>
      <c r="U282" s="20" t="s">
        <v>12</v>
      </c>
      <c r="V282" s="20" t="s">
        <v>827</v>
      </c>
      <c r="W282" s="20" t="s">
        <v>827</v>
      </c>
    </row>
    <row r="283" spans="1:23" ht="10.5" customHeight="1" x14ac:dyDescent="0.25">
      <c r="A283" s="19">
        <v>46036</v>
      </c>
      <c r="B283" s="20" t="str">
        <f t="shared" si="10"/>
        <v>14/01/2026NL300126</v>
      </c>
      <c r="C283" s="21" t="s">
        <v>864</v>
      </c>
      <c r="D283" s="21" t="s">
        <v>819</v>
      </c>
      <c r="E283" s="20" t="s">
        <v>820</v>
      </c>
      <c r="F283" s="20" t="s">
        <v>821</v>
      </c>
      <c r="G283" s="20" t="s">
        <v>865</v>
      </c>
      <c r="H283" s="20" t="s">
        <v>704</v>
      </c>
      <c r="I283" s="20" t="s">
        <v>705</v>
      </c>
      <c r="J283" s="20" t="s">
        <v>190</v>
      </c>
      <c r="K283" s="22">
        <v>0.1</v>
      </c>
      <c r="L283" s="23">
        <v>70000</v>
      </c>
      <c r="M283" s="23">
        <v>0</v>
      </c>
      <c r="N283" s="24">
        <f t="shared" si="11"/>
        <v>7000</v>
      </c>
      <c r="O283" s="24">
        <v>0</v>
      </c>
      <c r="P283" s="23">
        <v>70000</v>
      </c>
      <c r="Q283" s="20" t="s">
        <v>824</v>
      </c>
      <c r="R283" s="20" t="s">
        <v>825</v>
      </c>
      <c r="S283" s="20" t="s">
        <v>12</v>
      </c>
      <c r="T283" s="20" t="s">
        <v>826</v>
      </c>
      <c r="U283" s="20" t="s">
        <v>12</v>
      </c>
      <c r="V283" s="20" t="s">
        <v>827</v>
      </c>
      <c r="W283" s="20" t="s">
        <v>827</v>
      </c>
    </row>
    <row r="284" spans="1:23" ht="10.5" customHeight="1" x14ac:dyDescent="0.25">
      <c r="A284" s="19">
        <v>46036</v>
      </c>
      <c r="B284" s="20" t="str">
        <f t="shared" si="10"/>
        <v>14/01/2026NL300142</v>
      </c>
      <c r="C284" s="21" t="s">
        <v>864</v>
      </c>
      <c r="D284" s="21" t="s">
        <v>819</v>
      </c>
      <c r="E284" s="20" t="s">
        <v>820</v>
      </c>
      <c r="F284" s="20" t="s">
        <v>821</v>
      </c>
      <c r="G284" s="20" t="s">
        <v>865</v>
      </c>
      <c r="H284" s="20" t="s">
        <v>766</v>
      </c>
      <c r="I284" s="20" t="s">
        <v>829</v>
      </c>
      <c r="J284" s="20" t="s">
        <v>190</v>
      </c>
      <c r="K284" s="22">
        <v>0.65</v>
      </c>
      <c r="L284" s="23">
        <v>50000</v>
      </c>
      <c r="M284" s="23">
        <v>0</v>
      </c>
      <c r="N284" s="24">
        <f t="shared" si="11"/>
        <v>32500</v>
      </c>
      <c r="O284" s="24">
        <v>0</v>
      </c>
      <c r="P284" s="23">
        <v>50000</v>
      </c>
      <c r="Q284" s="20" t="s">
        <v>824</v>
      </c>
      <c r="R284" s="20" t="s">
        <v>825</v>
      </c>
      <c r="S284" s="20" t="s">
        <v>12</v>
      </c>
      <c r="T284" s="20" t="s">
        <v>826</v>
      </c>
      <c r="U284" s="20" t="s">
        <v>12</v>
      </c>
      <c r="V284" s="20" t="s">
        <v>827</v>
      </c>
      <c r="W284" s="20" t="s">
        <v>827</v>
      </c>
    </row>
    <row r="285" spans="1:23" ht="10.5" customHeight="1" x14ac:dyDescent="0.25">
      <c r="A285" s="19">
        <v>46036</v>
      </c>
      <c r="B285" s="20" t="str">
        <f t="shared" si="10"/>
        <v>14/01/2026NL300147</v>
      </c>
      <c r="C285" s="21" t="s">
        <v>864</v>
      </c>
      <c r="D285" s="21" t="s">
        <v>819</v>
      </c>
      <c r="E285" s="20" t="s">
        <v>820</v>
      </c>
      <c r="F285" s="20" t="s">
        <v>821</v>
      </c>
      <c r="G285" s="20" t="s">
        <v>865</v>
      </c>
      <c r="H285" s="20" t="s">
        <v>790</v>
      </c>
      <c r="I285" s="20" t="s">
        <v>791</v>
      </c>
      <c r="J285" s="20" t="s">
        <v>190</v>
      </c>
      <c r="K285" s="22">
        <v>3.5</v>
      </c>
      <c r="L285" s="23">
        <v>62000</v>
      </c>
      <c r="M285" s="23">
        <v>0</v>
      </c>
      <c r="N285" s="24">
        <f t="shared" si="11"/>
        <v>217000</v>
      </c>
      <c r="O285" s="24">
        <v>0</v>
      </c>
      <c r="P285" s="23">
        <v>62000</v>
      </c>
      <c r="Q285" s="20" t="s">
        <v>824</v>
      </c>
      <c r="R285" s="20" t="s">
        <v>825</v>
      </c>
      <c r="S285" s="20" t="s">
        <v>12</v>
      </c>
      <c r="T285" s="20" t="s">
        <v>826</v>
      </c>
      <c r="U285" s="20" t="s">
        <v>12</v>
      </c>
      <c r="V285" s="20" t="s">
        <v>827</v>
      </c>
      <c r="W285" s="20" t="s">
        <v>827</v>
      </c>
    </row>
    <row r="286" spans="1:23" ht="10.5" customHeight="1" x14ac:dyDescent="0.25">
      <c r="A286" s="19">
        <v>46036</v>
      </c>
      <c r="B286" s="20" t="str">
        <f t="shared" si="10"/>
        <v>14/01/2026NL300119</v>
      </c>
      <c r="C286" s="21" t="s">
        <v>864</v>
      </c>
      <c r="D286" s="21" t="s">
        <v>819</v>
      </c>
      <c r="E286" s="20" t="s">
        <v>820</v>
      </c>
      <c r="F286" s="20" t="s">
        <v>821</v>
      </c>
      <c r="G286" s="20" t="s">
        <v>865</v>
      </c>
      <c r="H286" s="20" t="s">
        <v>652</v>
      </c>
      <c r="I286" s="20" t="s">
        <v>653</v>
      </c>
      <c r="J286" s="20" t="s">
        <v>190</v>
      </c>
      <c r="K286" s="22">
        <v>2.8</v>
      </c>
      <c r="L286" s="23">
        <v>21000</v>
      </c>
      <c r="M286" s="23">
        <v>0</v>
      </c>
      <c r="N286" s="24">
        <f t="shared" si="11"/>
        <v>58799.999999999993</v>
      </c>
      <c r="O286" s="24">
        <v>0</v>
      </c>
      <c r="P286" s="23">
        <v>21000</v>
      </c>
      <c r="Q286" s="20" t="s">
        <v>824</v>
      </c>
      <c r="R286" s="20" t="s">
        <v>825</v>
      </c>
      <c r="S286" s="20" t="s">
        <v>12</v>
      </c>
      <c r="T286" s="20" t="s">
        <v>826</v>
      </c>
      <c r="U286" s="20" t="s">
        <v>12</v>
      </c>
      <c r="V286" s="20" t="s">
        <v>827</v>
      </c>
      <c r="W286" s="20" t="s">
        <v>827</v>
      </c>
    </row>
    <row r="287" spans="1:23" ht="10.5" customHeight="1" x14ac:dyDescent="0.25">
      <c r="A287" s="19">
        <v>46036</v>
      </c>
      <c r="B287" s="20" t="str">
        <f t="shared" si="10"/>
        <v>14/01/2026NL600004</v>
      </c>
      <c r="C287" s="21" t="s">
        <v>864</v>
      </c>
      <c r="D287" s="21" t="s">
        <v>819</v>
      </c>
      <c r="E287" s="20" t="s">
        <v>820</v>
      </c>
      <c r="F287" s="20" t="s">
        <v>821</v>
      </c>
      <c r="G287" s="20" t="s">
        <v>865</v>
      </c>
      <c r="H287" s="20" t="s">
        <v>427</v>
      </c>
      <c r="I287" s="20" t="s">
        <v>51</v>
      </c>
      <c r="J287" s="20" t="s">
        <v>190</v>
      </c>
      <c r="K287" s="22">
        <v>8</v>
      </c>
      <c r="L287" s="23">
        <v>18000</v>
      </c>
      <c r="M287" s="23">
        <v>0</v>
      </c>
      <c r="N287" s="24">
        <f t="shared" si="11"/>
        <v>144000</v>
      </c>
      <c r="O287" s="24">
        <v>0</v>
      </c>
      <c r="P287" s="23">
        <v>18000</v>
      </c>
      <c r="Q287" s="20" t="s">
        <v>824</v>
      </c>
      <c r="R287" s="20" t="s">
        <v>825</v>
      </c>
      <c r="S287" s="20" t="s">
        <v>12</v>
      </c>
      <c r="T287" s="20" t="s">
        <v>826</v>
      </c>
      <c r="U287" s="20" t="s">
        <v>12</v>
      </c>
      <c r="V287" s="20" t="s">
        <v>827</v>
      </c>
      <c r="W287" s="20" t="s">
        <v>827</v>
      </c>
    </row>
    <row r="288" spans="1:23" ht="10.5" customHeight="1" x14ac:dyDescent="0.25">
      <c r="A288" s="19">
        <v>46036</v>
      </c>
      <c r="B288" s="20" t="str">
        <f t="shared" si="10"/>
        <v>14/01/2026NL600067</v>
      </c>
      <c r="C288" s="21" t="s">
        <v>864</v>
      </c>
      <c r="D288" s="21" t="s">
        <v>819</v>
      </c>
      <c r="E288" s="20" t="s">
        <v>820</v>
      </c>
      <c r="F288" s="20" t="s">
        <v>821</v>
      </c>
      <c r="G288" s="20" t="s">
        <v>865</v>
      </c>
      <c r="H288" s="20" t="s">
        <v>312</v>
      </c>
      <c r="I288" s="20" t="s">
        <v>55</v>
      </c>
      <c r="J288" s="20" t="s">
        <v>190</v>
      </c>
      <c r="K288" s="22">
        <v>0.56999999999999995</v>
      </c>
      <c r="L288" s="23">
        <v>75000</v>
      </c>
      <c r="M288" s="23">
        <v>0</v>
      </c>
      <c r="N288" s="24">
        <f t="shared" si="11"/>
        <v>42749.999999999993</v>
      </c>
      <c r="O288" s="24">
        <v>0</v>
      </c>
      <c r="P288" s="23">
        <v>75000</v>
      </c>
      <c r="Q288" s="20" t="s">
        <v>824</v>
      </c>
      <c r="R288" s="20" t="s">
        <v>825</v>
      </c>
      <c r="S288" s="20" t="s">
        <v>12</v>
      </c>
      <c r="T288" s="20" t="s">
        <v>826</v>
      </c>
      <c r="U288" s="20" t="s">
        <v>12</v>
      </c>
      <c r="V288" s="20" t="s">
        <v>827</v>
      </c>
      <c r="W288" s="20" t="s">
        <v>827</v>
      </c>
    </row>
    <row r="289" spans="1:23" ht="10.5" customHeight="1" x14ac:dyDescent="0.25">
      <c r="A289" s="19">
        <v>46037</v>
      </c>
      <c r="B289" s="20" t="str">
        <f t="shared" si="10"/>
        <v>15/01/2026NL300018</v>
      </c>
      <c r="C289" s="21" t="s">
        <v>866</v>
      </c>
      <c r="D289" s="21" t="s">
        <v>819</v>
      </c>
      <c r="E289" s="20" t="s">
        <v>820</v>
      </c>
      <c r="F289" s="20" t="s">
        <v>821</v>
      </c>
      <c r="G289" s="20" t="s">
        <v>867</v>
      </c>
      <c r="H289" s="20" t="s">
        <v>294</v>
      </c>
      <c r="I289" s="20" t="s">
        <v>830</v>
      </c>
      <c r="J289" s="20" t="s">
        <v>190</v>
      </c>
      <c r="K289" s="22">
        <v>1</v>
      </c>
      <c r="L289" s="23">
        <v>38000</v>
      </c>
      <c r="M289" s="23">
        <v>0</v>
      </c>
      <c r="N289" s="24">
        <f t="shared" si="11"/>
        <v>38000</v>
      </c>
      <c r="O289" s="24">
        <v>0</v>
      </c>
      <c r="P289" s="23">
        <v>38000</v>
      </c>
      <c r="Q289" s="20" t="s">
        <v>824</v>
      </c>
      <c r="R289" s="20" t="s">
        <v>825</v>
      </c>
      <c r="S289" s="20" t="s">
        <v>12</v>
      </c>
      <c r="T289" s="20" t="s">
        <v>826</v>
      </c>
      <c r="U289" s="20" t="s">
        <v>12</v>
      </c>
      <c r="V289" s="20" t="s">
        <v>827</v>
      </c>
      <c r="W289" s="20" t="s">
        <v>827</v>
      </c>
    </row>
    <row r="290" spans="1:23" ht="10.5" customHeight="1" x14ac:dyDescent="0.25">
      <c r="A290" s="19">
        <v>46037</v>
      </c>
      <c r="B290" s="20" t="str">
        <f t="shared" si="10"/>
        <v>15/01/2026NL300022</v>
      </c>
      <c r="C290" s="21" t="s">
        <v>866</v>
      </c>
      <c r="D290" s="21" t="s">
        <v>819</v>
      </c>
      <c r="E290" s="20" t="s">
        <v>820</v>
      </c>
      <c r="F290" s="20" t="s">
        <v>821</v>
      </c>
      <c r="G290" s="20" t="s">
        <v>867</v>
      </c>
      <c r="H290" s="20" t="s">
        <v>305</v>
      </c>
      <c r="I290" s="20" t="s">
        <v>67</v>
      </c>
      <c r="J290" s="20" t="s">
        <v>190</v>
      </c>
      <c r="K290" s="22">
        <v>4</v>
      </c>
      <c r="L290" s="23">
        <v>18000</v>
      </c>
      <c r="M290" s="23">
        <v>0</v>
      </c>
      <c r="N290" s="24">
        <f t="shared" si="11"/>
        <v>72000</v>
      </c>
      <c r="O290" s="24">
        <v>0</v>
      </c>
      <c r="P290" s="23">
        <v>18000</v>
      </c>
      <c r="Q290" s="20" t="s">
        <v>824</v>
      </c>
      <c r="R290" s="20" t="s">
        <v>825</v>
      </c>
      <c r="S290" s="20" t="s">
        <v>12</v>
      </c>
      <c r="T290" s="20" t="s">
        <v>826</v>
      </c>
      <c r="U290" s="20" t="s">
        <v>12</v>
      </c>
      <c r="V290" s="20" t="s">
        <v>827</v>
      </c>
      <c r="W290" s="20" t="s">
        <v>827</v>
      </c>
    </row>
    <row r="291" spans="1:23" ht="10.5" customHeight="1" x14ac:dyDescent="0.25">
      <c r="A291" s="19">
        <v>46037</v>
      </c>
      <c r="B291" s="20" t="str">
        <f t="shared" si="10"/>
        <v>15/01/2026NL300033</v>
      </c>
      <c r="C291" s="21" t="s">
        <v>866</v>
      </c>
      <c r="D291" s="21" t="s">
        <v>819</v>
      </c>
      <c r="E291" s="20" t="s">
        <v>820</v>
      </c>
      <c r="F291" s="20" t="s">
        <v>821</v>
      </c>
      <c r="G291" s="20" t="s">
        <v>867</v>
      </c>
      <c r="H291" s="20" t="s">
        <v>335</v>
      </c>
      <c r="I291" s="20" t="s">
        <v>823</v>
      </c>
      <c r="J291" s="20" t="s">
        <v>190</v>
      </c>
      <c r="K291" s="22">
        <v>0.9</v>
      </c>
      <c r="L291" s="23">
        <v>13000</v>
      </c>
      <c r="M291" s="23">
        <v>0</v>
      </c>
      <c r="N291" s="24">
        <f t="shared" si="11"/>
        <v>11700</v>
      </c>
      <c r="O291" s="24">
        <v>0</v>
      </c>
      <c r="P291" s="23">
        <v>13000</v>
      </c>
      <c r="Q291" s="20" t="s">
        <v>824</v>
      </c>
      <c r="R291" s="20" t="s">
        <v>825</v>
      </c>
      <c r="S291" s="20" t="s">
        <v>12</v>
      </c>
      <c r="T291" s="20" t="s">
        <v>826</v>
      </c>
      <c r="U291" s="20" t="s">
        <v>12</v>
      </c>
      <c r="V291" s="20" t="s">
        <v>827</v>
      </c>
      <c r="W291" s="20" t="s">
        <v>827</v>
      </c>
    </row>
    <row r="292" spans="1:23" ht="10.5" customHeight="1" x14ac:dyDescent="0.25">
      <c r="A292" s="19">
        <v>46037</v>
      </c>
      <c r="B292" s="20" t="str">
        <f t="shared" si="10"/>
        <v>15/01/2026NL300036</v>
      </c>
      <c r="C292" s="21" t="s">
        <v>866</v>
      </c>
      <c r="D292" s="21" t="s">
        <v>819</v>
      </c>
      <c r="E292" s="20" t="s">
        <v>820</v>
      </c>
      <c r="F292" s="20" t="s">
        <v>821</v>
      </c>
      <c r="G292" s="20" t="s">
        <v>867</v>
      </c>
      <c r="H292" s="20" t="s">
        <v>357</v>
      </c>
      <c r="I292" s="20" t="s">
        <v>17</v>
      </c>
      <c r="J292" s="20" t="s">
        <v>190</v>
      </c>
      <c r="K292" s="22">
        <v>0.8</v>
      </c>
      <c r="L292" s="23">
        <v>47000</v>
      </c>
      <c r="M292" s="23">
        <v>0</v>
      </c>
      <c r="N292" s="24">
        <f t="shared" si="11"/>
        <v>37600</v>
      </c>
      <c r="O292" s="24">
        <v>0</v>
      </c>
      <c r="P292" s="23">
        <v>47000</v>
      </c>
      <c r="Q292" s="20" t="s">
        <v>824</v>
      </c>
      <c r="R292" s="20" t="s">
        <v>825</v>
      </c>
      <c r="S292" s="20" t="s">
        <v>12</v>
      </c>
      <c r="T292" s="20" t="s">
        <v>826</v>
      </c>
      <c r="U292" s="20" t="s">
        <v>12</v>
      </c>
      <c r="V292" s="20" t="s">
        <v>827</v>
      </c>
      <c r="W292" s="20" t="s">
        <v>827</v>
      </c>
    </row>
    <row r="293" spans="1:23" ht="10.5" customHeight="1" x14ac:dyDescent="0.25">
      <c r="A293" s="19">
        <v>46037</v>
      </c>
      <c r="B293" s="20" t="str">
        <f t="shared" si="10"/>
        <v>15/01/2026NL300058</v>
      </c>
      <c r="C293" s="21" t="s">
        <v>866</v>
      </c>
      <c r="D293" s="21" t="s">
        <v>819</v>
      </c>
      <c r="E293" s="20" t="s">
        <v>820</v>
      </c>
      <c r="F293" s="20" t="s">
        <v>821</v>
      </c>
      <c r="G293" s="20" t="s">
        <v>867</v>
      </c>
      <c r="H293" s="20" t="s">
        <v>450</v>
      </c>
      <c r="I293" s="20" t="s">
        <v>19</v>
      </c>
      <c r="J293" s="20" t="s">
        <v>190</v>
      </c>
      <c r="K293" s="22">
        <v>1.5</v>
      </c>
      <c r="L293" s="23">
        <v>55000</v>
      </c>
      <c r="M293" s="23">
        <v>0</v>
      </c>
      <c r="N293" s="24">
        <f t="shared" si="11"/>
        <v>82500</v>
      </c>
      <c r="O293" s="24">
        <v>0</v>
      </c>
      <c r="P293" s="23">
        <v>55000</v>
      </c>
      <c r="Q293" s="20" t="s">
        <v>824</v>
      </c>
      <c r="R293" s="20" t="s">
        <v>825</v>
      </c>
      <c r="S293" s="20" t="s">
        <v>12</v>
      </c>
      <c r="T293" s="20" t="s">
        <v>826</v>
      </c>
      <c r="U293" s="20" t="s">
        <v>12</v>
      </c>
      <c r="V293" s="20" t="s">
        <v>827</v>
      </c>
      <c r="W293" s="20" t="s">
        <v>827</v>
      </c>
    </row>
    <row r="294" spans="1:23" ht="10.5" customHeight="1" x14ac:dyDescent="0.25">
      <c r="A294" s="19">
        <v>46037</v>
      </c>
      <c r="B294" s="20" t="str">
        <f t="shared" si="10"/>
        <v>15/01/2026NL300085</v>
      </c>
      <c r="C294" s="21" t="s">
        <v>866</v>
      </c>
      <c r="D294" s="21" t="s">
        <v>819</v>
      </c>
      <c r="E294" s="20" t="s">
        <v>820</v>
      </c>
      <c r="F294" s="20" t="s">
        <v>821</v>
      </c>
      <c r="G294" s="20" t="s">
        <v>867</v>
      </c>
      <c r="H294" s="20" t="s">
        <v>564</v>
      </c>
      <c r="I294" s="20" t="s">
        <v>565</v>
      </c>
      <c r="J294" s="20" t="s">
        <v>190</v>
      </c>
      <c r="K294" s="22">
        <v>1</v>
      </c>
      <c r="L294" s="23">
        <v>45000</v>
      </c>
      <c r="M294" s="23">
        <v>0</v>
      </c>
      <c r="N294" s="24">
        <f t="shared" si="11"/>
        <v>45000</v>
      </c>
      <c r="O294" s="24">
        <v>0</v>
      </c>
      <c r="P294" s="23">
        <v>45000</v>
      </c>
      <c r="Q294" s="20" t="s">
        <v>824</v>
      </c>
      <c r="R294" s="20" t="s">
        <v>825</v>
      </c>
      <c r="S294" s="20" t="s">
        <v>12</v>
      </c>
      <c r="T294" s="20" t="s">
        <v>826</v>
      </c>
      <c r="U294" s="20" t="s">
        <v>12</v>
      </c>
      <c r="V294" s="20" t="s">
        <v>827</v>
      </c>
      <c r="W294" s="20" t="s">
        <v>827</v>
      </c>
    </row>
    <row r="295" spans="1:23" ht="10.5" customHeight="1" x14ac:dyDescent="0.25">
      <c r="A295" s="19">
        <v>46037</v>
      </c>
      <c r="B295" s="20" t="str">
        <f t="shared" si="10"/>
        <v>15/01/2026NL300091</v>
      </c>
      <c r="C295" s="21" t="s">
        <v>866</v>
      </c>
      <c r="D295" s="21" t="s">
        <v>819</v>
      </c>
      <c r="E295" s="20" t="s">
        <v>820</v>
      </c>
      <c r="F295" s="20" t="s">
        <v>821</v>
      </c>
      <c r="G295" s="20" t="s">
        <v>867</v>
      </c>
      <c r="H295" s="20" t="s">
        <v>580</v>
      </c>
      <c r="I295" s="20" t="s">
        <v>39</v>
      </c>
      <c r="J295" s="20" t="s">
        <v>190</v>
      </c>
      <c r="K295" s="22">
        <v>4</v>
      </c>
      <c r="L295" s="23">
        <v>47000</v>
      </c>
      <c r="M295" s="23">
        <v>0</v>
      </c>
      <c r="N295" s="24">
        <f t="shared" si="11"/>
        <v>188000</v>
      </c>
      <c r="O295" s="24">
        <v>0</v>
      </c>
      <c r="P295" s="23">
        <v>47000</v>
      </c>
      <c r="Q295" s="20" t="s">
        <v>824</v>
      </c>
      <c r="R295" s="20" t="s">
        <v>825</v>
      </c>
      <c r="S295" s="20" t="s">
        <v>12</v>
      </c>
      <c r="T295" s="20" t="s">
        <v>826</v>
      </c>
      <c r="U295" s="20" t="s">
        <v>12</v>
      </c>
      <c r="V295" s="20" t="s">
        <v>827</v>
      </c>
      <c r="W295" s="20" t="s">
        <v>827</v>
      </c>
    </row>
    <row r="296" spans="1:23" ht="10.5" customHeight="1" x14ac:dyDescent="0.25">
      <c r="A296" s="19">
        <v>46037</v>
      </c>
      <c r="B296" s="20" t="str">
        <f t="shared" si="10"/>
        <v>15/01/2026NL300113</v>
      </c>
      <c r="C296" s="21" t="s">
        <v>866</v>
      </c>
      <c r="D296" s="21" t="s">
        <v>819</v>
      </c>
      <c r="E296" s="20" t="s">
        <v>820</v>
      </c>
      <c r="F296" s="20" t="s">
        <v>821</v>
      </c>
      <c r="G296" s="20" t="s">
        <v>867</v>
      </c>
      <c r="H296" s="20" t="s">
        <v>627</v>
      </c>
      <c r="I296" s="20" t="s">
        <v>30</v>
      </c>
      <c r="J296" s="20" t="s">
        <v>190</v>
      </c>
      <c r="K296" s="22">
        <v>0.7</v>
      </c>
      <c r="L296" s="23">
        <v>145000</v>
      </c>
      <c r="M296" s="23">
        <v>0</v>
      </c>
      <c r="N296" s="24">
        <f t="shared" si="11"/>
        <v>101500</v>
      </c>
      <c r="O296" s="24">
        <v>0</v>
      </c>
      <c r="P296" s="23">
        <v>145000</v>
      </c>
      <c r="Q296" s="20" t="s">
        <v>824</v>
      </c>
      <c r="R296" s="20" t="s">
        <v>825</v>
      </c>
      <c r="S296" s="20" t="s">
        <v>12</v>
      </c>
      <c r="T296" s="20" t="s">
        <v>826</v>
      </c>
      <c r="U296" s="20" t="s">
        <v>12</v>
      </c>
      <c r="V296" s="20" t="s">
        <v>827</v>
      </c>
      <c r="W296" s="20" t="s">
        <v>827</v>
      </c>
    </row>
    <row r="297" spans="1:23" ht="10.5" customHeight="1" x14ac:dyDescent="0.25">
      <c r="A297" s="19">
        <v>46037</v>
      </c>
      <c r="B297" s="20" t="str">
        <f t="shared" si="10"/>
        <v>15/01/2026NL300142</v>
      </c>
      <c r="C297" s="21" t="s">
        <v>866</v>
      </c>
      <c r="D297" s="21" t="s">
        <v>819</v>
      </c>
      <c r="E297" s="20" t="s">
        <v>820</v>
      </c>
      <c r="F297" s="20" t="s">
        <v>821</v>
      </c>
      <c r="G297" s="20" t="s">
        <v>867</v>
      </c>
      <c r="H297" s="20" t="s">
        <v>766</v>
      </c>
      <c r="I297" s="20" t="s">
        <v>829</v>
      </c>
      <c r="J297" s="20" t="s">
        <v>190</v>
      </c>
      <c r="K297" s="22">
        <v>0.6</v>
      </c>
      <c r="L297" s="23">
        <v>50000</v>
      </c>
      <c r="M297" s="23">
        <v>0</v>
      </c>
      <c r="N297" s="24">
        <f t="shared" si="11"/>
        <v>30000</v>
      </c>
      <c r="O297" s="24">
        <v>0</v>
      </c>
      <c r="P297" s="23">
        <v>50000</v>
      </c>
      <c r="Q297" s="20" t="s">
        <v>824</v>
      </c>
      <c r="R297" s="20" t="s">
        <v>825</v>
      </c>
      <c r="S297" s="20" t="s">
        <v>12</v>
      </c>
      <c r="T297" s="20" t="s">
        <v>826</v>
      </c>
      <c r="U297" s="20" t="s">
        <v>12</v>
      </c>
      <c r="V297" s="20" t="s">
        <v>827</v>
      </c>
      <c r="W297" s="20" t="s">
        <v>827</v>
      </c>
    </row>
    <row r="298" spans="1:23" ht="10.5" customHeight="1" x14ac:dyDescent="0.25">
      <c r="A298" s="19">
        <v>46037</v>
      </c>
      <c r="B298" s="20" t="str">
        <f t="shared" si="10"/>
        <v>15/01/2026NL300147</v>
      </c>
      <c r="C298" s="21" t="s">
        <v>866</v>
      </c>
      <c r="D298" s="21" t="s">
        <v>819</v>
      </c>
      <c r="E298" s="20" t="s">
        <v>820</v>
      </c>
      <c r="F298" s="20" t="s">
        <v>821</v>
      </c>
      <c r="G298" s="20" t="s">
        <v>867</v>
      </c>
      <c r="H298" s="20" t="s">
        <v>790</v>
      </c>
      <c r="I298" s="20" t="s">
        <v>791</v>
      </c>
      <c r="J298" s="20" t="s">
        <v>190</v>
      </c>
      <c r="K298" s="22">
        <v>4.5</v>
      </c>
      <c r="L298" s="23">
        <v>62000</v>
      </c>
      <c r="M298" s="23">
        <v>0</v>
      </c>
      <c r="N298" s="24">
        <f t="shared" si="11"/>
        <v>279000</v>
      </c>
      <c r="O298" s="24">
        <v>0</v>
      </c>
      <c r="P298" s="23">
        <v>62000</v>
      </c>
      <c r="Q298" s="20" t="s">
        <v>824</v>
      </c>
      <c r="R298" s="20" t="s">
        <v>825</v>
      </c>
      <c r="S298" s="20" t="s">
        <v>12</v>
      </c>
      <c r="T298" s="20" t="s">
        <v>826</v>
      </c>
      <c r="U298" s="20" t="s">
        <v>12</v>
      </c>
      <c r="V298" s="20" t="s">
        <v>827</v>
      </c>
      <c r="W298" s="20" t="s">
        <v>827</v>
      </c>
    </row>
    <row r="299" spans="1:23" ht="10.5" customHeight="1" x14ac:dyDescent="0.25">
      <c r="A299" s="19">
        <v>46037</v>
      </c>
      <c r="B299" s="20" t="str">
        <f t="shared" si="10"/>
        <v>15/01/2026NL300203</v>
      </c>
      <c r="C299" s="21" t="s">
        <v>866</v>
      </c>
      <c r="D299" s="21" t="s">
        <v>819</v>
      </c>
      <c r="E299" s="20" t="s">
        <v>820</v>
      </c>
      <c r="F299" s="20" t="s">
        <v>821</v>
      </c>
      <c r="G299" s="20" t="s">
        <v>867</v>
      </c>
      <c r="H299" s="20" t="s">
        <v>346</v>
      </c>
      <c r="I299" s="20" t="s">
        <v>347</v>
      </c>
      <c r="J299" s="20" t="s">
        <v>190</v>
      </c>
      <c r="K299" s="22">
        <v>0.5</v>
      </c>
      <c r="L299" s="23">
        <v>45000</v>
      </c>
      <c r="M299" s="23">
        <v>0</v>
      </c>
      <c r="N299" s="24">
        <f t="shared" si="11"/>
        <v>22500</v>
      </c>
      <c r="O299" s="24">
        <v>0</v>
      </c>
      <c r="P299" s="23">
        <v>45000</v>
      </c>
      <c r="Q299" s="20" t="s">
        <v>824</v>
      </c>
      <c r="R299" s="20" t="s">
        <v>825</v>
      </c>
      <c r="S299" s="20" t="s">
        <v>12</v>
      </c>
      <c r="T299" s="20" t="s">
        <v>826</v>
      </c>
      <c r="U299" s="20" t="s">
        <v>12</v>
      </c>
      <c r="V299" s="20" t="s">
        <v>827</v>
      </c>
      <c r="W299" s="20" t="s">
        <v>827</v>
      </c>
    </row>
    <row r="300" spans="1:23" ht="10.5" customHeight="1" x14ac:dyDescent="0.25">
      <c r="A300" s="19">
        <v>46037</v>
      </c>
      <c r="B300" s="20" t="str">
        <f t="shared" si="10"/>
        <v>15/01/2026NL300029</v>
      </c>
      <c r="C300" s="21" t="s">
        <v>866</v>
      </c>
      <c r="D300" s="21" t="s">
        <v>819</v>
      </c>
      <c r="E300" s="20" t="s">
        <v>820</v>
      </c>
      <c r="F300" s="20" t="s">
        <v>821</v>
      </c>
      <c r="G300" s="20" t="s">
        <v>867</v>
      </c>
      <c r="H300" s="20" t="s">
        <v>322</v>
      </c>
      <c r="I300" s="20" t="s">
        <v>323</v>
      </c>
      <c r="J300" s="20" t="s">
        <v>190</v>
      </c>
      <c r="K300" s="22">
        <v>0.6</v>
      </c>
      <c r="L300" s="23">
        <v>22000</v>
      </c>
      <c r="M300" s="23">
        <v>0</v>
      </c>
      <c r="N300" s="24">
        <f t="shared" si="11"/>
        <v>13200</v>
      </c>
      <c r="O300" s="24">
        <v>0</v>
      </c>
      <c r="P300" s="23">
        <v>22000</v>
      </c>
      <c r="Q300" s="20" t="s">
        <v>824</v>
      </c>
      <c r="R300" s="20" t="s">
        <v>825</v>
      </c>
      <c r="S300" s="20" t="s">
        <v>12</v>
      </c>
      <c r="T300" s="20" t="s">
        <v>826</v>
      </c>
      <c r="U300" s="20" t="s">
        <v>12</v>
      </c>
      <c r="V300" s="20" t="s">
        <v>827</v>
      </c>
      <c r="W300" s="20" t="s">
        <v>827</v>
      </c>
    </row>
    <row r="301" spans="1:23" ht="10.5" customHeight="1" x14ac:dyDescent="0.25">
      <c r="A301" s="19">
        <v>46037</v>
      </c>
      <c r="B301" s="20" t="str">
        <f t="shared" si="10"/>
        <v>15/01/2026NL300030</v>
      </c>
      <c r="C301" s="21" t="s">
        <v>866</v>
      </c>
      <c r="D301" s="21" t="s">
        <v>819</v>
      </c>
      <c r="E301" s="20" t="s">
        <v>820</v>
      </c>
      <c r="F301" s="20" t="s">
        <v>821</v>
      </c>
      <c r="G301" s="20" t="s">
        <v>867</v>
      </c>
      <c r="H301" s="20" t="s">
        <v>326</v>
      </c>
      <c r="I301" s="20" t="s">
        <v>834</v>
      </c>
      <c r="J301" s="20" t="s">
        <v>190</v>
      </c>
      <c r="K301" s="22">
        <v>0.6</v>
      </c>
      <c r="L301" s="23">
        <v>34000</v>
      </c>
      <c r="M301" s="23">
        <v>0</v>
      </c>
      <c r="N301" s="24">
        <f t="shared" si="11"/>
        <v>20400</v>
      </c>
      <c r="O301" s="24">
        <v>0</v>
      </c>
      <c r="P301" s="23">
        <v>34000</v>
      </c>
      <c r="Q301" s="20" t="s">
        <v>824</v>
      </c>
      <c r="R301" s="20" t="s">
        <v>825</v>
      </c>
      <c r="S301" s="20" t="s">
        <v>12</v>
      </c>
      <c r="T301" s="20" t="s">
        <v>826</v>
      </c>
      <c r="U301" s="20" t="s">
        <v>12</v>
      </c>
      <c r="V301" s="20" t="s">
        <v>827</v>
      </c>
      <c r="W301" s="20" t="s">
        <v>827</v>
      </c>
    </row>
    <row r="302" spans="1:23" ht="10.5" customHeight="1" x14ac:dyDescent="0.25">
      <c r="A302" s="19">
        <v>46037</v>
      </c>
      <c r="B302" s="20" t="str">
        <f t="shared" si="10"/>
        <v>15/01/2026NL300119</v>
      </c>
      <c r="C302" s="21" t="s">
        <v>866</v>
      </c>
      <c r="D302" s="21" t="s">
        <v>819</v>
      </c>
      <c r="E302" s="20" t="s">
        <v>820</v>
      </c>
      <c r="F302" s="20" t="s">
        <v>821</v>
      </c>
      <c r="G302" s="20" t="s">
        <v>867</v>
      </c>
      <c r="H302" s="20" t="s">
        <v>652</v>
      </c>
      <c r="I302" s="20" t="s">
        <v>653</v>
      </c>
      <c r="J302" s="20" t="s">
        <v>190</v>
      </c>
      <c r="K302" s="22">
        <v>4</v>
      </c>
      <c r="L302" s="23">
        <v>21000</v>
      </c>
      <c r="M302" s="23">
        <v>0</v>
      </c>
      <c r="N302" s="24">
        <f t="shared" si="11"/>
        <v>84000</v>
      </c>
      <c r="O302" s="24">
        <v>0</v>
      </c>
      <c r="P302" s="23">
        <v>21000</v>
      </c>
      <c r="Q302" s="20" t="s">
        <v>824</v>
      </c>
      <c r="R302" s="20" t="s">
        <v>825</v>
      </c>
      <c r="S302" s="20" t="s">
        <v>12</v>
      </c>
      <c r="T302" s="20" t="s">
        <v>826</v>
      </c>
      <c r="U302" s="20" t="s">
        <v>12</v>
      </c>
      <c r="V302" s="20" t="s">
        <v>827</v>
      </c>
      <c r="W302" s="20" t="s">
        <v>827</v>
      </c>
    </row>
    <row r="303" spans="1:23" ht="10.5" customHeight="1" x14ac:dyDescent="0.25">
      <c r="A303" s="19">
        <v>46037</v>
      </c>
      <c r="B303" s="20" t="str">
        <f t="shared" si="10"/>
        <v>15/01/2026NL600004</v>
      </c>
      <c r="C303" s="21" t="s">
        <v>866</v>
      </c>
      <c r="D303" s="21" t="s">
        <v>819</v>
      </c>
      <c r="E303" s="20" t="s">
        <v>820</v>
      </c>
      <c r="F303" s="20" t="s">
        <v>821</v>
      </c>
      <c r="G303" s="20" t="s">
        <v>867</v>
      </c>
      <c r="H303" s="20" t="s">
        <v>427</v>
      </c>
      <c r="I303" s="20" t="s">
        <v>51</v>
      </c>
      <c r="J303" s="20" t="s">
        <v>190</v>
      </c>
      <c r="K303" s="22">
        <v>10</v>
      </c>
      <c r="L303" s="23">
        <v>18000</v>
      </c>
      <c r="M303" s="23">
        <v>0</v>
      </c>
      <c r="N303" s="24">
        <f t="shared" si="11"/>
        <v>180000</v>
      </c>
      <c r="O303" s="24">
        <v>0</v>
      </c>
      <c r="P303" s="23">
        <v>18000</v>
      </c>
      <c r="Q303" s="20" t="s">
        <v>824</v>
      </c>
      <c r="R303" s="20" t="s">
        <v>825</v>
      </c>
      <c r="S303" s="20" t="s">
        <v>12</v>
      </c>
      <c r="T303" s="20" t="s">
        <v>826</v>
      </c>
      <c r="U303" s="20" t="s">
        <v>12</v>
      </c>
      <c r="V303" s="20" t="s">
        <v>827</v>
      </c>
      <c r="W303" s="20" t="s">
        <v>827</v>
      </c>
    </row>
  </sheetData>
  <autoFilter ref="A1:W1" xr:uid="{98D37185-50E4-4DF5-ADED-18226DF8A3C4}"/>
  <conditionalFormatting sqref="H141:H161">
    <cfRule type="duplicateValues" dxfId="1" priority="3"/>
  </conditionalFormatting>
  <conditionalFormatting sqref="H232:H255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1E7C-43F3-4557-A6FF-D496F20F4695}">
  <dimension ref="A1:F224"/>
  <sheetViews>
    <sheetView topLeftCell="A191" workbookViewId="0">
      <selection activeCell="F2" sqref="F2:F224"/>
    </sheetView>
  </sheetViews>
  <sheetFormatPr defaultRowHeight="15" x14ac:dyDescent="0.25"/>
  <sheetData>
    <row r="1" spans="1:6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</row>
    <row r="2" spans="1:6" x14ac:dyDescent="0.25">
      <c r="A2">
        <v>1</v>
      </c>
      <c r="B2" t="s">
        <v>187</v>
      </c>
      <c r="C2" t="s">
        <v>188</v>
      </c>
      <c r="D2" t="s">
        <v>189</v>
      </c>
      <c r="E2" t="s">
        <v>190</v>
      </c>
      <c r="F2">
        <f>+VLOOKUP(C2,[1]Sheet1!A$2:E$167,4,0)</f>
        <v>20000</v>
      </c>
    </row>
    <row r="3" spans="1:6" x14ac:dyDescent="0.25">
      <c r="A3">
        <v>2</v>
      </c>
      <c r="B3" t="s">
        <v>191</v>
      </c>
      <c r="C3" t="s">
        <v>192</v>
      </c>
      <c r="D3" t="s">
        <v>193</v>
      </c>
      <c r="E3" t="s">
        <v>190</v>
      </c>
      <c r="F3">
        <f>+VLOOKUP(C3,[1]Sheet1!A$2:E$167,4,0)</f>
        <v>16000</v>
      </c>
    </row>
    <row r="4" spans="1:6" x14ac:dyDescent="0.25">
      <c r="A4">
        <v>3</v>
      </c>
      <c r="B4" t="s">
        <v>194</v>
      </c>
      <c r="C4" t="s">
        <v>195</v>
      </c>
      <c r="D4" t="s">
        <v>196</v>
      </c>
      <c r="E4" t="s">
        <v>190</v>
      </c>
      <c r="F4">
        <f>+VLOOKUP(C4,[1]Sheet1!A$2:E$167,4,0)</f>
        <v>26000</v>
      </c>
    </row>
    <row r="5" spans="1:6" x14ac:dyDescent="0.25">
      <c r="A5">
        <v>4</v>
      </c>
      <c r="B5" t="s">
        <v>197</v>
      </c>
      <c r="C5" t="s">
        <v>198</v>
      </c>
      <c r="D5" t="s">
        <v>199</v>
      </c>
      <c r="E5" t="s">
        <v>190</v>
      </c>
      <c r="F5">
        <f>+VLOOKUP(C5,[1]Sheet1!A$2:E$167,4,0)</f>
        <v>19000</v>
      </c>
    </row>
    <row r="6" spans="1:6" x14ac:dyDescent="0.25">
      <c r="A6">
        <v>5</v>
      </c>
      <c r="B6" t="s">
        <v>200</v>
      </c>
      <c r="C6" t="s">
        <v>201</v>
      </c>
      <c r="D6" t="s">
        <v>202</v>
      </c>
      <c r="E6" t="s">
        <v>190</v>
      </c>
      <c r="F6">
        <f>+VLOOKUP(C6,[1]Sheet1!A$2:E$167,4,0)</f>
        <v>24000</v>
      </c>
    </row>
    <row r="7" spans="1:6" x14ac:dyDescent="0.25">
      <c r="A7">
        <v>6</v>
      </c>
      <c r="B7" t="s">
        <v>200</v>
      </c>
      <c r="C7" t="s">
        <v>203</v>
      </c>
      <c r="D7" t="s">
        <v>204</v>
      </c>
      <c r="E7" t="s">
        <v>190</v>
      </c>
      <c r="F7" t="e">
        <f>+VLOOKUP(C7,[1]Sheet1!A$2:E$167,4,0)</f>
        <v>#N/A</v>
      </c>
    </row>
    <row r="8" spans="1:6" x14ac:dyDescent="0.25">
      <c r="A8">
        <v>7</v>
      </c>
      <c r="B8" t="s">
        <v>205</v>
      </c>
      <c r="C8" t="s">
        <v>206</v>
      </c>
      <c r="D8" t="s">
        <v>207</v>
      </c>
      <c r="E8" t="s">
        <v>190</v>
      </c>
      <c r="F8" t="e">
        <f>+VLOOKUP(C8,[1]Sheet1!A$2:E$167,4,0)</f>
        <v>#N/A</v>
      </c>
    </row>
    <row r="9" spans="1:6" x14ac:dyDescent="0.25">
      <c r="A9">
        <v>8</v>
      </c>
      <c r="B9" t="s">
        <v>34</v>
      </c>
      <c r="C9" t="s">
        <v>208</v>
      </c>
      <c r="D9" t="s">
        <v>209</v>
      </c>
      <c r="E9" t="s">
        <v>190</v>
      </c>
      <c r="F9">
        <f>+VLOOKUP(C9,[1]Sheet1!A$2:E$167,4,0)</f>
        <v>30000</v>
      </c>
    </row>
    <row r="10" spans="1:6" x14ac:dyDescent="0.25">
      <c r="A10">
        <v>9</v>
      </c>
      <c r="B10" t="s">
        <v>210</v>
      </c>
      <c r="C10" t="s">
        <v>211</v>
      </c>
      <c r="D10" t="s">
        <v>212</v>
      </c>
      <c r="E10" t="s">
        <v>190</v>
      </c>
      <c r="F10">
        <f>+VLOOKUP(C10,[1]Sheet1!A$2:E$167,4,0)</f>
        <v>40000</v>
      </c>
    </row>
    <row r="11" spans="1:6" x14ac:dyDescent="0.25">
      <c r="A11">
        <v>10</v>
      </c>
      <c r="B11" t="s">
        <v>205</v>
      </c>
      <c r="C11" t="s">
        <v>213</v>
      </c>
      <c r="D11" t="s">
        <v>214</v>
      </c>
      <c r="E11" t="s">
        <v>190</v>
      </c>
      <c r="F11" t="e">
        <f>+VLOOKUP(C11,[1]Sheet1!A$2:E$167,4,0)</f>
        <v>#N/A</v>
      </c>
    </row>
    <row r="12" spans="1:6" x14ac:dyDescent="0.25">
      <c r="A12">
        <v>11</v>
      </c>
      <c r="B12" t="s">
        <v>215</v>
      </c>
      <c r="C12" t="s">
        <v>216</v>
      </c>
      <c r="D12" t="s">
        <v>217</v>
      </c>
      <c r="E12" t="s">
        <v>190</v>
      </c>
      <c r="F12">
        <f>+VLOOKUP(C12,[1]Sheet1!A$2:E$167,4,0)</f>
        <v>28000</v>
      </c>
    </row>
    <row r="13" spans="1:6" x14ac:dyDescent="0.25">
      <c r="A13">
        <v>12</v>
      </c>
      <c r="B13" t="s">
        <v>218</v>
      </c>
      <c r="C13" t="s">
        <v>219</v>
      </c>
      <c r="D13" t="s">
        <v>220</v>
      </c>
      <c r="E13" t="s">
        <v>190</v>
      </c>
      <c r="F13" t="e">
        <f>+VLOOKUP(C13,[1]Sheet1!A$2:E$167,4,0)</f>
        <v>#N/A</v>
      </c>
    </row>
    <row r="14" spans="1:6" x14ac:dyDescent="0.25">
      <c r="A14">
        <v>13</v>
      </c>
      <c r="B14" t="s">
        <v>221</v>
      </c>
      <c r="C14" t="s">
        <v>222</v>
      </c>
      <c r="D14" t="s">
        <v>223</v>
      </c>
      <c r="E14" t="s">
        <v>190</v>
      </c>
      <c r="F14" t="e">
        <f>+VLOOKUP(C14,[1]Sheet1!A$2:E$167,4,0)</f>
        <v>#N/A</v>
      </c>
    </row>
    <row r="15" spans="1:6" x14ac:dyDescent="0.25">
      <c r="A15">
        <v>14</v>
      </c>
      <c r="B15" t="s">
        <v>224</v>
      </c>
      <c r="C15" t="s">
        <v>225</v>
      </c>
      <c r="D15" t="s">
        <v>226</v>
      </c>
      <c r="E15" t="s">
        <v>190</v>
      </c>
      <c r="F15" t="e">
        <f>+VLOOKUP(C15,[1]Sheet1!A$2:E$167,4,0)</f>
        <v>#N/A</v>
      </c>
    </row>
    <row r="16" spans="1:6" x14ac:dyDescent="0.25">
      <c r="A16">
        <v>15</v>
      </c>
      <c r="B16" t="s">
        <v>227</v>
      </c>
      <c r="C16" t="s">
        <v>228</v>
      </c>
      <c r="D16" t="s">
        <v>229</v>
      </c>
      <c r="E16" t="s">
        <v>190</v>
      </c>
      <c r="F16">
        <f>+VLOOKUP(C16,[1]Sheet1!A$2:E$167,4,0)</f>
        <v>15000</v>
      </c>
    </row>
    <row r="17" spans="1:6" x14ac:dyDescent="0.25">
      <c r="A17">
        <v>16</v>
      </c>
      <c r="B17" t="s">
        <v>230</v>
      </c>
      <c r="C17" t="s">
        <v>231</v>
      </c>
      <c r="D17" t="s">
        <v>232</v>
      </c>
      <c r="E17" t="s">
        <v>190</v>
      </c>
      <c r="F17" t="e">
        <f>+VLOOKUP(C17,[1]Sheet1!A$2:E$167,4,0)</f>
        <v>#N/A</v>
      </c>
    </row>
    <row r="18" spans="1:6" x14ac:dyDescent="0.25">
      <c r="A18">
        <v>17</v>
      </c>
      <c r="B18" t="s">
        <v>233</v>
      </c>
      <c r="C18" t="s">
        <v>234</v>
      </c>
      <c r="D18" t="s">
        <v>235</v>
      </c>
      <c r="E18" t="s">
        <v>190</v>
      </c>
      <c r="F18" t="e">
        <f>+VLOOKUP(C18,[1]Sheet1!A$2:E$167,4,0)</f>
        <v>#N/A</v>
      </c>
    </row>
    <row r="19" spans="1:6" x14ac:dyDescent="0.25">
      <c r="A19">
        <v>18</v>
      </c>
      <c r="B19" t="s">
        <v>64</v>
      </c>
      <c r="C19" t="s">
        <v>236</v>
      </c>
      <c r="D19" t="s">
        <v>65</v>
      </c>
      <c r="E19" t="s">
        <v>190</v>
      </c>
      <c r="F19">
        <f>+VLOOKUP(C19,[1]Sheet1!A$2:E$167,4,0)</f>
        <v>50000</v>
      </c>
    </row>
    <row r="20" spans="1:6" x14ac:dyDescent="0.25">
      <c r="A20">
        <v>19</v>
      </c>
      <c r="B20" t="s">
        <v>237</v>
      </c>
      <c r="C20" t="s">
        <v>238</v>
      </c>
      <c r="D20" t="s">
        <v>239</v>
      </c>
      <c r="E20" t="s">
        <v>190</v>
      </c>
      <c r="F20">
        <f>+VLOOKUP(C20,[1]Sheet1!A$2:E$167,4,0)</f>
        <v>55000</v>
      </c>
    </row>
    <row r="21" spans="1:6" x14ac:dyDescent="0.25">
      <c r="A21">
        <v>20</v>
      </c>
      <c r="B21" t="s">
        <v>240</v>
      </c>
      <c r="C21" t="s">
        <v>241</v>
      </c>
      <c r="D21" t="s">
        <v>242</v>
      </c>
      <c r="E21" t="s">
        <v>190</v>
      </c>
      <c r="F21" t="e">
        <f>+VLOOKUP(C21,[1]Sheet1!A$2:E$167,4,0)</f>
        <v>#N/A</v>
      </c>
    </row>
    <row r="22" spans="1:6" x14ac:dyDescent="0.25">
      <c r="A22">
        <v>21</v>
      </c>
      <c r="B22" t="s">
        <v>243</v>
      </c>
      <c r="C22" t="s">
        <v>244</v>
      </c>
      <c r="D22" t="s">
        <v>245</v>
      </c>
      <c r="E22" t="s">
        <v>190</v>
      </c>
      <c r="F22">
        <f>+VLOOKUP(C22,[1]Sheet1!A$2:E$167,4,0)</f>
        <v>82000</v>
      </c>
    </row>
    <row r="23" spans="1:6" x14ac:dyDescent="0.25">
      <c r="A23">
        <v>22</v>
      </c>
      <c r="B23" t="s">
        <v>246</v>
      </c>
      <c r="C23" t="s">
        <v>247</v>
      </c>
      <c r="D23" t="s">
        <v>248</v>
      </c>
      <c r="E23" t="s">
        <v>190</v>
      </c>
      <c r="F23" t="e">
        <f>+VLOOKUP(C23,[1]Sheet1!A$2:E$167,4,0)</f>
        <v>#N/A</v>
      </c>
    </row>
    <row r="24" spans="1:6" x14ac:dyDescent="0.25">
      <c r="A24">
        <v>23</v>
      </c>
      <c r="B24" t="s">
        <v>249</v>
      </c>
      <c r="C24" t="s">
        <v>250</v>
      </c>
      <c r="D24" t="s">
        <v>251</v>
      </c>
      <c r="E24" t="s">
        <v>190</v>
      </c>
      <c r="F24">
        <f>+VLOOKUP(C24,[1]Sheet1!A$2:E$167,4,0)</f>
        <v>85000</v>
      </c>
    </row>
    <row r="25" spans="1:6" x14ac:dyDescent="0.25">
      <c r="A25">
        <v>24</v>
      </c>
      <c r="B25" t="s">
        <v>252</v>
      </c>
      <c r="C25" t="s">
        <v>253</v>
      </c>
      <c r="D25" t="s">
        <v>254</v>
      </c>
      <c r="E25" t="s">
        <v>190</v>
      </c>
      <c r="F25" t="e">
        <f>+VLOOKUP(C25,[1]Sheet1!A$2:E$167,4,0)</f>
        <v>#N/A</v>
      </c>
    </row>
    <row r="26" spans="1:6" x14ac:dyDescent="0.25">
      <c r="A26">
        <v>25</v>
      </c>
      <c r="B26" t="s">
        <v>255</v>
      </c>
      <c r="C26" t="s">
        <v>256</v>
      </c>
      <c r="D26" t="s">
        <v>257</v>
      </c>
      <c r="E26" t="s">
        <v>190</v>
      </c>
      <c r="F26">
        <f>+VLOOKUP(C26,[1]Sheet1!A$2:E$167,4,0)</f>
        <v>120000</v>
      </c>
    </row>
    <row r="27" spans="1:6" x14ac:dyDescent="0.25">
      <c r="A27">
        <v>26</v>
      </c>
      <c r="B27" t="s">
        <v>258</v>
      </c>
      <c r="C27" t="s">
        <v>259</v>
      </c>
      <c r="D27" t="s">
        <v>260</v>
      </c>
      <c r="E27" t="s">
        <v>190</v>
      </c>
      <c r="F27">
        <f>+VLOOKUP(C27,[1]Sheet1!A$2:E$167,4,0)</f>
        <v>120000</v>
      </c>
    </row>
    <row r="28" spans="1:6" x14ac:dyDescent="0.25">
      <c r="A28">
        <v>27</v>
      </c>
      <c r="B28" t="s">
        <v>261</v>
      </c>
      <c r="C28" t="s">
        <v>262</v>
      </c>
      <c r="D28" t="s">
        <v>263</v>
      </c>
      <c r="E28" t="s">
        <v>190</v>
      </c>
      <c r="F28" t="e">
        <f>+VLOOKUP(C28,[1]Sheet1!A$2:E$167,4,0)</f>
        <v>#N/A</v>
      </c>
    </row>
    <row r="29" spans="1:6" x14ac:dyDescent="0.25">
      <c r="A29">
        <v>28</v>
      </c>
      <c r="B29" t="s">
        <v>264</v>
      </c>
      <c r="C29" t="s">
        <v>265</v>
      </c>
      <c r="D29" t="s">
        <v>266</v>
      </c>
      <c r="E29" t="s">
        <v>190</v>
      </c>
      <c r="F29">
        <f>+VLOOKUP(C29,[1]Sheet1!A$2:E$167,4,0)</f>
        <v>25000</v>
      </c>
    </row>
    <row r="30" spans="1:6" x14ac:dyDescent="0.25">
      <c r="A30">
        <v>29</v>
      </c>
      <c r="B30" t="s">
        <v>267</v>
      </c>
      <c r="C30" t="s">
        <v>268</v>
      </c>
      <c r="D30" t="s">
        <v>269</v>
      </c>
      <c r="E30" t="s">
        <v>190</v>
      </c>
      <c r="F30" t="e">
        <f>+VLOOKUP(C30,[1]Sheet1!A$2:E$167,4,0)</f>
        <v>#N/A</v>
      </c>
    </row>
    <row r="31" spans="1:6" x14ac:dyDescent="0.25">
      <c r="A31">
        <v>30</v>
      </c>
      <c r="B31" t="s">
        <v>270</v>
      </c>
      <c r="C31" t="s">
        <v>271</v>
      </c>
      <c r="D31" t="s">
        <v>272</v>
      </c>
      <c r="E31" t="s">
        <v>190</v>
      </c>
      <c r="F31">
        <f>+VLOOKUP(C31,[1]Sheet1!A$2:E$167,4,0)</f>
        <v>85000</v>
      </c>
    </row>
    <row r="32" spans="1:6" x14ac:dyDescent="0.25">
      <c r="A32">
        <v>31</v>
      </c>
      <c r="B32" t="s">
        <v>273</v>
      </c>
      <c r="C32" t="s">
        <v>274</v>
      </c>
      <c r="D32" t="s">
        <v>275</v>
      </c>
      <c r="E32" t="s">
        <v>190</v>
      </c>
      <c r="F32">
        <f>+VLOOKUP(C32,[1]Sheet1!A$2:E$167,4,0)</f>
        <v>18000</v>
      </c>
    </row>
    <row r="33" spans="1:6" x14ac:dyDescent="0.25">
      <c r="A33">
        <v>32</v>
      </c>
      <c r="B33" t="s">
        <v>276</v>
      </c>
      <c r="C33" t="s">
        <v>277</v>
      </c>
      <c r="D33" t="s">
        <v>278</v>
      </c>
      <c r="E33" t="s">
        <v>190</v>
      </c>
      <c r="F33">
        <f>+VLOOKUP(C33,[1]Sheet1!A$2:E$167,4,0)</f>
        <v>75000</v>
      </c>
    </row>
    <row r="34" spans="1:6" x14ac:dyDescent="0.25">
      <c r="A34">
        <v>33</v>
      </c>
      <c r="B34" t="s">
        <v>279</v>
      </c>
      <c r="C34" t="s">
        <v>280</v>
      </c>
      <c r="D34" t="s">
        <v>281</v>
      </c>
      <c r="E34" t="s">
        <v>190</v>
      </c>
      <c r="F34">
        <f>+VLOOKUP(C34,[1]Sheet1!A$2:E$167,4,0)</f>
        <v>33000</v>
      </c>
    </row>
    <row r="35" spans="1:6" x14ac:dyDescent="0.25">
      <c r="A35">
        <v>34</v>
      </c>
      <c r="B35" t="s">
        <v>282</v>
      </c>
      <c r="C35" t="s">
        <v>283</v>
      </c>
      <c r="D35" t="s">
        <v>284</v>
      </c>
      <c r="E35" t="s">
        <v>190</v>
      </c>
      <c r="F35">
        <f>+VLOOKUP(C35,[1]Sheet1!A$2:E$167,4,0)</f>
        <v>82000</v>
      </c>
    </row>
    <row r="36" spans="1:6" x14ac:dyDescent="0.25">
      <c r="A36">
        <v>35</v>
      </c>
      <c r="B36" t="s">
        <v>285</v>
      </c>
      <c r="C36" t="s">
        <v>286</v>
      </c>
      <c r="D36" t="s">
        <v>287</v>
      </c>
      <c r="E36" t="s">
        <v>190</v>
      </c>
      <c r="F36" t="e">
        <f>+VLOOKUP(C36,[1]Sheet1!A$2:E$167,4,0)</f>
        <v>#N/A</v>
      </c>
    </row>
    <row r="37" spans="1:6" x14ac:dyDescent="0.25">
      <c r="A37">
        <v>36</v>
      </c>
      <c r="B37" t="s">
        <v>288</v>
      </c>
      <c r="C37" t="s">
        <v>289</v>
      </c>
      <c r="D37" t="s">
        <v>290</v>
      </c>
      <c r="E37" t="s">
        <v>190</v>
      </c>
      <c r="F37">
        <f>+VLOOKUP(C37,[1]Sheet1!A$2:E$167,4,0)</f>
        <v>25000</v>
      </c>
    </row>
    <row r="38" spans="1:6" x14ac:dyDescent="0.25">
      <c r="A38">
        <v>37</v>
      </c>
      <c r="B38" t="s">
        <v>291</v>
      </c>
      <c r="C38" t="s">
        <v>292</v>
      </c>
      <c r="D38" t="s">
        <v>293</v>
      </c>
      <c r="E38" t="s">
        <v>190</v>
      </c>
      <c r="F38">
        <f>+VLOOKUP(C38,[1]Sheet1!A$2:E$167,4,0)</f>
        <v>22000</v>
      </c>
    </row>
    <row r="39" spans="1:6" x14ac:dyDescent="0.25">
      <c r="A39">
        <v>38</v>
      </c>
      <c r="B39" t="s">
        <v>76</v>
      </c>
      <c r="C39" t="s">
        <v>294</v>
      </c>
      <c r="D39" t="s">
        <v>295</v>
      </c>
      <c r="E39" t="s">
        <v>190</v>
      </c>
      <c r="F39">
        <f>+VLOOKUP(C39,[1]Sheet1!A$2:E$167,4,0)</f>
        <v>38000</v>
      </c>
    </row>
    <row r="40" spans="1:6" x14ac:dyDescent="0.25">
      <c r="A40">
        <v>39</v>
      </c>
      <c r="B40" t="s">
        <v>296</v>
      </c>
      <c r="C40" t="s">
        <v>297</v>
      </c>
      <c r="D40" t="s">
        <v>298</v>
      </c>
      <c r="E40" t="s">
        <v>190</v>
      </c>
      <c r="F40" t="e">
        <f>+VLOOKUP(C40,[1]Sheet1!A$2:E$167,4,0)</f>
        <v>#N/A</v>
      </c>
    </row>
    <row r="41" spans="1:6" x14ac:dyDescent="0.25">
      <c r="A41">
        <v>40</v>
      </c>
      <c r="B41" t="s">
        <v>299</v>
      </c>
      <c r="C41" t="s">
        <v>300</v>
      </c>
      <c r="D41" t="s">
        <v>301</v>
      </c>
      <c r="E41" t="s">
        <v>190</v>
      </c>
      <c r="F41">
        <f>+VLOOKUP(C41,[1]Sheet1!A$2:E$167,4,0)</f>
        <v>30000</v>
      </c>
    </row>
    <row r="42" spans="1:6" x14ac:dyDescent="0.25">
      <c r="A42">
        <v>41</v>
      </c>
      <c r="B42" t="s">
        <v>302</v>
      </c>
      <c r="C42" t="s">
        <v>303</v>
      </c>
      <c r="D42" t="s">
        <v>304</v>
      </c>
      <c r="E42" t="s">
        <v>190</v>
      </c>
      <c r="F42" t="e">
        <f>+VLOOKUP(C42,[1]Sheet1!A$2:E$167,4,0)</f>
        <v>#N/A</v>
      </c>
    </row>
    <row r="43" spans="1:6" x14ac:dyDescent="0.25">
      <c r="A43">
        <v>42</v>
      </c>
      <c r="B43" t="s">
        <v>66</v>
      </c>
      <c r="C43" t="s">
        <v>305</v>
      </c>
      <c r="D43" t="s">
        <v>67</v>
      </c>
      <c r="E43" t="s">
        <v>190</v>
      </c>
      <c r="F43">
        <f>+VLOOKUP(C43,[1]Sheet1!A$2:E$167,4,0)</f>
        <v>18000</v>
      </c>
    </row>
    <row r="44" spans="1:6" x14ac:dyDescent="0.25">
      <c r="A44">
        <v>43</v>
      </c>
      <c r="B44" t="s">
        <v>306</v>
      </c>
      <c r="C44" t="s">
        <v>307</v>
      </c>
      <c r="D44" t="s">
        <v>308</v>
      </c>
      <c r="E44" t="s">
        <v>190</v>
      </c>
      <c r="F44" t="e">
        <f>+VLOOKUP(C44,[1]Sheet1!A$2:E$167,4,0)</f>
        <v>#N/A</v>
      </c>
    </row>
    <row r="45" spans="1:6" x14ac:dyDescent="0.25">
      <c r="A45">
        <v>44</v>
      </c>
      <c r="B45" t="s">
        <v>309</v>
      </c>
      <c r="C45" t="s">
        <v>310</v>
      </c>
      <c r="D45" t="s">
        <v>311</v>
      </c>
      <c r="E45" t="s">
        <v>190</v>
      </c>
      <c r="F45">
        <f>+VLOOKUP(C45,[1]Sheet1!A$2:E$167,4,0)</f>
        <v>15000</v>
      </c>
    </row>
    <row r="46" spans="1:6" x14ac:dyDescent="0.25">
      <c r="A46">
        <v>45</v>
      </c>
      <c r="B46" t="s">
        <v>54</v>
      </c>
      <c r="C46" t="s">
        <v>312</v>
      </c>
      <c r="D46" t="s">
        <v>313</v>
      </c>
      <c r="E46" t="s">
        <v>190</v>
      </c>
      <c r="F46">
        <f>+VLOOKUP(C46,[1]Sheet1!A$2:E$167,4,0)</f>
        <v>75000</v>
      </c>
    </row>
    <row r="47" spans="1:6" x14ac:dyDescent="0.25">
      <c r="A47">
        <v>46</v>
      </c>
      <c r="B47" t="s">
        <v>314</v>
      </c>
      <c r="C47" t="s">
        <v>315</v>
      </c>
      <c r="D47" t="s">
        <v>316</v>
      </c>
      <c r="E47" t="s">
        <v>13</v>
      </c>
      <c r="F47">
        <f>+VLOOKUP(C47,[1]Sheet1!A$2:E$167,4,0)</f>
        <v>112000</v>
      </c>
    </row>
    <row r="48" spans="1:6" x14ac:dyDescent="0.25">
      <c r="A48">
        <v>47</v>
      </c>
      <c r="B48" t="s">
        <v>317</v>
      </c>
      <c r="C48" t="s">
        <v>315</v>
      </c>
      <c r="D48" t="s">
        <v>318</v>
      </c>
      <c r="E48" t="s">
        <v>190</v>
      </c>
      <c r="F48">
        <f>+VLOOKUP(C48,[1]Sheet1!A$2:E$167,4,0)</f>
        <v>112000</v>
      </c>
    </row>
    <row r="49" spans="1:6" x14ac:dyDescent="0.25">
      <c r="A49">
        <v>48</v>
      </c>
      <c r="B49" t="s">
        <v>319</v>
      </c>
      <c r="C49" t="s">
        <v>320</v>
      </c>
      <c r="D49" t="s">
        <v>321</v>
      </c>
      <c r="E49" t="s">
        <v>190</v>
      </c>
      <c r="F49" t="e">
        <f>+VLOOKUP(C49,[1]Sheet1!A$2:E$167,4,0)</f>
        <v>#N/A</v>
      </c>
    </row>
    <row r="50" spans="1:6" x14ac:dyDescent="0.25">
      <c r="A50">
        <v>49</v>
      </c>
      <c r="B50" t="s">
        <v>25</v>
      </c>
      <c r="C50" t="s">
        <v>322</v>
      </c>
      <c r="D50" t="s">
        <v>323</v>
      </c>
      <c r="E50" t="s">
        <v>190</v>
      </c>
      <c r="F50">
        <f>+VLOOKUP(C50,[1]Sheet1!A$2:E$167,4,0)</f>
        <v>22000</v>
      </c>
    </row>
    <row r="51" spans="1:6" x14ac:dyDescent="0.25">
      <c r="A51">
        <v>50</v>
      </c>
      <c r="B51" t="s">
        <v>58</v>
      </c>
      <c r="C51" t="s">
        <v>324</v>
      </c>
      <c r="D51" t="s">
        <v>325</v>
      </c>
      <c r="E51" t="s">
        <v>190</v>
      </c>
      <c r="F51">
        <f>+VLOOKUP(C51,[1]Sheet1!A$2:E$167,4,0)</f>
        <v>95000</v>
      </c>
    </row>
    <row r="52" spans="1:6" x14ac:dyDescent="0.25">
      <c r="A52">
        <v>51</v>
      </c>
      <c r="B52" t="s">
        <v>56</v>
      </c>
      <c r="C52" t="s">
        <v>326</v>
      </c>
      <c r="D52" t="s">
        <v>327</v>
      </c>
      <c r="E52" t="s">
        <v>190</v>
      </c>
      <c r="F52">
        <f>+VLOOKUP(C52,[1]Sheet1!A$2:E$167,4,0)</f>
        <v>34000</v>
      </c>
    </row>
    <row r="53" spans="1:6" x14ac:dyDescent="0.25">
      <c r="A53">
        <v>52</v>
      </c>
      <c r="B53" t="s">
        <v>328</v>
      </c>
      <c r="C53" t="s">
        <v>329</v>
      </c>
      <c r="D53" t="s">
        <v>330</v>
      </c>
      <c r="E53" t="s">
        <v>331</v>
      </c>
      <c r="F53" t="e">
        <f>+VLOOKUP(C53,[1]Sheet1!A$2:E$167,4,0)</f>
        <v>#N/A</v>
      </c>
    </row>
    <row r="54" spans="1:6" x14ac:dyDescent="0.25">
      <c r="A54">
        <v>53</v>
      </c>
      <c r="B54" t="s">
        <v>332</v>
      </c>
      <c r="C54" t="s">
        <v>333</v>
      </c>
      <c r="D54" t="s">
        <v>334</v>
      </c>
      <c r="E54" t="s">
        <v>190</v>
      </c>
      <c r="F54" t="e">
        <f>+VLOOKUP(C54,[1]Sheet1!A$2:E$167,4,0)</f>
        <v>#N/A</v>
      </c>
    </row>
    <row r="55" spans="1:6" x14ac:dyDescent="0.25">
      <c r="A55">
        <v>54</v>
      </c>
      <c r="B55" t="s">
        <v>68</v>
      </c>
      <c r="C55" t="s">
        <v>335</v>
      </c>
      <c r="D55" t="s">
        <v>336</v>
      </c>
      <c r="E55" t="s">
        <v>190</v>
      </c>
      <c r="F55">
        <f>+VLOOKUP(C55,[1]Sheet1!A$2:E$167,4,0)</f>
        <v>13000</v>
      </c>
    </row>
    <row r="56" spans="1:6" x14ac:dyDescent="0.25">
      <c r="A56">
        <v>55</v>
      </c>
      <c r="B56" t="s">
        <v>337</v>
      </c>
      <c r="C56" t="s">
        <v>338</v>
      </c>
      <c r="D56" t="s">
        <v>339</v>
      </c>
      <c r="E56" t="s">
        <v>190</v>
      </c>
      <c r="F56">
        <f>+VLOOKUP(C56,[1]Sheet1!A$2:E$167,4,0)</f>
        <v>40000</v>
      </c>
    </row>
    <row r="57" spans="1:6" x14ac:dyDescent="0.25">
      <c r="A57">
        <v>56</v>
      </c>
      <c r="B57" t="s">
        <v>340</v>
      </c>
      <c r="C57" t="s">
        <v>341</v>
      </c>
      <c r="D57" t="s">
        <v>342</v>
      </c>
      <c r="E57" t="s">
        <v>190</v>
      </c>
      <c r="F57" t="e">
        <f>+VLOOKUP(C57,[1]Sheet1!A$2:E$167,4,0)</f>
        <v>#N/A</v>
      </c>
    </row>
    <row r="58" spans="1:6" x14ac:dyDescent="0.25">
      <c r="A58">
        <v>57</v>
      </c>
      <c r="B58" t="s">
        <v>343</v>
      </c>
      <c r="C58" t="s">
        <v>344</v>
      </c>
      <c r="D58" t="s">
        <v>345</v>
      </c>
      <c r="E58" t="s">
        <v>190</v>
      </c>
      <c r="F58" t="e">
        <f>+VLOOKUP(C58,[1]Sheet1!A$2:E$167,4,0)</f>
        <v>#N/A</v>
      </c>
    </row>
    <row r="59" spans="1:6" x14ac:dyDescent="0.25">
      <c r="A59">
        <v>58</v>
      </c>
      <c r="B59" t="s">
        <v>62</v>
      </c>
      <c r="C59" t="s">
        <v>346</v>
      </c>
      <c r="D59" t="s">
        <v>347</v>
      </c>
      <c r="E59" t="s">
        <v>190</v>
      </c>
      <c r="F59">
        <f>+VLOOKUP(C59,[1]Sheet1!A$2:E$167,4,0)</f>
        <v>45000</v>
      </c>
    </row>
    <row r="60" spans="1:6" x14ac:dyDescent="0.25">
      <c r="A60">
        <v>59</v>
      </c>
      <c r="B60" t="s">
        <v>348</v>
      </c>
      <c r="C60" t="s">
        <v>349</v>
      </c>
      <c r="D60" t="s">
        <v>350</v>
      </c>
      <c r="E60" t="s">
        <v>190</v>
      </c>
      <c r="F60" t="e">
        <f>+VLOOKUP(C60,[1]Sheet1!A$2:E$167,4,0)</f>
        <v>#N/A</v>
      </c>
    </row>
    <row r="61" spans="1:6" x14ac:dyDescent="0.25">
      <c r="A61">
        <v>60</v>
      </c>
      <c r="B61" t="s">
        <v>351</v>
      </c>
      <c r="C61" t="s">
        <v>352</v>
      </c>
      <c r="D61" t="s">
        <v>353</v>
      </c>
      <c r="E61" t="s">
        <v>190</v>
      </c>
      <c r="F61" t="e">
        <f>+VLOOKUP(C61,[1]Sheet1!A$2:E$167,4,0)</f>
        <v>#N/A</v>
      </c>
    </row>
    <row r="62" spans="1:6" x14ac:dyDescent="0.25">
      <c r="A62">
        <v>61</v>
      </c>
      <c r="B62" t="s">
        <v>354</v>
      </c>
      <c r="C62" t="s">
        <v>355</v>
      </c>
      <c r="D62" t="s">
        <v>356</v>
      </c>
      <c r="E62" t="s">
        <v>190</v>
      </c>
      <c r="F62">
        <f>+VLOOKUP(C62,[1]Sheet1!A$2:E$167,4,0)</f>
        <v>25000</v>
      </c>
    </row>
    <row r="63" spans="1:6" x14ac:dyDescent="0.25">
      <c r="A63">
        <v>62</v>
      </c>
      <c r="B63" t="s">
        <v>16</v>
      </c>
      <c r="C63" t="s">
        <v>357</v>
      </c>
      <c r="D63" t="s">
        <v>17</v>
      </c>
      <c r="E63" t="s">
        <v>190</v>
      </c>
      <c r="F63">
        <f>+VLOOKUP(C63,[1]Sheet1!A$2:E$167,4,0)</f>
        <v>47000</v>
      </c>
    </row>
    <row r="64" spans="1:6" x14ac:dyDescent="0.25">
      <c r="A64">
        <v>63</v>
      </c>
      <c r="B64" t="s">
        <v>358</v>
      </c>
      <c r="D64" t="s">
        <v>359</v>
      </c>
      <c r="E64" t="s">
        <v>190</v>
      </c>
      <c r="F64" t="e">
        <f>+VLOOKUP(C64,[1]Sheet1!A$2:E$167,4,0)</f>
        <v>#N/A</v>
      </c>
    </row>
    <row r="65" spans="1:6" x14ac:dyDescent="0.25">
      <c r="A65">
        <v>64</v>
      </c>
      <c r="B65" t="s">
        <v>360</v>
      </c>
      <c r="C65" t="s">
        <v>361</v>
      </c>
      <c r="D65" t="s">
        <v>362</v>
      </c>
      <c r="E65" t="s">
        <v>190</v>
      </c>
      <c r="F65" t="e">
        <f>+VLOOKUP(C65,[1]Sheet1!A$2:E$167,4,0)</f>
        <v>#N/A</v>
      </c>
    </row>
    <row r="66" spans="1:6" x14ac:dyDescent="0.25">
      <c r="A66">
        <v>65</v>
      </c>
      <c r="B66" t="s">
        <v>363</v>
      </c>
      <c r="C66" t="s">
        <v>364</v>
      </c>
      <c r="D66" t="s">
        <v>365</v>
      </c>
      <c r="E66" t="s">
        <v>366</v>
      </c>
      <c r="F66">
        <f>+VLOOKUP(C66,[1]Sheet1!A$2:E$167,4,0)</f>
        <v>18000</v>
      </c>
    </row>
    <row r="67" spans="1:6" x14ac:dyDescent="0.25">
      <c r="A67">
        <v>66</v>
      </c>
      <c r="B67" t="s">
        <v>367</v>
      </c>
      <c r="C67" t="s">
        <v>368</v>
      </c>
      <c r="D67" t="s">
        <v>369</v>
      </c>
      <c r="E67" t="s">
        <v>190</v>
      </c>
      <c r="F67" t="e">
        <f>+VLOOKUP(C67,[1]Sheet1!A$2:E$167,4,0)</f>
        <v>#N/A</v>
      </c>
    </row>
    <row r="68" spans="1:6" x14ac:dyDescent="0.25">
      <c r="A68">
        <v>67</v>
      </c>
      <c r="B68" t="s">
        <v>370</v>
      </c>
      <c r="C68" t="s">
        <v>371</v>
      </c>
      <c r="D68" t="s">
        <v>372</v>
      </c>
      <c r="E68" t="s">
        <v>190</v>
      </c>
      <c r="F68">
        <f>+VLOOKUP(C68,[1]Sheet1!A$2:E$167,4,0)</f>
        <v>32000</v>
      </c>
    </row>
    <row r="69" spans="1:6" x14ac:dyDescent="0.25">
      <c r="A69">
        <v>68</v>
      </c>
      <c r="B69" t="s">
        <v>373</v>
      </c>
      <c r="C69" t="s">
        <v>374</v>
      </c>
      <c r="D69" t="s">
        <v>375</v>
      </c>
      <c r="E69" t="s">
        <v>190</v>
      </c>
      <c r="F69">
        <f>+VLOOKUP(C69,[1]Sheet1!A$2:E$167,4,0)</f>
        <v>75000</v>
      </c>
    </row>
    <row r="70" spans="1:6" x14ac:dyDescent="0.25">
      <c r="A70">
        <v>69</v>
      </c>
      <c r="B70" t="s">
        <v>376</v>
      </c>
      <c r="C70" t="s">
        <v>377</v>
      </c>
      <c r="D70" t="s">
        <v>378</v>
      </c>
      <c r="E70" t="s">
        <v>190</v>
      </c>
      <c r="F70">
        <f>+VLOOKUP(C70,[1]Sheet1!A$2:E$167,4,0)</f>
        <v>25000</v>
      </c>
    </row>
    <row r="71" spans="1:6" x14ac:dyDescent="0.25">
      <c r="A71">
        <v>70</v>
      </c>
      <c r="B71" t="s">
        <v>379</v>
      </c>
      <c r="C71" t="s">
        <v>380</v>
      </c>
      <c r="D71" t="s">
        <v>381</v>
      </c>
      <c r="E71" t="s">
        <v>13</v>
      </c>
      <c r="F71" t="e">
        <f>+VLOOKUP(C71,[1]Sheet1!A$2:E$167,4,0)</f>
        <v>#N/A</v>
      </c>
    </row>
    <row r="72" spans="1:6" x14ac:dyDescent="0.25">
      <c r="A72">
        <v>71</v>
      </c>
      <c r="B72" t="s">
        <v>382</v>
      </c>
      <c r="C72" t="s">
        <v>383</v>
      </c>
      <c r="D72" t="s">
        <v>384</v>
      </c>
      <c r="E72" t="s">
        <v>385</v>
      </c>
      <c r="F72">
        <f>+VLOOKUP(C72,[1]Sheet1!A$2:E$167,4,0)</f>
        <v>15000</v>
      </c>
    </row>
    <row r="73" spans="1:6" x14ac:dyDescent="0.25">
      <c r="A73">
        <v>72</v>
      </c>
      <c r="B73" t="s">
        <v>386</v>
      </c>
      <c r="C73" t="s">
        <v>387</v>
      </c>
      <c r="D73" t="s">
        <v>388</v>
      </c>
      <c r="E73" t="s">
        <v>190</v>
      </c>
      <c r="F73" t="e">
        <f>+VLOOKUP(C73,[1]Sheet1!A$2:E$167,4,0)</f>
        <v>#N/A</v>
      </c>
    </row>
    <row r="74" spans="1:6" x14ac:dyDescent="0.25">
      <c r="A74">
        <v>73</v>
      </c>
      <c r="B74" t="s">
        <v>389</v>
      </c>
      <c r="C74" t="s">
        <v>390</v>
      </c>
      <c r="D74" t="s">
        <v>391</v>
      </c>
      <c r="E74" t="s">
        <v>190</v>
      </c>
      <c r="F74" t="e">
        <f>+VLOOKUP(C74,[1]Sheet1!A$2:E$167,4,0)</f>
        <v>#N/A</v>
      </c>
    </row>
    <row r="75" spans="1:6" x14ac:dyDescent="0.25">
      <c r="A75">
        <v>74</v>
      </c>
      <c r="B75" t="s">
        <v>392</v>
      </c>
      <c r="C75" t="s">
        <v>393</v>
      </c>
      <c r="D75" t="s">
        <v>394</v>
      </c>
      <c r="E75" t="s">
        <v>190</v>
      </c>
      <c r="F75" t="e">
        <f>+VLOOKUP(C75,[1]Sheet1!A$2:E$167,4,0)</f>
        <v>#N/A</v>
      </c>
    </row>
    <row r="76" spans="1:6" x14ac:dyDescent="0.25">
      <c r="A76">
        <v>75</v>
      </c>
      <c r="B76" t="s">
        <v>395</v>
      </c>
      <c r="C76" t="s">
        <v>396</v>
      </c>
      <c r="D76" t="s">
        <v>397</v>
      </c>
      <c r="E76" t="s">
        <v>190</v>
      </c>
      <c r="F76">
        <f>+VLOOKUP(C76,[1]Sheet1!A$2:E$167,4,0)</f>
        <v>24000</v>
      </c>
    </row>
    <row r="77" spans="1:6" x14ac:dyDescent="0.25">
      <c r="A77">
        <v>76</v>
      </c>
      <c r="B77" t="s">
        <v>398</v>
      </c>
      <c r="C77" t="s">
        <v>399</v>
      </c>
      <c r="D77" t="s">
        <v>400</v>
      </c>
      <c r="E77" t="s">
        <v>401</v>
      </c>
      <c r="F77">
        <f>+VLOOKUP(C77,[1]Sheet1!A$2:E$167,4,0)</f>
        <v>4000</v>
      </c>
    </row>
    <row r="78" spans="1:6" x14ac:dyDescent="0.25">
      <c r="A78">
        <v>77</v>
      </c>
      <c r="B78" t="s">
        <v>402</v>
      </c>
      <c r="C78" t="s">
        <v>403</v>
      </c>
      <c r="D78" t="s">
        <v>404</v>
      </c>
      <c r="E78" t="s">
        <v>190</v>
      </c>
      <c r="F78" t="e">
        <f>+VLOOKUP(C78,[1]Sheet1!A$2:E$167,4,0)</f>
        <v>#N/A</v>
      </c>
    </row>
    <row r="79" spans="1:6" x14ac:dyDescent="0.25">
      <c r="A79">
        <v>78</v>
      </c>
      <c r="B79" t="s">
        <v>102</v>
      </c>
      <c r="C79" t="s">
        <v>405</v>
      </c>
      <c r="D79" t="s">
        <v>406</v>
      </c>
      <c r="E79" t="s">
        <v>190</v>
      </c>
      <c r="F79">
        <f>+VLOOKUP(C79,[1]Sheet1!A$2:E$167,4,0)</f>
        <v>17000</v>
      </c>
    </row>
    <row r="80" spans="1:6" x14ac:dyDescent="0.25">
      <c r="A80">
        <v>79</v>
      </c>
      <c r="B80" t="s">
        <v>407</v>
      </c>
      <c r="C80" t="s">
        <v>408</v>
      </c>
      <c r="D80" t="s">
        <v>409</v>
      </c>
      <c r="E80" t="s">
        <v>190</v>
      </c>
      <c r="F80">
        <f>+VLOOKUP(C80,[1]Sheet1!A$2:E$167,4,0)</f>
        <v>32000</v>
      </c>
    </row>
    <row r="81" spans="1:6" x14ac:dyDescent="0.25">
      <c r="A81">
        <v>80</v>
      </c>
      <c r="B81" t="s">
        <v>410</v>
      </c>
      <c r="C81" t="s">
        <v>411</v>
      </c>
      <c r="D81" t="s">
        <v>412</v>
      </c>
      <c r="E81" t="s">
        <v>190</v>
      </c>
      <c r="F81">
        <f>+VLOOKUP(C81,[1]Sheet1!A$2:E$167,4,0)</f>
        <v>38000</v>
      </c>
    </row>
    <row r="82" spans="1:6" x14ac:dyDescent="0.25">
      <c r="A82">
        <v>81</v>
      </c>
      <c r="B82" t="s">
        <v>413</v>
      </c>
      <c r="C82" t="s">
        <v>414</v>
      </c>
      <c r="D82" t="s">
        <v>415</v>
      </c>
      <c r="E82" t="s">
        <v>190</v>
      </c>
      <c r="F82">
        <f>+VLOOKUP(C82,[1]Sheet1!A$2:E$167,4,0)</f>
        <v>9000</v>
      </c>
    </row>
    <row r="83" spans="1:6" x14ac:dyDescent="0.25">
      <c r="A83">
        <v>82</v>
      </c>
      <c r="B83" t="s">
        <v>416</v>
      </c>
      <c r="C83" t="s">
        <v>417</v>
      </c>
      <c r="D83" t="s">
        <v>418</v>
      </c>
      <c r="E83" t="s">
        <v>190</v>
      </c>
      <c r="F83" t="e">
        <f>+VLOOKUP(C83,[1]Sheet1!A$2:E$167,4,0)</f>
        <v>#N/A</v>
      </c>
    </row>
    <row r="84" spans="1:6" x14ac:dyDescent="0.25">
      <c r="A84">
        <v>83</v>
      </c>
      <c r="B84" t="s">
        <v>419</v>
      </c>
      <c r="C84" t="s">
        <v>420</v>
      </c>
      <c r="D84" t="s">
        <v>421</v>
      </c>
      <c r="E84" t="s">
        <v>190</v>
      </c>
      <c r="F84" t="e">
        <f>+VLOOKUP(C84,[1]Sheet1!A$2:E$167,4,0)</f>
        <v>#N/A</v>
      </c>
    </row>
    <row r="85" spans="1:6" x14ac:dyDescent="0.25">
      <c r="A85">
        <v>84</v>
      </c>
      <c r="B85" t="s">
        <v>291</v>
      </c>
      <c r="C85" t="s">
        <v>422</v>
      </c>
      <c r="D85" t="s">
        <v>423</v>
      </c>
      <c r="E85" t="s">
        <v>190</v>
      </c>
      <c r="F85">
        <f>+VLOOKUP(C85,[1]Sheet1!A$2:E$167,4,0)</f>
        <v>22000</v>
      </c>
    </row>
    <row r="86" spans="1:6" x14ac:dyDescent="0.25">
      <c r="A86">
        <v>85</v>
      </c>
      <c r="B86" t="s">
        <v>424</v>
      </c>
      <c r="C86" t="s">
        <v>425</v>
      </c>
      <c r="D86" t="s">
        <v>426</v>
      </c>
      <c r="E86" t="s">
        <v>190</v>
      </c>
      <c r="F86">
        <f>+VLOOKUP(C86,[1]Sheet1!A$2:E$167,4,0)</f>
        <v>18000</v>
      </c>
    </row>
    <row r="87" spans="1:6" x14ac:dyDescent="0.25">
      <c r="A87">
        <v>86</v>
      </c>
      <c r="B87" t="s">
        <v>50</v>
      </c>
      <c r="C87" t="s">
        <v>427</v>
      </c>
      <c r="D87" t="s">
        <v>51</v>
      </c>
      <c r="E87" t="s">
        <v>190</v>
      </c>
      <c r="F87">
        <f>+VLOOKUP(C87,[1]Sheet1!A$2:E$167,4,0)</f>
        <v>18000</v>
      </c>
    </row>
    <row r="88" spans="1:6" x14ac:dyDescent="0.25">
      <c r="A88">
        <v>87</v>
      </c>
      <c r="B88" t="s">
        <v>428</v>
      </c>
      <c r="C88" t="s">
        <v>429</v>
      </c>
      <c r="D88" t="s">
        <v>430</v>
      </c>
      <c r="E88" t="s">
        <v>190</v>
      </c>
      <c r="F88" t="e">
        <f>+VLOOKUP(C88,[1]Sheet1!A$2:E$167,4,0)</f>
        <v>#N/A</v>
      </c>
    </row>
    <row r="89" spans="1:6" x14ac:dyDescent="0.25">
      <c r="A89">
        <v>88</v>
      </c>
      <c r="B89" t="s">
        <v>431</v>
      </c>
      <c r="C89" t="s">
        <v>432</v>
      </c>
      <c r="D89" t="s">
        <v>433</v>
      </c>
      <c r="E89" t="s">
        <v>190</v>
      </c>
      <c r="F89" t="e">
        <f>+VLOOKUP(C89,[1]Sheet1!A$2:E$167,4,0)</f>
        <v>#N/A</v>
      </c>
    </row>
    <row r="90" spans="1:6" x14ac:dyDescent="0.25">
      <c r="A90">
        <v>89</v>
      </c>
      <c r="B90" t="s">
        <v>434</v>
      </c>
      <c r="C90" t="s">
        <v>435</v>
      </c>
      <c r="D90" t="s">
        <v>436</v>
      </c>
      <c r="E90" t="s">
        <v>190</v>
      </c>
      <c r="F90">
        <f>+VLOOKUP(C90,[1]Sheet1!A$2:E$167,4,0)</f>
        <v>80000</v>
      </c>
    </row>
    <row r="91" spans="1:6" x14ac:dyDescent="0.25">
      <c r="A91">
        <v>90</v>
      </c>
      <c r="B91" t="s">
        <v>437</v>
      </c>
      <c r="C91" t="s">
        <v>438</v>
      </c>
      <c r="D91" t="s">
        <v>439</v>
      </c>
      <c r="E91" t="s">
        <v>190</v>
      </c>
      <c r="F91">
        <f>+VLOOKUP(C91,[1]Sheet1!A$2:E$167,4,0)</f>
        <v>9000</v>
      </c>
    </row>
    <row r="92" spans="1:6" x14ac:dyDescent="0.25">
      <c r="A92">
        <v>91</v>
      </c>
      <c r="B92" t="s">
        <v>440</v>
      </c>
      <c r="C92" t="s">
        <v>441</v>
      </c>
      <c r="D92" t="s">
        <v>442</v>
      </c>
      <c r="E92" t="s">
        <v>190</v>
      </c>
      <c r="F92" t="e">
        <f>+VLOOKUP(C92,[1]Sheet1!A$2:E$167,4,0)</f>
        <v>#N/A</v>
      </c>
    </row>
    <row r="93" spans="1:6" x14ac:dyDescent="0.25">
      <c r="A93">
        <v>92</v>
      </c>
      <c r="B93" t="s">
        <v>78</v>
      </c>
      <c r="C93" t="s">
        <v>443</v>
      </c>
      <c r="D93" t="s">
        <v>444</v>
      </c>
      <c r="E93" t="s">
        <v>190</v>
      </c>
      <c r="F93">
        <f>+VLOOKUP(C93,[1]Sheet1!A$2:E$167,4,0)</f>
        <v>30000</v>
      </c>
    </row>
    <row r="94" spans="1:6" x14ac:dyDescent="0.25">
      <c r="A94">
        <v>93</v>
      </c>
      <c r="B94" t="s">
        <v>92</v>
      </c>
      <c r="C94" t="s">
        <v>445</v>
      </c>
      <c r="D94" t="s">
        <v>446</v>
      </c>
      <c r="E94" t="s">
        <v>190</v>
      </c>
      <c r="F94">
        <f>+VLOOKUP(C94,[1]Sheet1!A$2:E$167,4,0)</f>
        <v>38000</v>
      </c>
    </row>
    <row r="95" spans="1:6" x14ac:dyDescent="0.25">
      <c r="A95">
        <v>94</v>
      </c>
      <c r="B95" t="s">
        <v>447</v>
      </c>
      <c r="C95" t="s">
        <v>448</v>
      </c>
      <c r="D95" t="s">
        <v>449</v>
      </c>
      <c r="E95" t="s">
        <v>190</v>
      </c>
      <c r="F95">
        <f>+VLOOKUP(C95,[1]Sheet1!A$2:E$167,4,0)</f>
        <v>80000</v>
      </c>
    </row>
    <row r="96" spans="1:6" x14ac:dyDescent="0.25">
      <c r="A96">
        <v>95</v>
      </c>
      <c r="B96" t="s">
        <v>18</v>
      </c>
      <c r="C96" t="s">
        <v>450</v>
      </c>
      <c r="D96" t="s">
        <v>19</v>
      </c>
      <c r="E96" t="s">
        <v>190</v>
      </c>
      <c r="F96">
        <f>+VLOOKUP(C96,[1]Sheet1!A$2:E$167,4,0)</f>
        <v>55000</v>
      </c>
    </row>
    <row r="97" spans="1:6" x14ac:dyDescent="0.25">
      <c r="A97">
        <v>96</v>
      </c>
      <c r="B97" t="s">
        <v>451</v>
      </c>
      <c r="C97" t="s">
        <v>452</v>
      </c>
      <c r="D97" t="s">
        <v>453</v>
      </c>
      <c r="E97" t="s">
        <v>190</v>
      </c>
      <c r="F97">
        <f>+VLOOKUP(C97,[1]Sheet1!A$2:E$167,4,0)</f>
        <v>38000</v>
      </c>
    </row>
    <row r="98" spans="1:6" x14ac:dyDescent="0.25">
      <c r="A98">
        <v>97</v>
      </c>
      <c r="B98" t="s">
        <v>454</v>
      </c>
      <c r="C98" t="s">
        <v>455</v>
      </c>
      <c r="D98" t="s">
        <v>456</v>
      </c>
      <c r="E98" t="s">
        <v>190</v>
      </c>
      <c r="F98">
        <f>+VLOOKUP(C98,[1]Sheet1!A$2:E$167,4,0)</f>
        <v>13000</v>
      </c>
    </row>
    <row r="99" spans="1:6" x14ac:dyDescent="0.25">
      <c r="A99">
        <v>98</v>
      </c>
      <c r="B99" t="s">
        <v>457</v>
      </c>
      <c r="C99" t="s">
        <v>458</v>
      </c>
      <c r="D99" t="s">
        <v>459</v>
      </c>
      <c r="E99" t="s">
        <v>190</v>
      </c>
      <c r="F99" t="e">
        <f>+VLOOKUP(C99,[1]Sheet1!A$2:E$167,4,0)</f>
        <v>#N/A</v>
      </c>
    </row>
    <row r="100" spans="1:6" x14ac:dyDescent="0.25">
      <c r="A100">
        <v>99</v>
      </c>
      <c r="B100" t="s">
        <v>460</v>
      </c>
      <c r="C100" t="s">
        <v>461</v>
      </c>
      <c r="D100" t="s">
        <v>462</v>
      </c>
      <c r="E100" t="s">
        <v>13</v>
      </c>
      <c r="F100" t="e">
        <f>+VLOOKUP(C100,[1]Sheet1!A$2:E$167,4,0)</f>
        <v>#N/A</v>
      </c>
    </row>
    <row r="101" spans="1:6" x14ac:dyDescent="0.25">
      <c r="A101">
        <v>100</v>
      </c>
      <c r="B101" t="s">
        <v>463</v>
      </c>
      <c r="C101" t="s">
        <v>448</v>
      </c>
      <c r="D101" t="s">
        <v>464</v>
      </c>
      <c r="E101" t="s">
        <v>190</v>
      </c>
      <c r="F101">
        <f>+VLOOKUP(C101,[1]Sheet1!A$2:E$167,4,0)</f>
        <v>80000</v>
      </c>
    </row>
    <row r="102" spans="1:6" x14ac:dyDescent="0.25">
      <c r="A102">
        <v>101</v>
      </c>
      <c r="B102" t="s">
        <v>465</v>
      </c>
      <c r="C102" t="s">
        <v>466</v>
      </c>
      <c r="D102" t="s">
        <v>467</v>
      </c>
      <c r="E102" t="s">
        <v>190</v>
      </c>
      <c r="F102">
        <f>+VLOOKUP(C102,[1]Sheet1!A$2:E$167,4,0)</f>
        <v>33000</v>
      </c>
    </row>
    <row r="103" spans="1:6" x14ac:dyDescent="0.25">
      <c r="A103">
        <v>102</v>
      </c>
      <c r="B103" t="s">
        <v>52</v>
      </c>
      <c r="C103" t="s">
        <v>468</v>
      </c>
      <c r="D103" t="s">
        <v>469</v>
      </c>
      <c r="E103" t="s">
        <v>190</v>
      </c>
      <c r="F103">
        <f>+VLOOKUP(C103,[1]Sheet1!A$2:E$167,4,0)</f>
        <v>65000</v>
      </c>
    </row>
    <row r="104" spans="1:6" x14ac:dyDescent="0.25">
      <c r="A104">
        <v>103</v>
      </c>
      <c r="B104" t="s">
        <v>470</v>
      </c>
      <c r="C104" t="s">
        <v>471</v>
      </c>
      <c r="D104" t="s">
        <v>472</v>
      </c>
      <c r="E104" t="s">
        <v>190</v>
      </c>
      <c r="F104">
        <f>+VLOOKUP(C104,[1]Sheet1!A$2:E$167,4,0)</f>
        <v>48000</v>
      </c>
    </row>
    <row r="105" spans="1:6" x14ac:dyDescent="0.25">
      <c r="A105">
        <v>104</v>
      </c>
      <c r="B105" t="s">
        <v>473</v>
      </c>
      <c r="C105" t="s">
        <v>474</v>
      </c>
      <c r="D105" t="s">
        <v>475</v>
      </c>
      <c r="E105" t="s">
        <v>190</v>
      </c>
      <c r="F105" t="e">
        <f>+VLOOKUP(C105,[1]Sheet1!A$2:E$167,4,0)</f>
        <v>#N/A</v>
      </c>
    </row>
    <row r="106" spans="1:6" x14ac:dyDescent="0.25">
      <c r="A106">
        <v>105</v>
      </c>
      <c r="B106" t="s">
        <v>476</v>
      </c>
      <c r="C106" t="s">
        <v>477</v>
      </c>
      <c r="D106" t="s">
        <v>478</v>
      </c>
      <c r="E106" t="s">
        <v>190</v>
      </c>
      <c r="F106">
        <f>+VLOOKUP(C106,[1]Sheet1!A$2:E$167,4,0)</f>
        <v>35000</v>
      </c>
    </row>
    <row r="107" spans="1:6" x14ac:dyDescent="0.25">
      <c r="A107">
        <v>106</v>
      </c>
      <c r="B107" t="s">
        <v>479</v>
      </c>
      <c r="C107" t="s">
        <v>480</v>
      </c>
      <c r="D107" t="s">
        <v>481</v>
      </c>
      <c r="E107" t="s">
        <v>190</v>
      </c>
      <c r="F107">
        <f>+VLOOKUP(C107,[1]Sheet1!A$2:E$167,4,0)</f>
        <v>23000</v>
      </c>
    </row>
    <row r="108" spans="1:6" x14ac:dyDescent="0.25">
      <c r="A108">
        <v>107</v>
      </c>
      <c r="B108" t="s">
        <v>482</v>
      </c>
      <c r="C108" t="s">
        <v>483</v>
      </c>
      <c r="D108" t="s">
        <v>484</v>
      </c>
      <c r="E108" t="s">
        <v>190</v>
      </c>
      <c r="F108" t="e">
        <f>+VLOOKUP(C108,[1]Sheet1!A$2:E$167,4,0)</f>
        <v>#N/A</v>
      </c>
    </row>
    <row r="109" spans="1:6" x14ac:dyDescent="0.25">
      <c r="A109">
        <v>108</v>
      </c>
      <c r="B109" t="s">
        <v>485</v>
      </c>
      <c r="C109" t="s">
        <v>486</v>
      </c>
      <c r="D109" t="s">
        <v>487</v>
      </c>
      <c r="E109" t="s">
        <v>190</v>
      </c>
      <c r="F109" t="e">
        <f>+VLOOKUP(C109,[1]Sheet1!A$2:E$167,4,0)</f>
        <v>#N/A</v>
      </c>
    </row>
    <row r="110" spans="1:6" x14ac:dyDescent="0.25">
      <c r="A110">
        <v>109</v>
      </c>
      <c r="B110" t="s">
        <v>488</v>
      </c>
      <c r="C110" t="s">
        <v>489</v>
      </c>
      <c r="D110" t="s">
        <v>490</v>
      </c>
      <c r="E110" t="s">
        <v>190</v>
      </c>
      <c r="F110">
        <f>+VLOOKUP(C110,[1]Sheet1!A$2:E$167,4,0)</f>
        <v>35000</v>
      </c>
    </row>
    <row r="111" spans="1:6" x14ac:dyDescent="0.25">
      <c r="F111" t="e">
        <f>+VLOOKUP(C111,[1]Sheet1!A$2:E$167,4,0)</f>
        <v>#N/A</v>
      </c>
    </row>
    <row r="112" spans="1:6" x14ac:dyDescent="0.25">
      <c r="A112">
        <v>111</v>
      </c>
      <c r="B112" t="s">
        <v>491</v>
      </c>
      <c r="C112" t="s">
        <v>492</v>
      </c>
      <c r="D112" t="s">
        <v>493</v>
      </c>
      <c r="E112" t="s">
        <v>190</v>
      </c>
      <c r="F112" t="e">
        <f>+VLOOKUP(C112,[1]Sheet1!A$2:E$167,4,0)</f>
        <v>#N/A</v>
      </c>
    </row>
    <row r="113" spans="1:6" x14ac:dyDescent="0.25">
      <c r="A113">
        <v>112</v>
      </c>
      <c r="B113" t="s">
        <v>494</v>
      </c>
      <c r="C113" t="s">
        <v>495</v>
      </c>
      <c r="D113" t="s">
        <v>496</v>
      </c>
      <c r="E113" t="s">
        <v>190</v>
      </c>
      <c r="F113" t="e">
        <f>+VLOOKUP(C113,[1]Sheet1!A$2:E$167,4,0)</f>
        <v>#N/A</v>
      </c>
    </row>
    <row r="114" spans="1:6" x14ac:dyDescent="0.25">
      <c r="A114">
        <v>113</v>
      </c>
      <c r="B114" t="s">
        <v>497</v>
      </c>
      <c r="C114" t="s">
        <v>498</v>
      </c>
      <c r="D114" t="s">
        <v>499</v>
      </c>
      <c r="E114" t="s">
        <v>190</v>
      </c>
      <c r="F114">
        <f>+VLOOKUP(C114,[1]Sheet1!A$2:E$167,4,0)</f>
        <v>38000</v>
      </c>
    </row>
    <row r="115" spans="1:6" x14ac:dyDescent="0.25">
      <c r="A115">
        <v>114</v>
      </c>
      <c r="B115" t="s">
        <v>500</v>
      </c>
      <c r="C115" t="s">
        <v>501</v>
      </c>
      <c r="D115" t="s">
        <v>502</v>
      </c>
      <c r="E115" t="s">
        <v>190</v>
      </c>
      <c r="F115">
        <f>+VLOOKUP(C115,[1]Sheet1!A$2:E$167,4,0)</f>
        <v>42000</v>
      </c>
    </row>
    <row r="116" spans="1:6" x14ac:dyDescent="0.25">
      <c r="A116">
        <v>115</v>
      </c>
      <c r="B116" t="s">
        <v>72</v>
      </c>
      <c r="C116" t="s">
        <v>503</v>
      </c>
      <c r="D116" t="s">
        <v>73</v>
      </c>
      <c r="E116" t="s">
        <v>190</v>
      </c>
      <c r="F116">
        <f>+VLOOKUP(C116,[1]Sheet1!A$2:E$167,4,0)</f>
        <v>18000</v>
      </c>
    </row>
    <row r="117" spans="1:6" x14ac:dyDescent="0.25">
      <c r="A117">
        <v>116</v>
      </c>
      <c r="B117" t="s">
        <v>504</v>
      </c>
      <c r="C117" t="s">
        <v>505</v>
      </c>
      <c r="D117" t="s">
        <v>506</v>
      </c>
      <c r="E117" t="s">
        <v>190</v>
      </c>
      <c r="F117">
        <f>+VLOOKUP(C117,[1]Sheet1!A$2:E$167,4,0)</f>
        <v>18000</v>
      </c>
    </row>
    <row r="118" spans="1:6" x14ac:dyDescent="0.25">
      <c r="A118">
        <v>117</v>
      </c>
      <c r="B118" t="s">
        <v>507</v>
      </c>
      <c r="C118" t="s">
        <v>508</v>
      </c>
      <c r="D118" t="s">
        <v>509</v>
      </c>
      <c r="E118" t="s">
        <v>190</v>
      </c>
      <c r="F118" t="e">
        <f>+VLOOKUP(C118,[1]Sheet1!A$2:E$167,4,0)</f>
        <v>#N/A</v>
      </c>
    </row>
    <row r="119" spans="1:6" x14ac:dyDescent="0.25">
      <c r="A119">
        <v>118</v>
      </c>
      <c r="B119" t="s">
        <v>510</v>
      </c>
      <c r="C119" t="s">
        <v>511</v>
      </c>
      <c r="D119" t="s">
        <v>512</v>
      </c>
      <c r="E119" t="s">
        <v>190</v>
      </c>
      <c r="F119">
        <f>+VLOOKUP(C119,[1]Sheet1!A$2:E$167,4,0)</f>
        <v>80000</v>
      </c>
    </row>
    <row r="120" spans="1:6" x14ac:dyDescent="0.25">
      <c r="A120">
        <v>119</v>
      </c>
      <c r="B120" t="s">
        <v>513</v>
      </c>
      <c r="C120" t="s">
        <v>514</v>
      </c>
      <c r="D120" t="s">
        <v>515</v>
      </c>
      <c r="E120" t="s">
        <v>190</v>
      </c>
      <c r="F120">
        <f>+VLOOKUP(C120,[1]Sheet1!A$2:E$167,4,0)</f>
        <v>38000</v>
      </c>
    </row>
    <row r="121" spans="1:6" x14ac:dyDescent="0.25">
      <c r="A121">
        <v>120</v>
      </c>
      <c r="B121" t="s">
        <v>516</v>
      </c>
      <c r="C121" t="s">
        <v>517</v>
      </c>
      <c r="D121" t="s">
        <v>518</v>
      </c>
      <c r="E121" t="s">
        <v>190</v>
      </c>
      <c r="F121">
        <f>+VLOOKUP(C121,[1]Sheet1!A$2:E$167,4,0)</f>
        <v>220000</v>
      </c>
    </row>
    <row r="122" spans="1:6" x14ac:dyDescent="0.25">
      <c r="A122">
        <v>121</v>
      </c>
      <c r="B122" t="s">
        <v>519</v>
      </c>
      <c r="C122" t="s">
        <v>520</v>
      </c>
      <c r="D122" t="s">
        <v>521</v>
      </c>
      <c r="E122" t="s">
        <v>190</v>
      </c>
      <c r="F122">
        <f>+VLOOKUP(C122,[1]Sheet1!A$2:E$167,4,0)</f>
        <v>30000</v>
      </c>
    </row>
    <row r="123" spans="1:6" x14ac:dyDescent="0.25">
      <c r="A123">
        <v>122</v>
      </c>
      <c r="B123" t="s">
        <v>522</v>
      </c>
      <c r="C123" t="s">
        <v>523</v>
      </c>
      <c r="D123" t="s">
        <v>524</v>
      </c>
      <c r="E123" t="s">
        <v>190</v>
      </c>
      <c r="F123" t="e">
        <f>+VLOOKUP(C123,[1]Sheet1!A$2:E$167,4,0)</f>
        <v>#N/A</v>
      </c>
    </row>
    <row r="124" spans="1:6" x14ac:dyDescent="0.25">
      <c r="A124">
        <v>123</v>
      </c>
      <c r="B124" t="s">
        <v>525</v>
      </c>
      <c r="C124" t="s">
        <v>526</v>
      </c>
      <c r="D124" t="s">
        <v>527</v>
      </c>
      <c r="E124" t="s">
        <v>190</v>
      </c>
      <c r="F124">
        <f>+VLOOKUP(C124,[1]Sheet1!A$2:E$167,4,0)</f>
        <v>95000</v>
      </c>
    </row>
    <row r="125" spans="1:6" x14ac:dyDescent="0.25">
      <c r="A125">
        <v>124</v>
      </c>
      <c r="B125" t="s">
        <v>528</v>
      </c>
      <c r="C125" t="s">
        <v>529</v>
      </c>
      <c r="D125" t="s">
        <v>530</v>
      </c>
      <c r="E125" t="s">
        <v>531</v>
      </c>
      <c r="F125">
        <f>+VLOOKUP(C125,[1]Sheet1!A$2:E$167,4,0)</f>
        <v>40000</v>
      </c>
    </row>
    <row r="126" spans="1:6" x14ac:dyDescent="0.25">
      <c r="A126">
        <v>125</v>
      </c>
      <c r="B126" t="s">
        <v>532</v>
      </c>
      <c r="C126" t="s">
        <v>533</v>
      </c>
      <c r="D126" t="s">
        <v>534</v>
      </c>
      <c r="E126" t="s">
        <v>190</v>
      </c>
      <c r="F126" t="e">
        <f>+VLOOKUP(C126,[1]Sheet1!A$2:E$167,4,0)</f>
        <v>#N/A</v>
      </c>
    </row>
    <row r="127" spans="1:6" x14ac:dyDescent="0.25">
      <c r="A127">
        <v>126</v>
      </c>
      <c r="B127" t="e">
        <v>#N/A</v>
      </c>
      <c r="C127" t="s">
        <v>535</v>
      </c>
      <c r="D127" t="s">
        <v>536</v>
      </c>
      <c r="E127" t="s">
        <v>190</v>
      </c>
      <c r="F127">
        <f>+VLOOKUP(C127,[1]Sheet1!A$2:E$167,4,0)</f>
        <v>65000</v>
      </c>
    </row>
    <row r="128" spans="1:6" x14ac:dyDescent="0.25">
      <c r="A128">
        <v>127</v>
      </c>
      <c r="B128" t="e">
        <v>#N/A</v>
      </c>
      <c r="C128" t="s">
        <v>537</v>
      </c>
      <c r="D128" t="s">
        <v>538</v>
      </c>
      <c r="E128" t="s">
        <v>190</v>
      </c>
      <c r="F128" t="e">
        <f>+VLOOKUP(C128,[1]Sheet1!A$2:E$167,4,0)</f>
        <v>#N/A</v>
      </c>
    </row>
    <row r="129" spans="1:6" x14ac:dyDescent="0.25">
      <c r="A129">
        <v>128</v>
      </c>
      <c r="B129" t="e">
        <v>#N/A</v>
      </c>
      <c r="C129" t="s">
        <v>539</v>
      </c>
      <c r="D129" t="s">
        <v>540</v>
      </c>
      <c r="E129" t="s">
        <v>190</v>
      </c>
      <c r="F129" t="e">
        <f>+VLOOKUP(C129,[1]Sheet1!A$2:E$167,4,0)</f>
        <v>#N/A</v>
      </c>
    </row>
    <row r="130" spans="1:6" x14ac:dyDescent="0.25">
      <c r="A130">
        <v>129</v>
      </c>
      <c r="B130" t="s">
        <v>541</v>
      </c>
      <c r="C130" t="s">
        <v>542</v>
      </c>
      <c r="D130" t="s">
        <v>543</v>
      </c>
      <c r="E130" t="s">
        <v>190</v>
      </c>
      <c r="F130" t="e">
        <f>+VLOOKUP(C130,[1]Sheet1!A$2:E$167,4,0)</f>
        <v>#N/A</v>
      </c>
    </row>
    <row r="131" spans="1:6" x14ac:dyDescent="0.25">
      <c r="A131">
        <v>130</v>
      </c>
      <c r="B131" t="s">
        <v>544</v>
      </c>
      <c r="C131" t="s">
        <v>545</v>
      </c>
      <c r="D131" t="s">
        <v>546</v>
      </c>
      <c r="E131" t="s">
        <v>190</v>
      </c>
      <c r="F131" t="e">
        <f>+VLOOKUP(C131,[1]Sheet1!A$2:E$167,4,0)</f>
        <v>#N/A</v>
      </c>
    </row>
    <row r="132" spans="1:6" x14ac:dyDescent="0.25">
      <c r="A132">
        <v>131</v>
      </c>
      <c r="B132" t="s">
        <v>547</v>
      </c>
      <c r="C132" t="s">
        <v>548</v>
      </c>
      <c r="D132" t="s">
        <v>549</v>
      </c>
      <c r="E132" t="s">
        <v>190</v>
      </c>
      <c r="F132" t="e">
        <f>+VLOOKUP(C132,[1]Sheet1!A$2:E$167,4,0)</f>
        <v>#N/A</v>
      </c>
    </row>
    <row r="133" spans="1:6" x14ac:dyDescent="0.25">
      <c r="A133">
        <v>132</v>
      </c>
      <c r="B133" t="s">
        <v>550</v>
      </c>
      <c r="C133" t="s">
        <v>551</v>
      </c>
      <c r="D133" t="s">
        <v>552</v>
      </c>
      <c r="E133" t="s">
        <v>331</v>
      </c>
      <c r="F133" t="e">
        <f>+VLOOKUP(C133,[1]Sheet1!A$2:E$167,4,0)</f>
        <v>#N/A</v>
      </c>
    </row>
    <row r="134" spans="1:6" x14ac:dyDescent="0.25">
      <c r="A134">
        <v>133</v>
      </c>
      <c r="B134" t="s">
        <v>553</v>
      </c>
      <c r="C134" t="s">
        <v>554</v>
      </c>
      <c r="D134" t="s">
        <v>555</v>
      </c>
      <c r="E134" t="s">
        <v>331</v>
      </c>
      <c r="F134" t="e">
        <f>+VLOOKUP(C134,[1]Sheet1!A$2:E$167,4,0)</f>
        <v>#N/A</v>
      </c>
    </row>
    <row r="135" spans="1:6" x14ac:dyDescent="0.25">
      <c r="A135">
        <v>134</v>
      </c>
      <c r="B135" t="s">
        <v>556</v>
      </c>
      <c r="C135" t="s">
        <v>557</v>
      </c>
      <c r="D135" t="s">
        <v>558</v>
      </c>
      <c r="E135" t="s">
        <v>190</v>
      </c>
      <c r="F135" t="e">
        <f>+VLOOKUP(C135,[1]Sheet1!A$2:E$167,4,0)</f>
        <v>#N/A</v>
      </c>
    </row>
    <row r="136" spans="1:6" x14ac:dyDescent="0.25">
      <c r="A136">
        <v>135</v>
      </c>
      <c r="B136" t="s">
        <v>559</v>
      </c>
      <c r="C136" t="s">
        <v>560</v>
      </c>
      <c r="D136" t="s">
        <v>561</v>
      </c>
      <c r="E136" t="s">
        <v>190</v>
      </c>
      <c r="F136" t="e">
        <f>+VLOOKUP(C136,[1]Sheet1!A$2:E$167,4,0)</f>
        <v>#N/A</v>
      </c>
    </row>
    <row r="137" spans="1:6" x14ac:dyDescent="0.25">
      <c r="A137">
        <v>136</v>
      </c>
      <c r="B137" t="s">
        <v>74</v>
      </c>
      <c r="C137" t="s">
        <v>562</v>
      </c>
      <c r="D137" t="s">
        <v>563</v>
      </c>
      <c r="E137" t="s">
        <v>190</v>
      </c>
      <c r="F137">
        <f>+VLOOKUP(C137,[1]Sheet1!A$2:E$167,4,0)</f>
        <v>22000</v>
      </c>
    </row>
    <row r="138" spans="1:6" x14ac:dyDescent="0.25">
      <c r="A138">
        <v>137</v>
      </c>
      <c r="B138" t="s">
        <v>20</v>
      </c>
      <c r="C138" t="s">
        <v>564</v>
      </c>
      <c r="D138" t="s">
        <v>565</v>
      </c>
      <c r="E138" t="s">
        <v>190</v>
      </c>
      <c r="F138">
        <f>+VLOOKUP(C138,[1]Sheet1!A$2:E$167,4,0)</f>
        <v>45000</v>
      </c>
    </row>
    <row r="139" spans="1:6" x14ac:dyDescent="0.25">
      <c r="A139">
        <v>138</v>
      </c>
      <c r="B139" t="s">
        <v>566</v>
      </c>
      <c r="C139" t="s">
        <v>567</v>
      </c>
      <c r="D139" t="s">
        <v>568</v>
      </c>
      <c r="E139" t="s">
        <v>190</v>
      </c>
      <c r="F139" t="e">
        <f>+VLOOKUP(C139,[1]Sheet1!A$2:E$167,4,0)</f>
        <v>#N/A</v>
      </c>
    </row>
    <row r="140" spans="1:6" x14ac:dyDescent="0.25">
      <c r="A140">
        <v>139</v>
      </c>
      <c r="B140" t="s">
        <v>569</v>
      </c>
      <c r="C140" t="s">
        <v>570</v>
      </c>
      <c r="D140" t="s">
        <v>571</v>
      </c>
      <c r="E140" t="s">
        <v>190</v>
      </c>
      <c r="F140">
        <f>+VLOOKUP(C140,[1]Sheet1!A$2:E$167,4,0)</f>
        <v>33000</v>
      </c>
    </row>
    <row r="141" spans="1:6" x14ac:dyDescent="0.25">
      <c r="A141">
        <v>140</v>
      </c>
      <c r="B141" t="s">
        <v>572</v>
      </c>
      <c r="C141" t="s">
        <v>573</v>
      </c>
      <c r="D141" t="s">
        <v>574</v>
      </c>
      <c r="E141" t="s">
        <v>190</v>
      </c>
      <c r="F141">
        <f>+VLOOKUP(C141,[1]Sheet1!A$2:E$167,4,0)</f>
        <v>30000</v>
      </c>
    </row>
    <row r="142" spans="1:6" x14ac:dyDescent="0.25">
      <c r="A142">
        <v>141</v>
      </c>
      <c r="B142" t="s">
        <v>575</v>
      </c>
      <c r="C142" t="s">
        <v>576</v>
      </c>
      <c r="D142" t="s">
        <v>577</v>
      </c>
      <c r="E142" t="s">
        <v>190</v>
      </c>
      <c r="F142">
        <f>+VLOOKUP(C142,[1]Sheet1!A$2:E$167,4,0)</f>
        <v>27000</v>
      </c>
    </row>
    <row r="143" spans="1:6" x14ac:dyDescent="0.25">
      <c r="A143">
        <v>142</v>
      </c>
      <c r="B143" t="s">
        <v>36</v>
      </c>
      <c r="C143" t="s">
        <v>578</v>
      </c>
      <c r="D143" t="s">
        <v>579</v>
      </c>
      <c r="E143" t="s">
        <v>190</v>
      </c>
      <c r="F143">
        <f>+VLOOKUP(C143,[1]Sheet1!A$2:E$167,4,0)</f>
        <v>145000</v>
      </c>
    </row>
    <row r="144" spans="1:6" x14ac:dyDescent="0.25">
      <c r="A144">
        <v>143</v>
      </c>
      <c r="B144" t="s">
        <v>38</v>
      </c>
      <c r="C144" t="s">
        <v>580</v>
      </c>
      <c r="D144" t="s">
        <v>39</v>
      </c>
      <c r="E144" t="s">
        <v>190</v>
      </c>
      <c r="F144">
        <f>+VLOOKUP(C144,[1]Sheet1!A$2:E$167,4,0)</f>
        <v>47000</v>
      </c>
    </row>
    <row r="145" spans="1:6" x14ac:dyDescent="0.25">
      <c r="A145">
        <v>144</v>
      </c>
      <c r="B145" t="s">
        <v>581</v>
      </c>
      <c r="C145" t="s">
        <v>582</v>
      </c>
      <c r="D145" t="s">
        <v>583</v>
      </c>
      <c r="E145" t="s">
        <v>190</v>
      </c>
      <c r="F145">
        <f>+VLOOKUP(C145,[1]Sheet1!A$2:E$167,4,0)</f>
        <v>90000</v>
      </c>
    </row>
    <row r="146" spans="1:6" x14ac:dyDescent="0.25">
      <c r="A146">
        <v>145</v>
      </c>
      <c r="B146" t="s">
        <v>40</v>
      </c>
      <c r="C146" t="s">
        <v>584</v>
      </c>
      <c r="D146" t="s">
        <v>585</v>
      </c>
      <c r="E146" t="s">
        <v>190</v>
      </c>
      <c r="F146">
        <f>+VLOOKUP(C146,[1]Sheet1!A$2:E$167,4,0)</f>
        <v>80000</v>
      </c>
    </row>
    <row r="147" spans="1:6" x14ac:dyDescent="0.25">
      <c r="A147">
        <v>146</v>
      </c>
      <c r="B147" t="s">
        <v>42</v>
      </c>
      <c r="C147" t="s">
        <v>586</v>
      </c>
      <c r="D147" t="s">
        <v>43</v>
      </c>
      <c r="E147" t="s">
        <v>190</v>
      </c>
      <c r="F147">
        <f>+VLOOKUP(C147,[1]Sheet1!A$2:E$167,4,0)</f>
        <v>45000</v>
      </c>
    </row>
    <row r="148" spans="1:6" x14ac:dyDescent="0.25">
      <c r="A148">
        <v>147</v>
      </c>
      <c r="B148" t="s">
        <v>587</v>
      </c>
      <c r="C148" t="s">
        <v>588</v>
      </c>
      <c r="D148" t="s">
        <v>589</v>
      </c>
      <c r="E148" t="s">
        <v>190</v>
      </c>
      <c r="F148">
        <f>+VLOOKUP(C148,[1]Sheet1!A$2:E$167,4,0)</f>
        <v>90000</v>
      </c>
    </row>
    <row r="149" spans="1:6" x14ac:dyDescent="0.25">
      <c r="A149">
        <v>148</v>
      </c>
      <c r="B149" t="s">
        <v>44</v>
      </c>
      <c r="C149" t="s">
        <v>590</v>
      </c>
      <c r="D149" t="s">
        <v>591</v>
      </c>
      <c r="E149" t="s">
        <v>190</v>
      </c>
      <c r="F149">
        <f>+VLOOKUP(C149,[1]Sheet1!A$2:E$167,4,0)</f>
        <v>95000</v>
      </c>
    </row>
    <row r="150" spans="1:6" x14ac:dyDescent="0.25">
      <c r="A150">
        <v>149</v>
      </c>
      <c r="B150" t="s">
        <v>592</v>
      </c>
      <c r="C150" t="s">
        <v>593</v>
      </c>
      <c r="D150" t="s">
        <v>594</v>
      </c>
      <c r="E150" t="s">
        <v>190</v>
      </c>
      <c r="F150" t="e">
        <f>+VLOOKUP(C150,[1]Sheet1!A$2:E$167,4,0)</f>
        <v>#N/A</v>
      </c>
    </row>
    <row r="151" spans="1:6" x14ac:dyDescent="0.25">
      <c r="A151">
        <v>150</v>
      </c>
      <c r="B151" t="s">
        <v>595</v>
      </c>
      <c r="C151" t="s">
        <v>596</v>
      </c>
      <c r="D151" t="s">
        <v>597</v>
      </c>
      <c r="E151" t="s">
        <v>190</v>
      </c>
      <c r="F151">
        <f>+VLOOKUP(C151,[1]Sheet1!A$2:E$167,4,0)</f>
        <v>250000</v>
      </c>
    </row>
    <row r="152" spans="1:6" x14ac:dyDescent="0.25">
      <c r="A152">
        <v>151</v>
      </c>
      <c r="B152" t="s">
        <v>598</v>
      </c>
      <c r="C152" t="s">
        <v>599</v>
      </c>
      <c r="D152" t="s">
        <v>600</v>
      </c>
      <c r="E152" t="s">
        <v>190</v>
      </c>
      <c r="F152">
        <f>+VLOOKUP(C152,[1]Sheet1!A$2:E$167,4,0)</f>
        <v>195000</v>
      </c>
    </row>
    <row r="153" spans="1:6" x14ac:dyDescent="0.25">
      <c r="A153">
        <v>152</v>
      </c>
      <c r="B153" t="s">
        <v>601</v>
      </c>
      <c r="C153" t="s">
        <v>602</v>
      </c>
      <c r="D153" t="s">
        <v>603</v>
      </c>
      <c r="E153" t="s">
        <v>190</v>
      </c>
      <c r="F153" t="e">
        <f>+VLOOKUP(C153,[1]Sheet1!A$2:E$167,4,0)</f>
        <v>#N/A</v>
      </c>
    </row>
    <row r="154" spans="1:6" x14ac:dyDescent="0.25">
      <c r="A154">
        <v>153</v>
      </c>
      <c r="B154" t="s">
        <v>604</v>
      </c>
      <c r="C154" t="s">
        <v>605</v>
      </c>
      <c r="D154" t="s">
        <v>606</v>
      </c>
      <c r="E154" t="s">
        <v>190</v>
      </c>
      <c r="F154" t="e">
        <f>+VLOOKUP(C154,[1]Sheet1!A$2:E$167,4,0)</f>
        <v>#N/A</v>
      </c>
    </row>
    <row r="155" spans="1:6" x14ac:dyDescent="0.25">
      <c r="A155">
        <v>154</v>
      </c>
      <c r="B155" t="s">
        <v>607</v>
      </c>
      <c r="C155" t="s">
        <v>608</v>
      </c>
      <c r="D155" t="s">
        <v>609</v>
      </c>
      <c r="E155" t="s">
        <v>190</v>
      </c>
      <c r="F155" t="e">
        <f>+VLOOKUP(C155,[1]Sheet1!A$2:E$167,4,0)</f>
        <v>#N/A</v>
      </c>
    </row>
    <row r="156" spans="1:6" x14ac:dyDescent="0.25">
      <c r="A156">
        <v>155</v>
      </c>
      <c r="B156" t="s">
        <v>610</v>
      </c>
      <c r="C156" t="s">
        <v>611</v>
      </c>
      <c r="D156" t="s">
        <v>612</v>
      </c>
      <c r="E156" t="s">
        <v>190</v>
      </c>
      <c r="F156" t="e">
        <f>+VLOOKUP(C156,[1]Sheet1!A$2:E$167,4,0)</f>
        <v>#N/A</v>
      </c>
    </row>
    <row r="157" spans="1:6" x14ac:dyDescent="0.25">
      <c r="A157">
        <v>156</v>
      </c>
      <c r="B157" t="s">
        <v>613</v>
      </c>
      <c r="C157" t="s">
        <v>614</v>
      </c>
      <c r="D157" t="s">
        <v>615</v>
      </c>
      <c r="E157" t="s">
        <v>190</v>
      </c>
      <c r="F157">
        <f>+VLOOKUP(C157,[1]Sheet1!A$2:E$167,4,0)</f>
        <v>36000</v>
      </c>
    </row>
    <row r="158" spans="1:6" x14ac:dyDescent="0.25">
      <c r="A158">
        <v>157</v>
      </c>
      <c r="B158" t="s">
        <v>31</v>
      </c>
      <c r="C158" t="s">
        <v>616</v>
      </c>
      <c r="D158" t="s">
        <v>617</v>
      </c>
      <c r="E158" t="s">
        <v>385</v>
      </c>
      <c r="F158">
        <f>+VLOOKUP(C158,[1]Sheet1!A$2:E$167,4,0)</f>
        <v>8500</v>
      </c>
    </row>
    <row r="159" spans="1:6" x14ac:dyDescent="0.25">
      <c r="A159">
        <v>158</v>
      </c>
      <c r="B159" t="s">
        <v>618</v>
      </c>
      <c r="C159" t="s">
        <v>619</v>
      </c>
      <c r="D159" t="s">
        <v>620</v>
      </c>
      <c r="E159" t="s">
        <v>190</v>
      </c>
      <c r="F159" t="e">
        <f>+VLOOKUP(C159,[1]Sheet1!A$2:E$167,4,0)</f>
        <v>#N/A</v>
      </c>
    </row>
    <row r="160" spans="1:6" x14ac:dyDescent="0.25">
      <c r="A160">
        <v>159</v>
      </c>
      <c r="B160" t="s">
        <v>621</v>
      </c>
      <c r="C160" t="s">
        <v>622</v>
      </c>
      <c r="D160" t="s">
        <v>623</v>
      </c>
      <c r="E160" t="s">
        <v>190</v>
      </c>
      <c r="F160" t="e">
        <f>+VLOOKUP(C160,[1]Sheet1!A$2:E$167,4,0)</f>
        <v>#N/A</v>
      </c>
    </row>
    <row r="161" spans="1:6" x14ac:dyDescent="0.25">
      <c r="A161">
        <v>160</v>
      </c>
      <c r="B161" t="s">
        <v>624</v>
      </c>
      <c r="C161" t="s">
        <v>625</v>
      </c>
      <c r="D161" t="s">
        <v>626</v>
      </c>
      <c r="E161" t="s">
        <v>190</v>
      </c>
      <c r="F161">
        <f>+VLOOKUP(C161,[1]Sheet1!A$2:E$167,4,0)</f>
        <v>63000</v>
      </c>
    </row>
    <row r="162" spans="1:6" x14ac:dyDescent="0.25">
      <c r="A162">
        <v>161</v>
      </c>
      <c r="B162" t="s">
        <v>29</v>
      </c>
      <c r="C162" t="s">
        <v>627</v>
      </c>
      <c r="D162" t="s">
        <v>628</v>
      </c>
      <c r="E162" t="s">
        <v>190</v>
      </c>
      <c r="F162">
        <f>+VLOOKUP(C162,[1]Sheet1!A$2:E$167,4,0)</f>
        <v>145000</v>
      </c>
    </row>
    <row r="163" spans="1:6" x14ac:dyDescent="0.25">
      <c r="A163">
        <v>162</v>
      </c>
      <c r="B163" t="s">
        <v>629</v>
      </c>
      <c r="C163" t="s">
        <v>630</v>
      </c>
      <c r="D163" t="s">
        <v>631</v>
      </c>
      <c r="E163" t="s">
        <v>190</v>
      </c>
      <c r="F163">
        <f>+VLOOKUP(C163,[1]Sheet1!A$2:E$167,4,0)</f>
        <v>185000</v>
      </c>
    </row>
    <row r="164" spans="1:6" x14ac:dyDescent="0.25">
      <c r="A164">
        <v>163</v>
      </c>
      <c r="B164" t="s">
        <v>632</v>
      </c>
      <c r="C164" t="s">
        <v>633</v>
      </c>
      <c r="D164" t="s">
        <v>634</v>
      </c>
      <c r="E164" t="s">
        <v>190</v>
      </c>
      <c r="F164" t="e">
        <f>+VLOOKUP(C164,[1]Sheet1!A$2:E$167,4,0)</f>
        <v>#N/A</v>
      </c>
    </row>
    <row r="165" spans="1:6" x14ac:dyDescent="0.25">
      <c r="A165">
        <v>164</v>
      </c>
      <c r="B165" t="s">
        <v>635</v>
      </c>
      <c r="C165" t="s">
        <v>636</v>
      </c>
      <c r="D165" t="s">
        <v>637</v>
      </c>
      <c r="E165" t="s">
        <v>190</v>
      </c>
      <c r="F165" t="e">
        <f>+VLOOKUP(C165,[1]Sheet1!A$2:E$167,4,0)</f>
        <v>#N/A</v>
      </c>
    </row>
    <row r="166" spans="1:6" x14ac:dyDescent="0.25">
      <c r="A166">
        <v>165</v>
      </c>
      <c r="B166" t="s">
        <v>638</v>
      </c>
      <c r="C166" t="s">
        <v>639</v>
      </c>
      <c r="D166" t="s">
        <v>640</v>
      </c>
      <c r="E166" t="s">
        <v>190</v>
      </c>
      <c r="F166" t="e">
        <f>+VLOOKUP(C166,[1]Sheet1!A$2:E$167,4,0)</f>
        <v>#N/A</v>
      </c>
    </row>
    <row r="167" spans="1:6" x14ac:dyDescent="0.25">
      <c r="A167">
        <v>166</v>
      </c>
      <c r="B167" t="s">
        <v>641</v>
      </c>
      <c r="C167" t="s">
        <v>627</v>
      </c>
      <c r="D167" t="s">
        <v>642</v>
      </c>
      <c r="E167" t="s">
        <v>190</v>
      </c>
      <c r="F167">
        <f>+VLOOKUP(C167,[1]Sheet1!A$2:E$167,4,0)</f>
        <v>145000</v>
      </c>
    </row>
    <row r="168" spans="1:6" x14ac:dyDescent="0.25">
      <c r="A168">
        <v>167</v>
      </c>
      <c r="B168" t="s">
        <v>643</v>
      </c>
      <c r="C168" t="s">
        <v>644</v>
      </c>
      <c r="D168" t="s">
        <v>645</v>
      </c>
      <c r="E168" t="s">
        <v>190</v>
      </c>
      <c r="F168">
        <f>+VLOOKUP(C168,[1]Sheet1!A$2:E$167,4,0)</f>
        <v>148000</v>
      </c>
    </row>
    <row r="169" spans="1:6" x14ac:dyDescent="0.25">
      <c r="A169">
        <v>168</v>
      </c>
      <c r="B169" t="s">
        <v>646</v>
      </c>
      <c r="C169" t="s">
        <v>647</v>
      </c>
      <c r="D169" t="s">
        <v>648</v>
      </c>
      <c r="E169" t="s">
        <v>190</v>
      </c>
      <c r="F169">
        <f>+VLOOKUP(C169,[1]Sheet1!A$2:E$167,4,0)</f>
        <v>65000</v>
      </c>
    </row>
    <row r="170" spans="1:6" x14ac:dyDescent="0.25">
      <c r="A170">
        <v>169</v>
      </c>
      <c r="B170" t="s">
        <v>649</v>
      </c>
      <c r="C170" t="s">
        <v>650</v>
      </c>
      <c r="D170" t="s">
        <v>651</v>
      </c>
      <c r="E170" t="s">
        <v>190</v>
      </c>
      <c r="F170">
        <f>+VLOOKUP(C170,[1]Sheet1!A$2:E$167,4,0)</f>
        <v>46000</v>
      </c>
    </row>
    <row r="171" spans="1:6" x14ac:dyDescent="0.25">
      <c r="A171">
        <v>170</v>
      </c>
      <c r="B171" t="s">
        <v>27</v>
      </c>
      <c r="C171" t="s">
        <v>652</v>
      </c>
      <c r="D171" t="s">
        <v>653</v>
      </c>
      <c r="E171" t="s">
        <v>190</v>
      </c>
      <c r="F171">
        <f>+VLOOKUP(C171,[1]Sheet1!A$2:E$167,4,0)</f>
        <v>21000</v>
      </c>
    </row>
    <row r="172" spans="1:6" x14ac:dyDescent="0.25">
      <c r="A172">
        <v>171</v>
      </c>
      <c r="B172" t="s">
        <v>654</v>
      </c>
      <c r="C172" t="s">
        <v>655</v>
      </c>
      <c r="D172" t="s">
        <v>656</v>
      </c>
      <c r="E172" t="s">
        <v>190</v>
      </c>
      <c r="F172">
        <f>+VLOOKUP(C172,[1]Sheet1!A$2:E$167,4,0)</f>
        <v>36000</v>
      </c>
    </row>
    <row r="173" spans="1:6" x14ac:dyDescent="0.25">
      <c r="A173">
        <v>172</v>
      </c>
      <c r="B173" t="s">
        <v>657</v>
      </c>
      <c r="C173" t="s">
        <v>658</v>
      </c>
      <c r="D173" t="s">
        <v>659</v>
      </c>
      <c r="E173" t="s">
        <v>190</v>
      </c>
      <c r="F173" t="e">
        <f>+VLOOKUP(C173,[1]Sheet1!A$2:E$167,4,0)</f>
        <v>#N/A</v>
      </c>
    </row>
    <row r="174" spans="1:6" x14ac:dyDescent="0.25">
      <c r="A174">
        <v>173</v>
      </c>
      <c r="B174" t="s">
        <v>660</v>
      </c>
      <c r="C174" t="s">
        <v>661</v>
      </c>
      <c r="D174" t="s">
        <v>662</v>
      </c>
      <c r="E174" t="s">
        <v>190</v>
      </c>
      <c r="F174">
        <f>+VLOOKUP(C174,[1]Sheet1!A$2:E$167,4,0)</f>
        <v>63000</v>
      </c>
    </row>
    <row r="175" spans="1:6" x14ac:dyDescent="0.25">
      <c r="A175">
        <v>174</v>
      </c>
      <c r="B175" t="s">
        <v>663</v>
      </c>
      <c r="C175" t="s">
        <v>664</v>
      </c>
      <c r="D175" t="s">
        <v>665</v>
      </c>
      <c r="E175" t="s">
        <v>190</v>
      </c>
      <c r="F175" t="e">
        <f>+VLOOKUP(C175,[1]Sheet1!A$2:E$167,4,0)</f>
        <v>#N/A</v>
      </c>
    </row>
    <row r="176" spans="1:6" x14ac:dyDescent="0.25">
      <c r="A176">
        <v>175</v>
      </c>
      <c r="B176" t="s">
        <v>666</v>
      </c>
      <c r="C176" t="s">
        <v>667</v>
      </c>
      <c r="D176" t="s">
        <v>668</v>
      </c>
      <c r="E176" t="s">
        <v>190</v>
      </c>
      <c r="F176" t="e">
        <f>+VLOOKUP(C176,[1]Sheet1!A$2:E$167,4,0)</f>
        <v>#N/A</v>
      </c>
    </row>
    <row r="177" spans="1:6" x14ac:dyDescent="0.25">
      <c r="A177">
        <v>176</v>
      </c>
      <c r="B177" t="s">
        <v>669</v>
      </c>
      <c r="C177" t="s">
        <v>670</v>
      </c>
      <c r="D177" t="s">
        <v>671</v>
      </c>
      <c r="E177" t="s">
        <v>190</v>
      </c>
      <c r="F177">
        <f>+VLOOKUP(C177,[1]Sheet1!A$2:E$167,4,0)</f>
        <v>44000</v>
      </c>
    </row>
    <row r="178" spans="1:6" x14ac:dyDescent="0.25">
      <c r="A178">
        <v>177</v>
      </c>
      <c r="B178" t="s">
        <v>672</v>
      </c>
      <c r="C178" t="s">
        <v>673</v>
      </c>
      <c r="D178" t="s">
        <v>674</v>
      </c>
      <c r="E178" t="s">
        <v>190</v>
      </c>
      <c r="F178">
        <f>+VLOOKUP(C178,[1]Sheet1!A$2:E$167,4,0)</f>
        <v>35000</v>
      </c>
    </row>
    <row r="179" spans="1:6" x14ac:dyDescent="0.25">
      <c r="A179">
        <v>178</v>
      </c>
      <c r="B179" t="s">
        <v>675</v>
      </c>
      <c r="C179" t="s">
        <v>676</v>
      </c>
      <c r="D179" t="s">
        <v>677</v>
      </c>
      <c r="E179" t="s">
        <v>190</v>
      </c>
      <c r="F179">
        <f>+VLOOKUP(C179,[1]Sheet1!A$2:E$167,4,0)</f>
        <v>92000</v>
      </c>
    </row>
    <row r="180" spans="1:6" x14ac:dyDescent="0.25">
      <c r="A180">
        <v>179</v>
      </c>
      <c r="B180" t="s">
        <v>678</v>
      </c>
      <c r="C180" t="s">
        <v>679</v>
      </c>
      <c r="D180" t="s">
        <v>680</v>
      </c>
      <c r="E180" t="s">
        <v>190</v>
      </c>
      <c r="F180" t="e">
        <f>+VLOOKUP(C180,[1]Sheet1!A$2:E$167,4,0)</f>
        <v>#N/A</v>
      </c>
    </row>
    <row r="181" spans="1:6" x14ac:dyDescent="0.25">
      <c r="A181">
        <v>180</v>
      </c>
      <c r="B181" t="s">
        <v>681</v>
      </c>
      <c r="C181" t="s">
        <v>682</v>
      </c>
      <c r="D181" t="s">
        <v>683</v>
      </c>
      <c r="E181" t="s">
        <v>190</v>
      </c>
      <c r="F181" t="e">
        <f>+VLOOKUP(C181,[1]Sheet1!A$2:E$167,4,0)</f>
        <v>#N/A</v>
      </c>
    </row>
    <row r="182" spans="1:6" x14ac:dyDescent="0.25">
      <c r="A182">
        <v>181</v>
      </c>
      <c r="B182" t="s">
        <v>684</v>
      </c>
      <c r="C182" t="s">
        <v>685</v>
      </c>
      <c r="D182" t="s">
        <v>686</v>
      </c>
      <c r="E182" t="s">
        <v>687</v>
      </c>
      <c r="F182">
        <f>+VLOOKUP(C182,[1]Sheet1!A$2:E$167,4,0)</f>
        <v>3500</v>
      </c>
    </row>
    <row r="183" spans="1:6" x14ac:dyDescent="0.25">
      <c r="A183">
        <v>182</v>
      </c>
      <c r="B183" t="s">
        <v>688</v>
      </c>
      <c r="C183" t="s">
        <v>689</v>
      </c>
      <c r="D183" t="s">
        <v>690</v>
      </c>
      <c r="E183" t="s">
        <v>190</v>
      </c>
      <c r="F183" t="e">
        <f>+VLOOKUP(C183,[1]Sheet1!A$2:E$167,4,0)</f>
        <v>#N/A</v>
      </c>
    </row>
    <row r="184" spans="1:6" x14ac:dyDescent="0.25">
      <c r="A184">
        <v>183</v>
      </c>
      <c r="B184" t="s">
        <v>691</v>
      </c>
      <c r="C184" t="s">
        <v>692</v>
      </c>
      <c r="D184" t="s">
        <v>693</v>
      </c>
      <c r="E184" t="s">
        <v>190</v>
      </c>
      <c r="F184" t="e">
        <f>+VLOOKUP(C184,[1]Sheet1!A$2:E$167,4,0)</f>
        <v>#N/A</v>
      </c>
    </row>
    <row r="185" spans="1:6" x14ac:dyDescent="0.25">
      <c r="A185">
        <v>184</v>
      </c>
      <c r="B185" t="s">
        <v>694</v>
      </c>
      <c r="C185" t="s">
        <v>695</v>
      </c>
      <c r="D185" t="s">
        <v>696</v>
      </c>
      <c r="E185" t="s">
        <v>190</v>
      </c>
      <c r="F185" t="e">
        <f>+VLOOKUP(C185,[1]Sheet1!A$2:E$167,4,0)</f>
        <v>#N/A</v>
      </c>
    </row>
    <row r="186" spans="1:6" x14ac:dyDescent="0.25">
      <c r="A186">
        <v>185</v>
      </c>
      <c r="B186" t="s">
        <v>697</v>
      </c>
      <c r="C186" t="s">
        <v>698</v>
      </c>
      <c r="D186" t="s">
        <v>699</v>
      </c>
      <c r="E186" t="s">
        <v>190</v>
      </c>
      <c r="F186" t="e">
        <f>+VLOOKUP(C186,[1]Sheet1!A$2:E$167,4,0)</f>
        <v>#N/A</v>
      </c>
    </row>
    <row r="187" spans="1:6" x14ac:dyDescent="0.25">
      <c r="A187">
        <v>186</v>
      </c>
      <c r="B187" t="s">
        <v>700</v>
      </c>
      <c r="C187" t="s">
        <v>701</v>
      </c>
      <c r="D187" t="s">
        <v>702</v>
      </c>
      <c r="E187" t="s">
        <v>190</v>
      </c>
      <c r="F187">
        <f>+VLOOKUP(C187,[1]Sheet1!A$2:E$167,4,0)</f>
        <v>42000</v>
      </c>
    </row>
    <row r="188" spans="1:6" x14ac:dyDescent="0.25">
      <c r="A188">
        <v>186</v>
      </c>
      <c r="B188" t="s">
        <v>700</v>
      </c>
      <c r="C188" t="s">
        <v>703</v>
      </c>
      <c r="D188" t="s">
        <v>702</v>
      </c>
      <c r="E188" t="s">
        <v>190</v>
      </c>
      <c r="F188">
        <f>+VLOOKUP(C188,[1]Sheet1!A$2:E$167,4,0)</f>
        <v>42000</v>
      </c>
    </row>
    <row r="189" spans="1:6" x14ac:dyDescent="0.25">
      <c r="A189">
        <v>187</v>
      </c>
      <c r="B189" t="s">
        <v>46</v>
      </c>
      <c r="C189" t="s">
        <v>704</v>
      </c>
      <c r="D189" t="s">
        <v>705</v>
      </c>
      <c r="E189" t="s">
        <v>190</v>
      </c>
      <c r="F189">
        <f>+VLOOKUP(C189,[1]Sheet1!A$2:E$167,4,0)</f>
        <v>70000</v>
      </c>
    </row>
    <row r="190" spans="1:6" x14ac:dyDescent="0.25">
      <c r="A190">
        <v>188</v>
      </c>
      <c r="B190" t="s">
        <v>706</v>
      </c>
      <c r="C190" t="s">
        <v>707</v>
      </c>
      <c r="D190" t="s">
        <v>708</v>
      </c>
      <c r="E190" t="s">
        <v>190</v>
      </c>
      <c r="F190" t="e">
        <f>+VLOOKUP(C190,[1]Sheet1!A$2:E$167,4,0)</f>
        <v>#N/A</v>
      </c>
    </row>
    <row r="191" spans="1:6" x14ac:dyDescent="0.25">
      <c r="A191">
        <v>189</v>
      </c>
      <c r="B191" t="s">
        <v>709</v>
      </c>
      <c r="C191" t="s">
        <v>710</v>
      </c>
      <c r="D191" t="s">
        <v>711</v>
      </c>
      <c r="E191" t="s">
        <v>190</v>
      </c>
      <c r="F191">
        <f>+VLOOKUP(C191,[1]Sheet1!A$2:E$167,4,0)</f>
        <v>28000</v>
      </c>
    </row>
    <row r="192" spans="1:6" x14ac:dyDescent="0.25">
      <c r="A192">
        <v>190</v>
      </c>
      <c r="B192" t="s">
        <v>688</v>
      </c>
      <c r="C192" t="s">
        <v>712</v>
      </c>
      <c r="D192" t="s">
        <v>690</v>
      </c>
      <c r="E192" t="s">
        <v>190</v>
      </c>
      <c r="F192">
        <f>+VLOOKUP(C192,[1]Sheet1!A$2:E$167,4,0)</f>
        <v>15000</v>
      </c>
    </row>
    <row r="193" spans="1:6" x14ac:dyDescent="0.25">
      <c r="A193">
        <v>191</v>
      </c>
      <c r="B193" t="s">
        <v>713</v>
      </c>
      <c r="C193" t="s">
        <v>714</v>
      </c>
      <c r="D193" t="s">
        <v>715</v>
      </c>
      <c r="E193" t="s">
        <v>190</v>
      </c>
      <c r="F193">
        <f>+VLOOKUP(C193,[1]Sheet1!A$2:E$167,4,0)</f>
        <v>20000</v>
      </c>
    </row>
    <row r="194" spans="1:6" x14ac:dyDescent="0.25">
      <c r="A194">
        <v>192</v>
      </c>
      <c r="B194" t="s">
        <v>716</v>
      </c>
      <c r="C194" t="s">
        <v>717</v>
      </c>
      <c r="D194" t="s">
        <v>718</v>
      </c>
      <c r="E194" t="s">
        <v>190</v>
      </c>
      <c r="F194">
        <f>+VLOOKUP(C194,[1]Sheet1!A$2:E$167,4,0)</f>
        <v>22000</v>
      </c>
    </row>
    <row r="195" spans="1:6" x14ac:dyDescent="0.25">
      <c r="A195">
        <v>193</v>
      </c>
      <c r="B195" t="s">
        <v>719</v>
      </c>
      <c r="C195" t="s">
        <v>720</v>
      </c>
      <c r="D195" t="s">
        <v>721</v>
      </c>
      <c r="E195" t="s">
        <v>190</v>
      </c>
      <c r="F195">
        <f>+VLOOKUP(C195,[1]Sheet1!A$2:E$167,4,0)</f>
        <v>12000</v>
      </c>
    </row>
    <row r="196" spans="1:6" x14ac:dyDescent="0.25">
      <c r="A196">
        <v>194</v>
      </c>
      <c r="B196" t="s">
        <v>722</v>
      </c>
      <c r="C196" t="s">
        <v>723</v>
      </c>
      <c r="D196" t="s">
        <v>724</v>
      </c>
      <c r="E196" t="s">
        <v>190</v>
      </c>
      <c r="F196" t="e">
        <f>+VLOOKUP(C196,[1]Sheet1!A$2:E$167,4,0)</f>
        <v>#N/A</v>
      </c>
    </row>
    <row r="197" spans="1:6" x14ac:dyDescent="0.25">
      <c r="A197">
        <v>195</v>
      </c>
      <c r="B197" t="s">
        <v>725</v>
      </c>
      <c r="C197" t="s">
        <v>726</v>
      </c>
      <c r="D197" t="s">
        <v>727</v>
      </c>
      <c r="E197" t="s">
        <v>13</v>
      </c>
      <c r="F197">
        <f>+VLOOKUP(C197,[1]Sheet1!A$2:E$167,4,0)</f>
        <v>36000</v>
      </c>
    </row>
    <row r="198" spans="1:6" x14ac:dyDescent="0.25">
      <c r="A198">
        <v>196</v>
      </c>
      <c r="B198" t="s">
        <v>728</v>
      </c>
      <c r="C198" t="s">
        <v>729</v>
      </c>
      <c r="D198" t="s">
        <v>730</v>
      </c>
      <c r="E198" t="s">
        <v>190</v>
      </c>
      <c r="F198">
        <f>+VLOOKUP(C198,[1]Sheet1!A$2:E$167,4,0)</f>
        <v>20000</v>
      </c>
    </row>
    <row r="199" spans="1:6" x14ac:dyDescent="0.25">
      <c r="A199">
        <v>197</v>
      </c>
      <c r="B199" t="s">
        <v>731</v>
      </c>
      <c r="C199" t="s">
        <v>732</v>
      </c>
      <c r="D199" t="s">
        <v>733</v>
      </c>
      <c r="E199" t="s">
        <v>190</v>
      </c>
      <c r="F199">
        <f>+VLOOKUP(C199,[1]Sheet1!A$2:E$167,4,0)</f>
        <v>52000</v>
      </c>
    </row>
    <row r="200" spans="1:6" x14ac:dyDescent="0.25">
      <c r="A200">
        <v>198</v>
      </c>
      <c r="B200" t="s">
        <v>734</v>
      </c>
      <c r="C200" t="s">
        <v>735</v>
      </c>
      <c r="D200" t="s">
        <v>736</v>
      </c>
      <c r="E200" t="s">
        <v>190</v>
      </c>
      <c r="F200">
        <f>+VLOOKUP(C200,[1]Sheet1!A$2:E$167,4,0)</f>
        <v>50000</v>
      </c>
    </row>
    <row r="201" spans="1:6" x14ac:dyDescent="0.25">
      <c r="A201">
        <v>199</v>
      </c>
      <c r="B201" t="s">
        <v>737</v>
      </c>
      <c r="C201" t="s">
        <v>738</v>
      </c>
      <c r="D201" t="s">
        <v>739</v>
      </c>
      <c r="E201" t="s">
        <v>190</v>
      </c>
      <c r="F201" t="e">
        <f>+VLOOKUP(C201,[1]Sheet1!A$2:E$167,4,0)</f>
        <v>#N/A</v>
      </c>
    </row>
    <row r="202" spans="1:6" x14ac:dyDescent="0.25">
      <c r="A202">
        <v>200</v>
      </c>
      <c r="B202" t="s">
        <v>740</v>
      </c>
      <c r="C202" t="s">
        <v>741</v>
      </c>
      <c r="D202" t="s">
        <v>742</v>
      </c>
      <c r="E202" t="s">
        <v>190</v>
      </c>
      <c r="F202" t="e">
        <f>+VLOOKUP(C202,[1]Sheet1!A$2:E$167,4,0)</f>
        <v>#N/A</v>
      </c>
    </row>
    <row r="203" spans="1:6" x14ac:dyDescent="0.25">
      <c r="A203">
        <v>201</v>
      </c>
      <c r="B203" t="s">
        <v>743</v>
      </c>
      <c r="C203" t="s">
        <v>744</v>
      </c>
      <c r="D203" t="s">
        <v>745</v>
      </c>
      <c r="E203" t="s">
        <v>190</v>
      </c>
      <c r="F203" t="e">
        <f>+VLOOKUP(C203,[1]Sheet1!A$2:E$167,4,0)</f>
        <v>#N/A</v>
      </c>
    </row>
    <row r="204" spans="1:6" x14ac:dyDescent="0.25">
      <c r="A204">
        <v>202</v>
      </c>
      <c r="B204" t="s">
        <v>746</v>
      </c>
      <c r="C204" t="s">
        <v>747</v>
      </c>
      <c r="D204" t="s">
        <v>748</v>
      </c>
      <c r="E204" t="s">
        <v>190</v>
      </c>
      <c r="F204" t="e">
        <f>+VLOOKUP(C204,[1]Sheet1!A$2:E$167,4,0)</f>
        <v>#N/A</v>
      </c>
    </row>
    <row r="205" spans="1:6" x14ac:dyDescent="0.25">
      <c r="A205">
        <v>203</v>
      </c>
      <c r="B205" t="s">
        <v>749</v>
      </c>
      <c r="C205" t="s">
        <v>750</v>
      </c>
      <c r="D205" t="s">
        <v>751</v>
      </c>
      <c r="E205" t="s">
        <v>190</v>
      </c>
      <c r="F205" t="e">
        <f>+VLOOKUP(C205,[1]Sheet1!A$2:E$167,4,0)</f>
        <v>#N/A</v>
      </c>
    </row>
    <row r="206" spans="1:6" x14ac:dyDescent="0.25">
      <c r="A206">
        <v>204</v>
      </c>
      <c r="B206" t="s">
        <v>752</v>
      </c>
      <c r="C206" t="s">
        <v>753</v>
      </c>
      <c r="D206" t="s">
        <v>754</v>
      </c>
      <c r="E206" t="s">
        <v>190</v>
      </c>
      <c r="F206">
        <f>+VLOOKUP(C206,[1]Sheet1!A$2:E$167,4,0)</f>
        <v>145000</v>
      </c>
    </row>
    <row r="207" spans="1:6" x14ac:dyDescent="0.25">
      <c r="A207">
        <v>205</v>
      </c>
      <c r="B207" t="s">
        <v>755</v>
      </c>
      <c r="C207" t="s">
        <v>756</v>
      </c>
      <c r="D207" t="s">
        <v>757</v>
      </c>
      <c r="E207" t="s">
        <v>190</v>
      </c>
      <c r="F207">
        <f>+VLOOKUP(C207,[1]Sheet1!A$2:E$167,4,0)</f>
        <v>42000</v>
      </c>
    </row>
    <row r="208" spans="1:6" x14ac:dyDescent="0.25">
      <c r="A208">
        <v>206</v>
      </c>
      <c r="B208" t="s">
        <v>755</v>
      </c>
      <c r="C208" t="s">
        <v>758</v>
      </c>
      <c r="D208" t="s">
        <v>759</v>
      </c>
      <c r="E208" t="s">
        <v>190</v>
      </c>
      <c r="F208" t="e">
        <f>+VLOOKUP(C208,[1]Sheet1!A$2:E$167,4,0)</f>
        <v>#N/A</v>
      </c>
    </row>
    <row r="209" spans="1:6" x14ac:dyDescent="0.25">
      <c r="A209">
        <v>207</v>
      </c>
      <c r="B209" t="s">
        <v>760</v>
      </c>
      <c r="C209" t="s">
        <v>761</v>
      </c>
      <c r="D209" t="s">
        <v>762</v>
      </c>
      <c r="E209" t="s">
        <v>190</v>
      </c>
      <c r="F209">
        <f>+VLOOKUP(C209,[1]Sheet1!A$2:E$167,4,0)</f>
        <v>36000</v>
      </c>
    </row>
    <row r="210" spans="1:6" x14ac:dyDescent="0.25">
      <c r="A210">
        <v>208</v>
      </c>
      <c r="B210" t="s">
        <v>763</v>
      </c>
      <c r="C210" t="s">
        <v>764</v>
      </c>
      <c r="D210" t="s">
        <v>765</v>
      </c>
      <c r="E210" t="s">
        <v>190</v>
      </c>
      <c r="F210">
        <f>+VLOOKUP(C210,[1]Sheet1!A$2:E$167,4,0)</f>
        <v>90000</v>
      </c>
    </row>
    <row r="211" spans="1:6" x14ac:dyDescent="0.25">
      <c r="A211">
        <v>209</v>
      </c>
      <c r="B211" t="s">
        <v>14</v>
      </c>
      <c r="C211" t="s">
        <v>766</v>
      </c>
      <c r="D211" t="s">
        <v>767</v>
      </c>
      <c r="E211" t="s">
        <v>190</v>
      </c>
      <c r="F211">
        <f>+VLOOKUP(C211,[1]Sheet1!A$2:E$167,4,0)</f>
        <v>50000</v>
      </c>
    </row>
    <row r="212" spans="1:6" x14ac:dyDescent="0.25">
      <c r="A212">
        <v>210</v>
      </c>
      <c r="B212" t="s">
        <v>768</v>
      </c>
      <c r="C212" t="s">
        <v>769</v>
      </c>
      <c r="D212" t="s">
        <v>770</v>
      </c>
      <c r="E212" t="s">
        <v>687</v>
      </c>
      <c r="F212" t="e">
        <f>+VLOOKUP(C212,[1]Sheet1!A$2:E$167,4,0)</f>
        <v>#N/A</v>
      </c>
    </row>
    <row r="213" spans="1:6" x14ac:dyDescent="0.25">
      <c r="A213">
        <v>211</v>
      </c>
      <c r="B213" t="s">
        <v>771</v>
      </c>
      <c r="C213" t="s">
        <v>772</v>
      </c>
      <c r="D213" t="s">
        <v>773</v>
      </c>
      <c r="E213" t="s">
        <v>774</v>
      </c>
      <c r="F213">
        <f>+VLOOKUP(C213,[1]Sheet1!A$2:E$167,4,0)</f>
        <v>5000</v>
      </c>
    </row>
    <row r="214" spans="1:6" x14ac:dyDescent="0.25">
      <c r="A214">
        <v>212</v>
      </c>
      <c r="B214" t="s">
        <v>775</v>
      </c>
      <c r="C214" t="s">
        <v>776</v>
      </c>
      <c r="D214" t="s">
        <v>777</v>
      </c>
      <c r="E214" t="s">
        <v>774</v>
      </c>
      <c r="F214">
        <f>+VLOOKUP(C214,[1]Sheet1!A$2:E$167,4,0)</f>
        <v>4000</v>
      </c>
    </row>
    <row r="215" spans="1:6" x14ac:dyDescent="0.25">
      <c r="A215">
        <v>213</v>
      </c>
      <c r="B215" t="s">
        <v>778</v>
      </c>
      <c r="C215" t="s">
        <v>779</v>
      </c>
      <c r="D215" t="s">
        <v>780</v>
      </c>
      <c r="E215" t="s">
        <v>190</v>
      </c>
      <c r="F215" t="e">
        <f>+VLOOKUP(C215,[1]Sheet1!A$2:E$167,4,0)</f>
        <v>#N/A</v>
      </c>
    </row>
    <row r="216" spans="1:6" x14ac:dyDescent="0.25">
      <c r="A216">
        <v>214</v>
      </c>
      <c r="B216" t="s">
        <v>781</v>
      </c>
      <c r="C216" t="s">
        <v>782</v>
      </c>
      <c r="D216" t="s">
        <v>783</v>
      </c>
      <c r="E216" t="s">
        <v>190</v>
      </c>
      <c r="F216">
        <f>+VLOOKUP(C216,[1]Sheet1!A$2:E$167,4,0)</f>
        <v>38000</v>
      </c>
    </row>
    <row r="217" spans="1:6" x14ac:dyDescent="0.25">
      <c r="A217">
        <v>215</v>
      </c>
      <c r="B217" t="s">
        <v>784</v>
      </c>
      <c r="C217" t="s">
        <v>785</v>
      </c>
      <c r="D217" t="s">
        <v>786</v>
      </c>
      <c r="E217" t="s">
        <v>190</v>
      </c>
      <c r="F217">
        <f>+VLOOKUP(C217,[1]Sheet1!A$2:E$167,4,0)</f>
        <v>65000</v>
      </c>
    </row>
    <row r="218" spans="1:6" x14ac:dyDescent="0.25">
      <c r="A218">
        <v>216</v>
      </c>
      <c r="B218" t="s">
        <v>787</v>
      </c>
      <c r="C218" t="s">
        <v>788</v>
      </c>
      <c r="D218" t="s">
        <v>789</v>
      </c>
      <c r="E218" t="s">
        <v>190</v>
      </c>
      <c r="F218">
        <f>+VLOOKUP(C218,[1]Sheet1!A$2:E$167,4,0)</f>
        <v>220000</v>
      </c>
    </row>
    <row r="219" spans="1:6" x14ac:dyDescent="0.25">
      <c r="A219">
        <v>217</v>
      </c>
      <c r="B219" t="s">
        <v>48</v>
      </c>
      <c r="C219" t="s">
        <v>790</v>
      </c>
      <c r="D219" t="s">
        <v>791</v>
      </c>
      <c r="E219" t="s">
        <v>190</v>
      </c>
      <c r="F219">
        <f>+VLOOKUP(C219,[1]Sheet1!A$2:E$167,4,0)</f>
        <v>62000</v>
      </c>
    </row>
    <row r="220" spans="1:6" x14ac:dyDescent="0.25">
      <c r="A220">
        <v>218</v>
      </c>
      <c r="B220" t="s">
        <v>740</v>
      </c>
      <c r="C220" t="s">
        <v>792</v>
      </c>
      <c r="D220" t="s">
        <v>793</v>
      </c>
      <c r="E220" t="s">
        <v>190</v>
      </c>
      <c r="F220">
        <f>+VLOOKUP(C220,[1]Sheet1!A$2:E$167,4,0)</f>
        <v>65000</v>
      </c>
    </row>
    <row r="221" spans="1:6" x14ac:dyDescent="0.25">
      <c r="A221">
        <v>219</v>
      </c>
      <c r="B221" t="s">
        <v>794</v>
      </c>
      <c r="C221" t="s">
        <v>795</v>
      </c>
      <c r="D221" t="s">
        <v>796</v>
      </c>
      <c r="E221" t="s">
        <v>190</v>
      </c>
      <c r="F221">
        <f>+VLOOKUP(C221,[1]Sheet1!A$2:E$167,4,0)</f>
        <v>65000</v>
      </c>
    </row>
    <row r="222" spans="1:6" x14ac:dyDescent="0.25">
      <c r="B222" t="s">
        <v>731</v>
      </c>
      <c r="C222" t="s">
        <v>732</v>
      </c>
      <c r="D222" t="s">
        <v>733</v>
      </c>
      <c r="E222" t="s">
        <v>190</v>
      </c>
      <c r="F222">
        <f>+VLOOKUP(C222,[1]Sheet1!A$2:E$167,4,0)</f>
        <v>52000</v>
      </c>
    </row>
    <row r="223" spans="1:6" x14ac:dyDescent="0.25">
      <c r="B223" t="s">
        <v>70</v>
      </c>
      <c r="C223" t="s">
        <v>797</v>
      </c>
      <c r="D223" t="s">
        <v>798</v>
      </c>
      <c r="E223" t="s">
        <v>190</v>
      </c>
      <c r="F223">
        <f>+VLOOKUP(C223,[1]Sheet1!A$2:E$167,4,0)</f>
        <v>30000</v>
      </c>
    </row>
    <row r="224" spans="1:6" x14ac:dyDescent="0.25">
      <c r="F224" t="e">
        <f>+VLOOKUP(C224,[1]Sheet1!A$2:E$167,4,0)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D494-A8BB-4C44-AC46-0BC3A73474BF}">
  <dimension ref="A1:K314"/>
  <sheetViews>
    <sheetView showGridLines="0" workbookViewId="0">
      <selection activeCell="A6" sqref="A6:K6"/>
    </sheetView>
  </sheetViews>
  <sheetFormatPr defaultRowHeight="15" x14ac:dyDescent="0.25"/>
  <cols>
    <col min="1" max="1" width="17.42578125" customWidth="1"/>
    <col min="2" max="2" width="20.5703125" customWidth="1"/>
    <col min="3" max="3" width="22.42578125" customWidth="1"/>
    <col min="4" max="4" width="29" customWidth="1"/>
    <col min="5" max="5" width="12" customWidth="1"/>
    <col min="6" max="6" width="20.85546875" customWidth="1"/>
    <col min="7" max="7" width="11" customWidth="1"/>
    <col min="8" max="8" width="17.140625" customWidth="1"/>
    <col min="9" max="9" width="18.28515625" customWidth="1"/>
    <col min="10" max="10" width="14.7109375" customWidth="1"/>
    <col min="11" max="11" width="25.85546875" customWidth="1"/>
  </cols>
  <sheetData>
    <row r="1" spans="1:11" ht="9.6" customHeight="1" x14ac:dyDescent="0.25"/>
    <row r="2" spans="1:11" ht="102.95" customHeight="1" x14ac:dyDescent="0.25">
      <c r="A2" s="13"/>
      <c r="B2" s="11"/>
      <c r="C2" s="12"/>
      <c r="D2" s="14" t="s">
        <v>0</v>
      </c>
      <c r="E2" s="11"/>
      <c r="F2" s="11"/>
      <c r="G2" s="11"/>
      <c r="H2" s="11"/>
      <c r="I2" s="11"/>
      <c r="J2" s="11"/>
      <c r="K2" s="12"/>
    </row>
    <row r="3" spans="1:11" ht="1.1499999999999999" customHeight="1" x14ac:dyDescent="0.25"/>
    <row r="4" spans="1:11" ht="24.75" customHeight="1" x14ac:dyDescent="0.25">
      <c r="A4" s="15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11" ht="2.1" customHeight="1" x14ac:dyDescent="0.25"/>
    <row r="6" spans="1:11" ht="22.5" customHeight="1" x14ac:dyDescent="0.25">
      <c r="A6" s="16" t="s">
        <v>97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 spans="1:11" ht="3" customHeight="1" x14ac:dyDescent="0.25"/>
    <row r="8" spans="1:11" ht="24.95" customHeight="1" x14ac:dyDescent="0.25">
      <c r="A8" s="10" t="s">
        <v>96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 spans="1:11" ht="4.1500000000000004" customHeight="1" x14ac:dyDescent="0.25"/>
    <row r="10" spans="1:11" ht="23.25" customHeight="1" x14ac:dyDescent="0.25">
      <c r="A10" s="10" t="s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spans="1:11" ht="3.95" customHeight="1" x14ac:dyDescent="0.25"/>
    <row r="12" spans="1:11" ht="23.85" customHeight="1" x14ac:dyDescent="0.25">
      <c r="A12" s="10" t="s">
        <v>3</v>
      </c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 spans="1:11" ht="36" customHeight="1" x14ac:dyDescent="0.25">
      <c r="J13" s="9">
        <f>SUBTOTAL(9,J15:J314)</f>
        <v>59014170</v>
      </c>
    </row>
    <row r="14" spans="1:11" ht="16.5" x14ac:dyDescent="0.25">
      <c r="A14" s="1" t="s">
        <v>5</v>
      </c>
      <c r="B14" s="1" t="s">
        <v>22</v>
      </c>
      <c r="C14" s="1" t="s">
        <v>23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24</v>
      </c>
      <c r="I14" s="1" t="s">
        <v>9</v>
      </c>
      <c r="J14" s="1" t="s">
        <v>10</v>
      </c>
      <c r="K14" s="1" t="s">
        <v>11</v>
      </c>
    </row>
    <row r="15" spans="1:11" x14ac:dyDescent="0.25">
      <c r="A15" s="4" t="s">
        <v>98</v>
      </c>
      <c r="B15" s="5" t="s">
        <v>94</v>
      </c>
      <c r="C15" s="4" t="s">
        <v>95</v>
      </c>
      <c r="D15" s="5" t="s">
        <v>148</v>
      </c>
      <c r="E15" s="4" t="s">
        <v>31</v>
      </c>
      <c r="F15" s="4" t="s">
        <v>32</v>
      </c>
      <c r="G15" s="4" t="s">
        <v>33</v>
      </c>
      <c r="H15" s="6">
        <v>8</v>
      </c>
      <c r="I15" s="7">
        <v>8500</v>
      </c>
      <c r="J15" s="7">
        <f>H15*I15</f>
        <v>68000</v>
      </c>
      <c r="K15" s="8" t="s">
        <v>12</v>
      </c>
    </row>
    <row r="16" spans="1:11" x14ac:dyDescent="0.25">
      <c r="A16" s="4" t="s">
        <v>98</v>
      </c>
      <c r="B16" s="5" t="s">
        <v>94</v>
      </c>
      <c r="C16" s="4" t="s">
        <v>95</v>
      </c>
      <c r="D16" s="5" t="s">
        <v>148</v>
      </c>
      <c r="E16" s="4" t="s">
        <v>62</v>
      </c>
      <c r="F16" s="4" t="s">
        <v>63</v>
      </c>
      <c r="G16" s="4" t="s">
        <v>13</v>
      </c>
      <c r="H16" s="6">
        <v>2.7</v>
      </c>
      <c r="I16" s="7">
        <v>45000</v>
      </c>
      <c r="J16" s="7">
        <f t="shared" ref="J16:J79" si="0">H16*I16</f>
        <v>121500.00000000001</v>
      </c>
      <c r="K16" s="8" t="s">
        <v>12</v>
      </c>
    </row>
    <row r="17" spans="1:11" x14ac:dyDescent="0.25">
      <c r="A17" s="4" t="s">
        <v>98</v>
      </c>
      <c r="B17" s="5" t="s">
        <v>94</v>
      </c>
      <c r="C17" s="4" t="s">
        <v>95</v>
      </c>
      <c r="D17" s="5" t="s">
        <v>148</v>
      </c>
      <c r="E17" s="4" t="s">
        <v>64</v>
      </c>
      <c r="F17" s="4" t="s">
        <v>65</v>
      </c>
      <c r="G17" s="4" t="s">
        <v>13</v>
      </c>
      <c r="H17" s="6">
        <v>1</v>
      </c>
      <c r="I17" s="7">
        <v>50000</v>
      </c>
      <c r="J17" s="7">
        <f t="shared" si="0"/>
        <v>50000</v>
      </c>
      <c r="K17" s="8" t="s">
        <v>12</v>
      </c>
    </row>
    <row r="18" spans="1:11" x14ac:dyDescent="0.25">
      <c r="A18" s="4" t="s">
        <v>98</v>
      </c>
      <c r="B18" s="5" t="s">
        <v>94</v>
      </c>
      <c r="C18" s="4" t="s">
        <v>95</v>
      </c>
      <c r="D18" s="5" t="s">
        <v>148</v>
      </c>
      <c r="E18" s="4" t="s">
        <v>66</v>
      </c>
      <c r="F18" s="4" t="s">
        <v>67</v>
      </c>
      <c r="G18" s="4" t="s">
        <v>13</v>
      </c>
      <c r="H18" s="6">
        <v>12</v>
      </c>
      <c r="I18" s="7">
        <v>18000</v>
      </c>
      <c r="J18" s="7">
        <f t="shared" si="0"/>
        <v>216000</v>
      </c>
      <c r="K18" s="8" t="s">
        <v>12</v>
      </c>
    </row>
    <row r="19" spans="1:11" x14ac:dyDescent="0.25">
      <c r="A19" s="4" t="s">
        <v>98</v>
      </c>
      <c r="B19" s="5" t="s">
        <v>94</v>
      </c>
      <c r="C19" s="4" t="s">
        <v>95</v>
      </c>
      <c r="D19" s="5" t="s">
        <v>148</v>
      </c>
      <c r="E19" s="4" t="s">
        <v>56</v>
      </c>
      <c r="F19" s="4" t="s">
        <v>57</v>
      </c>
      <c r="G19" s="4" t="s">
        <v>13</v>
      </c>
      <c r="H19" s="6">
        <v>0.5</v>
      </c>
      <c r="I19" s="7">
        <v>34000</v>
      </c>
      <c r="J19" s="7">
        <f t="shared" si="0"/>
        <v>17000</v>
      </c>
      <c r="K19" s="8" t="s">
        <v>12</v>
      </c>
    </row>
    <row r="20" spans="1:11" x14ac:dyDescent="0.25">
      <c r="A20" s="4" t="s">
        <v>98</v>
      </c>
      <c r="B20" s="5" t="s">
        <v>94</v>
      </c>
      <c r="C20" s="4" t="s">
        <v>95</v>
      </c>
      <c r="D20" s="5" t="s">
        <v>148</v>
      </c>
      <c r="E20" s="4" t="s">
        <v>58</v>
      </c>
      <c r="F20" s="4" t="s">
        <v>59</v>
      </c>
      <c r="G20" s="4" t="s">
        <v>13</v>
      </c>
      <c r="H20" s="6">
        <v>0.5</v>
      </c>
      <c r="I20" s="7">
        <v>95000</v>
      </c>
      <c r="J20" s="7">
        <f t="shared" si="0"/>
        <v>47500</v>
      </c>
      <c r="K20" s="8" t="s">
        <v>12</v>
      </c>
    </row>
    <row r="21" spans="1:11" x14ac:dyDescent="0.25">
      <c r="A21" s="4" t="s">
        <v>98</v>
      </c>
      <c r="B21" s="5" t="s">
        <v>94</v>
      </c>
      <c r="C21" s="4" t="s">
        <v>95</v>
      </c>
      <c r="D21" s="5" t="s">
        <v>148</v>
      </c>
      <c r="E21" s="4" t="s">
        <v>68</v>
      </c>
      <c r="F21" s="4" t="s">
        <v>69</v>
      </c>
      <c r="G21" s="4" t="s">
        <v>13</v>
      </c>
      <c r="H21" s="6">
        <v>0.9</v>
      </c>
      <c r="I21" s="7">
        <v>13000</v>
      </c>
      <c r="J21" s="7">
        <f t="shared" si="0"/>
        <v>11700</v>
      </c>
      <c r="K21" s="8" t="s">
        <v>12</v>
      </c>
    </row>
    <row r="22" spans="1:11" x14ac:dyDescent="0.25">
      <c r="A22" s="4" t="s">
        <v>98</v>
      </c>
      <c r="B22" s="5" t="s">
        <v>94</v>
      </c>
      <c r="C22" s="4" t="s">
        <v>95</v>
      </c>
      <c r="D22" s="5" t="s">
        <v>148</v>
      </c>
      <c r="E22" s="4" t="s">
        <v>16</v>
      </c>
      <c r="F22" s="4" t="s">
        <v>17</v>
      </c>
      <c r="G22" s="4" t="s">
        <v>13</v>
      </c>
      <c r="H22" s="6">
        <v>0.9</v>
      </c>
      <c r="I22" s="7">
        <v>47000</v>
      </c>
      <c r="J22" s="7">
        <f t="shared" si="0"/>
        <v>42300</v>
      </c>
      <c r="K22" s="8" t="s">
        <v>12</v>
      </c>
    </row>
    <row r="23" spans="1:11" x14ac:dyDescent="0.25">
      <c r="A23" s="4" t="s">
        <v>98</v>
      </c>
      <c r="B23" s="5" t="s">
        <v>94</v>
      </c>
      <c r="C23" s="4" t="s">
        <v>95</v>
      </c>
      <c r="D23" s="5" t="s">
        <v>148</v>
      </c>
      <c r="E23" s="4" t="s">
        <v>50</v>
      </c>
      <c r="F23" s="4" t="s">
        <v>51</v>
      </c>
      <c r="G23" s="4" t="s">
        <v>13</v>
      </c>
      <c r="H23" s="6">
        <v>50</v>
      </c>
      <c r="I23" s="7">
        <v>18000</v>
      </c>
      <c r="J23" s="7">
        <f t="shared" si="0"/>
        <v>900000</v>
      </c>
      <c r="K23" s="8" t="s">
        <v>12</v>
      </c>
    </row>
    <row r="24" spans="1:11" x14ac:dyDescent="0.25">
      <c r="A24" s="4" t="s">
        <v>98</v>
      </c>
      <c r="B24" s="5" t="s">
        <v>94</v>
      </c>
      <c r="C24" s="4" t="s">
        <v>95</v>
      </c>
      <c r="D24" s="5" t="s">
        <v>148</v>
      </c>
      <c r="E24" s="4" t="s">
        <v>78</v>
      </c>
      <c r="F24" s="4" t="s">
        <v>79</v>
      </c>
      <c r="G24" s="4" t="s">
        <v>13</v>
      </c>
      <c r="H24" s="6">
        <v>0.4</v>
      </c>
      <c r="I24" s="7">
        <v>30000</v>
      </c>
      <c r="J24" s="7">
        <f t="shared" si="0"/>
        <v>12000</v>
      </c>
      <c r="K24" s="8" t="s">
        <v>12</v>
      </c>
    </row>
    <row r="25" spans="1:11" x14ac:dyDescent="0.25">
      <c r="A25" s="4" t="s">
        <v>98</v>
      </c>
      <c r="B25" s="5" t="s">
        <v>94</v>
      </c>
      <c r="C25" s="4" t="s">
        <v>95</v>
      </c>
      <c r="D25" s="5" t="s">
        <v>148</v>
      </c>
      <c r="E25" s="4" t="s">
        <v>18</v>
      </c>
      <c r="F25" s="4" t="s">
        <v>19</v>
      </c>
      <c r="G25" s="4" t="s">
        <v>13</v>
      </c>
      <c r="H25" s="6">
        <v>2</v>
      </c>
      <c r="I25" s="7">
        <v>55000</v>
      </c>
      <c r="J25" s="7">
        <f t="shared" si="0"/>
        <v>110000</v>
      </c>
      <c r="K25" s="8" t="s">
        <v>12</v>
      </c>
    </row>
    <row r="26" spans="1:11" x14ac:dyDescent="0.25">
      <c r="A26" s="4" t="s">
        <v>98</v>
      </c>
      <c r="B26" s="5" t="s">
        <v>94</v>
      </c>
      <c r="C26" s="4" t="s">
        <v>95</v>
      </c>
      <c r="D26" s="5" t="s">
        <v>148</v>
      </c>
      <c r="E26" s="4" t="s">
        <v>70</v>
      </c>
      <c r="F26" s="4" t="s">
        <v>71</v>
      </c>
      <c r="G26" s="4" t="s">
        <v>13</v>
      </c>
      <c r="H26" s="6">
        <v>1.7</v>
      </c>
      <c r="I26" s="7">
        <v>30000</v>
      </c>
      <c r="J26" s="7">
        <f t="shared" si="0"/>
        <v>51000</v>
      </c>
      <c r="K26" s="8" t="s">
        <v>12</v>
      </c>
    </row>
    <row r="27" spans="1:11" x14ac:dyDescent="0.25">
      <c r="A27" s="4" t="s">
        <v>98</v>
      </c>
      <c r="B27" s="5" t="s">
        <v>94</v>
      </c>
      <c r="C27" s="4" t="s">
        <v>95</v>
      </c>
      <c r="D27" s="5" t="s">
        <v>148</v>
      </c>
      <c r="E27" s="4" t="s">
        <v>72</v>
      </c>
      <c r="F27" s="4" t="s">
        <v>73</v>
      </c>
      <c r="G27" s="4" t="s">
        <v>13</v>
      </c>
      <c r="H27" s="6">
        <v>1.4</v>
      </c>
      <c r="I27" s="7">
        <v>18000</v>
      </c>
      <c r="J27" s="7">
        <f t="shared" si="0"/>
        <v>25200</v>
      </c>
      <c r="K27" s="8" t="s">
        <v>12</v>
      </c>
    </row>
    <row r="28" spans="1:11" x14ac:dyDescent="0.25">
      <c r="A28" s="4" t="s">
        <v>98</v>
      </c>
      <c r="B28" s="5" t="s">
        <v>94</v>
      </c>
      <c r="C28" s="4" t="s">
        <v>95</v>
      </c>
      <c r="D28" s="5" t="s">
        <v>148</v>
      </c>
      <c r="E28" s="4" t="s">
        <v>74</v>
      </c>
      <c r="F28" s="4" t="s">
        <v>75</v>
      </c>
      <c r="G28" s="4" t="s">
        <v>13</v>
      </c>
      <c r="H28" s="6">
        <v>5.7</v>
      </c>
      <c r="I28" s="7">
        <v>22000</v>
      </c>
      <c r="J28" s="7">
        <f t="shared" si="0"/>
        <v>125400</v>
      </c>
      <c r="K28" s="8" t="s">
        <v>12</v>
      </c>
    </row>
    <row r="29" spans="1:11" x14ac:dyDescent="0.25">
      <c r="A29" s="4" t="s">
        <v>98</v>
      </c>
      <c r="B29" s="5" t="s">
        <v>94</v>
      </c>
      <c r="C29" s="4" t="s">
        <v>95</v>
      </c>
      <c r="D29" s="5" t="s">
        <v>148</v>
      </c>
      <c r="E29" s="4" t="s">
        <v>36</v>
      </c>
      <c r="F29" s="4" t="s">
        <v>37</v>
      </c>
      <c r="G29" s="4" t="s">
        <v>13</v>
      </c>
      <c r="H29" s="6">
        <v>3</v>
      </c>
      <c r="I29" s="7">
        <v>145000</v>
      </c>
      <c r="J29" s="7">
        <f t="shared" si="0"/>
        <v>435000</v>
      </c>
      <c r="K29" s="8" t="s">
        <v>12</v>
      </c>
    </row>
    <row r="30" spans="1:11" x14ac:dyDescent="0.25">
      <c r="A30" s="4" t="s">
        <v>98</v>
      </c>
      <c r="B30" s="5" t="s">
        <v>94</v>
      </c>
      <c r="C30" s="4" t="s">
        <v>95</v>
      </c>
      <c r="D30" s="5" t="s">
        <v>148</v>
      </c>
      <c r="E30" s="4" t="s">
        <v>38</v>
      </c>
      <c r="F30" s="4" t="s">
        <v>39</v>
      </c>
      <c r="G30" s="4" t="s">
        <v>13</v>
      </c>
      <c r="H30" s="6">
        <v>7</v>
      </c>
      <c r="I30" s="7">
        <v>47000</v>
      </c>
      <c r="J30" s="7">
        <f t="shared" si="0"/>
        <v>329000</v>
      </c>
      <c r="K30" s="8" t="s">
        <v>12</v>
      </c>
    </row>
    <row r="31" spans="1:11" x14ac:dyDescent="0.25">
      <c r="A31" s="4" t="s">
        <v>98</v>
      </c>
      <c r="B31" s="5" t="s">
        <v>94</v>
      </c>
      <c r="C31" s="4" t="s">
        <v>95</v>
      </c>
      <c r="D31" s="5" t="s">
        <v>148</v>
      </c>
      <c r="E31" s="4" t="s">
        <v>40</v>
      </c>
      <c r="F31" s="4" t="s">
        <v>41</v>
      </c>
      <c r="G31" s="4" t="s">
        <v>13</v>
      </c>
      <c r="H31" s="6">
        <v>3</v>
      </c>
      <c r="I31" s="7">
        <v>80000</v>
      </c>
      <c r="J31" s="7">
        <f t="shared" si="0"/>
        <v>240000</v>
      </c>
      <c r="K31" s="8" t="s">
        <v>12</v>
      </c>
    </row>
    <row r="32" spans="1:11" x14ac:dyDescent="0.25">
      <c r="A32" s="4" t="s">
        <v>98</v>
      </c>
      <c r="B32" s="5" t="s">
        <v>94</v>
      </c>
      <c r="C32" s="4" t="s">
        <v>95</v>
      </c>
      <c r="D32" s="5" t="s">
        <v>148</v>
      </c>
      <c r="E32" s="4" t="s">
        <v>42</v>
      </c>
      <c r="F32" s="4" t="s">
        <v>43</v>
      </c>
      <c r="G32" s="4" t="s">
        <v>13</v>
      </c>
      <c r="H32" s="6">
        <v>6</v>
      </c>
      <c r="I32" s="7">
        <v>45000</v>
      </c>
      <c r="J32" s="7">
        <f t="shared" si="0"/>
        <v>270000</v>
      </c>
      <c r="K32" s="8" t="s">
        <v>12</v>
      </c>
    </row>
    <row r="33" spans="1:11" ht="28.5" x14ac:dyDescent="0.25">
      <c r="A33" s="4" t="s">
        <v>98</v>
      </c>
      <c r="B33" s="5" t="s">
        <v>94</v>
      </c>
      <c r="C33" s="4" t="s">
        <v>95</v>
      </c>
      <c r="D33" s="5" t="s">
        <v>148</v>
      </c>
      <c r="E33" s="4" t="s">
        <v>44</v>
      </c>
      <c r="F33" s="4" t="s">
        <v>45</v>
      </c>
      <c r="G33" s="4" t="s">
        <v>13</v>
      </c>
      <c r="H33" s="6">
        <v>7</v>
      </c>
      <c r="I33" s="7">
        <v>95000</v>
      </c>
      <c r="J33" s="7">
        <f t="shared" si="0"/>
        <v>665000</v>
      </c>
      <c r="K33" s="8" t="s">
        <v>12</v>
      </c>
    </row>
    <row r="34" spans="1:11" x14ac:dyDescent="0.25">
      <c r="A34" s="4" t="s">
        <v>98</v>
      </c>
      <c r="B34" s="5" t="s">
        <v>94</v>
      </c>
      <c r="C34" s="4" t="s">
        <v>95</v>
      </c>
      <c r="D34" s="5" t="s">
        <v>148</v>
      </c>
      <c r="E34" s="4" t="s">
        <v>20</v>
      </c>
      <c r="F34" s="4" t="s">
        <v>21</v>
      </c>
      <c r="G34" s="4" t="s">
        <v>13</v>
      </c>
      <c r="H34" s="6">
        <v>1.5</v>
      </c>
      <c r="I34" s="7">
        <v>45000</v>
      </c>
      <c r="J34" s="7">
        <f t="shared" si="0"/>
        <v>67500</v>
      </c>
      <c r="K34" s="8" t="s">
        <v>12</v>
      </c>
    </row>
    <row r="35" spans="1:11" x14ac:dyDescent="0.25">
      <c r="A35" s="4" t="s">
        <v>98</v>
      </c>
      <c r="B35" s="5" t="s">
        <v>94</v>
      </c>
      <c r="C35" s="4" t="s">
        <v>95</v>
      </c>
      <c r="D35" s="5" t="s">
        <v>148</v>
      </c>
      <c r="E35" s="4" t="s">
        <v>46</v>
      </c>
      <c r="F35" s="4" t="s">
        <v>47</v>
      </c>
      <c r="G35" s="4" t="s">
        <v>13</v>
      </c>
      <c r="H35" s="6">
        <v>0.2</v>
      </c>
      <c r="I35" s="7">
        <v>70000</v>
      </c>
      <c r="J35" s="7">
        <f t="shared" si="0"/>
        <v>14000</v>
      </c>
      <c r="K35" s="8" t="s">
        <v>12</v>
      </c>
    </row>
    <row r="36" spans="1:11" x14ac:dyDescent="0.25">
      <c r="A36" s="4" t="s">
        <v>98</v>
      </c>
      <c r="B36" s="5" t="s">
        <v>94</v>
      </c>
      <c r="C36" s="4" t="s">
        <v>95</v>
      </c>
      <c r="D36" s="5" t="s">
        <v>148</v>
      </c>
      <c r="E36" s="4" t="s">
        <v>29</v>
      </c>
      <c r="F36" s="4" t="s">
        <v>30</v>
      </c>
      <c r="G36" s="4" t="s">
        <v>13</v>
      </c>
      <c r="H36" s="6">
        <v>1.6</v>
      </c>
      <c r="I36" s="7">
        <v>145000</v>
      </c>
      <c r="J36" s="7">
        <f t="shared" si="0"/>
        <v>232000</v>
      </c>
      <c r="K36" s="8" t="s">
        <v>12</v>
      </c>
    </row>
    <row r="37" spans="1:11" x14ac:dyDescent="0.25">
      <c r="A37" s="4" t="s">
        <v>98</v>
      </c>
      <c r="B37" s="5" t="s">
        <v>94</v>
      </c>
      <c r="C37" s="4" t="s">
        <v>95</v>
      </c>
      <c r="D37" s="5" t="s">
        <v>148</v>
      </c>
      <c r="E37" s="4" t="s">
        <v>27</v>
      </c>
      <c r="F37" s="4" t="s">
        <v>28</v>
      </c>
      <c r="G37" s="4" t="s">
        <v>13</v>
      </c>
      <c r="H37" s="6">
        <v>25</v>
      </c>
      <c r="I37" s="7">
        <v>21000</v>
      </c>
      <c r="J37" s="7">
        <f t="shared" si="0"/>
        <v>525000</v>
      </c>
      <c r="K37" s="8" t="s">
        <v>12</v>
      </c>
    </row>
    <row r="38" spans="1:11" x14ac:dyDescent="0.25">
      <c r="A38" s="4" t="s">
        <v>98</v>
      </c>
      <c r="B38" s="5" t="s">
        <v>94</v>
      </c>
      <c r="C38" s="4" t="s">
        <v>95</v>
      </c>
      <c r="D38" s="5" t="s">
        <v>148</v>
      </c>
      <c r="E38" s="4" t="s">
        <v>76</v>
      </c>
      <c r="F38" s="4" t="s">
        <v>77</v>
      </c>
      <c r="G38" s="4" t="s">
        <v>13</v>
      </c>
      <c r="H38" s="6">
        <v>6.5</v>
      </c>
      <c r="I38" s="7">
        <v>38000</v>
      </c>
      <c r="J38" s="7">
        <f t="shared" si="0"/>
        <v>247000</v>
      </c>
      <c r="K38" s="8" t="s">
        <v>12</v>
      </c>
    </row>
    <row r="39" spans="1:11" x14ac:dyDescent="0.25">
      <c r="A39" s="4" t="s">
        <v>98</v>
      </c>
      <c r="B39" s="5" t="s">
        <v>94</v>
      </c>
      <c r="C39" s="4" t="s">
        <v>95</v>
      </c>
      <c r="D39" s="5" t="s">
        <v>148</v>
      </c>
      <c r="E39" s="4" t="s">
        <v>14</v>
      </c>
      <c r="F39" s="4" t="s">
        <v>15</v>
      </c>
      <c r="G39" s="4" t="s">
        <v>13</v>
      </c>
      <c r="H39" s="6">
        <v>2</v>
      </c>
      <c r="I39" s="7">
        <v>50000</v>
      </c>
      <c r="J39" s="7">
        <f t="shared" si="0"/>
        <v>100000</v>
      </c>
      <c r="K39" s="8" t="s">
        <v>12</v>
      </c>
    </row>
    <row r="40" spans="1:11" x14ac:dyDescent="0.25">
      <c r="A40" s="4" t="s">
        <v>98</v>
      </c>
      <c r="B40" s="5" t="s">
        <v>94</v>
      </c>
      <c r="C40" s="4" t="s">
        <v>95</v>
      </c>
      <c r="D40" s="5" t="s">
        <v>148</v>
      </c>
      <c r="E40" s="4" t="s">
        <v>48</v>
      </c>
      <c r="F40" s="4" t="s">
        <v>49</v>
      </c>
      <c r="G40" s="4" t="s">
        <v>13</v>
      </c>
      <c r="H40" s="6">
        <v>12</v>
      </c>
      <c r="I40" s="7">
        <v>62000</v>
      </c>
      <c r="J40" s="7">
        <f t="shared" si="0"/>
        <v>744000</v>
      </c>
      <c r="K40" s="8" t="s">
        <v>12</v>
      </c>
    </row>
    <row r="41" spans="1:11" x14ac:dyDescent="0.25">
      <c r="A41" s="4" t="s">
        <v>100</v>
      </c>
      <c r="B41" s="5" t="s">
        <v>94</v>
      </c>
      <c r="C41" s="4" t="s">
        <v>95</v>
      </c>
      <c r="D41" s="5" t="s">
        <v>149</v>
      </c>
      <c r="E41" s="4" t="s">
        <v>31</v>
      </c>
      <c r="F41" s="4" t="s">
        <v>32</v>
      </c>
      <c r="G41" s="4" t="s">
        <v>33</v>
      </c>
      <c r="H41" s="6">
        <v>8</v>
      </c>
      <c r="I41" s="7">
        <v>8500</v>
      </c>
      <c r="J41" s="7">
        <f t="shared" si="0"/>
        <v>68000</v>
      </c>
      <c r="K41" s="8" t="s">
        <v>12</v>
      </c>
    </row>
    <row r="42" spans="1:11" x14ac:dyDescent="0.25">
      <c r="A42" s="4" t="s">
        <v>100</v>
      </c>
      <c r="B42" s="5" t="s">
        <v>94</v>
      </c>
      <c r="C42" s="4" t="s">
        <v>95</v>
      </c>
      <c r="D42" s="5" t="s">
        <v>149</v>
      </c>
      <c r="E42" s="4" t="s">
        <v>62</v>
      </c>
      <c r="F42" s="4" t="s">
        <v>63</v>
      </c>
      <c r="G42" s="4" t="s">
        <v>13</v>
      </c>
      <c r="H42" s="6">
        <v>2.2000000000000002</v>
      </c>
      <c r="I42" s="7">
        <v>45000</v>
      </c>
      <c r="J42" s="7">
        <f t="shared" si="0"/>
        <v>99000.000000000015</v>
      </c>
      <c r="K42" s="8" t="s">
        <v>12</v>
      </c>
    </row>
    <row r="43" spans="1:11" x14ac:dyDescent="0.25">
      <c r="A43" s="4" t="s">
        <v>100</v>
      </c>
      <c r="B43" s="5" t="s">
        <v>94</v>
      </c>
      <c r="C43" s="4" t="s">
        <v>95</v>
      </c>
      <c r="D43" s="5" t="s">
        <v>149</v>
      </c>
      <c r="E43" s="4" t="s">
        <v>64</v>
      </c>
      <c r="F43" s="4" t="s">
        <v>65</v>
      </c>
      <c r="G43" s="4" t="s">
        <v>13</v>
      </c>
      <c r="H43" s="6">
        <v>1</v>
      </c>
      <c r="I43" s="7">
        <v>50000</v>
      </c>
      <c r="J43" s="7">
        <f t="shared" si="0"/>
        <v>50000</v>
      </c>
      <c r="K43" s="8" t="s">
        <v>12</v>
      </c>
    </row>
    <row r="44" spans="1:11" x14ac:dyDescent="0.25">
      <c r="A44" s="4" t="s">
        <v>100</v>
      </c>
      <c r="B44" s="5" t="s">
        <v>94</v>
      </c>
      <c r="C44" s="4" t="s">
        <v>95</v>
      </c>
      <c r="D44" s="5" t="s">
        <v>149</v>
      </c>
      <c r="E44" s="4" t="s">
        <v>66</v>
      </c>
      <c r="F44" s="4" t="s">
        <v>67</v>
      </c>
      <c r="G44" s="4" t="s">
        <v>13</v>
      </c>
      <c r="H44" s="6">
        <v>12.5</v>
      </c>
      <c r="I44" s="7">
        <v>18000</v>
      </c>
      <c r="J44" s="7">
        <f t="shared" si="0"/>
        <v>225000</v>
      </c>
      <c r="K44" s="8" t="s">
        <v>12</v>
      </c>
    </row>
    <row r="45" spans="1:11" x14ac:dyDescent="0.25">
      <c r="A45" s="4" t="s">
        <v>100</v>
      </c>
      <c r="B45" s="5" t="s">
        <v>94</v>
      </c>
      <c r="C45" s="4" t="s">
        <v>95</v>
      </c>
      <c r="D45" s="5" t="s">
        <v>149</v>
      </c>
      <c r="E45" s="4" t="s">
        <v>54</v>
      </c>
      <c r="F45" s="4" t="s">
        <v>55</v>
      </c>
      <c r="G45" s="4" t="s">
        <v>13</v>
      </c>
      <c r="H45" s="6">
        <v>0.7</v>
      </c>
      <c r="I45" s="7">
        <v>75000</v>
      </c>
      <c r="J45" s="7">
        <f t="shared" si="0"/>
        <v>52500</v>
      </c>
      <c r="K45" s="8" t="s">
        <v>12</v>
      </c>
    </row>
    <row r="46" spans="1:11" x14ac:dyDescent="0.25">
      <c r="A46" s="4" t="s">
        <v>100</v>
      </c>
      <c r="B46" s="5" t="s">
        <v>94</v>
      </c>
      <c r="C46" s="4" t="s">
        <v>95</v>
      </c>
      <c r="D46" s="5" t="s">
        <v>149</v>
      </c>
      <c r="E46" s="4" t="s">
        <v>56</v>
      </c>
      <c r="F46" s="4" t="s">
        <v>57</v>
      </c>
      <c r="G46" s="4" t="s">
        <v>13</v>
      </c>
      <c r="H46" s="6">
        <v>0.6</v>
      </c>
      <c r="I46" s="7">
        <v>34000</v>
      </c>
      <c r="J46" s="7">
        <f t="shared" si="0"/>
        <v>20400</v>
      </c>
      <c r="K46" s="8" t="s">
        <v>12</v>
      </c>
    </row>
    <row r="47" spans="1:11" x14ac:dyDescent="0.25">
      <c r="A47" s="4" t="s">
        <v>100</v>
      </c>
      <c r="B47" s="5" t="s">
        <v>94</v>
      </c>
      <c r="C47" s="4" t="s">
        <v>95</v>
      </c>
      <c r="D47" s="5" t="s">
        <v>149</v>
      </c>
      <c r="E47" s="4" t="s">
        <v>25</v>
      </c>
      <c r="F47" s="4" t="s">
        <v>26</v>
      </c>
      <c r="G47" s="4" t="s">
        <v>13</v>
      </c>
      <c r="H47" s="6">
        <v>0.5</v>
      </c>
      <c r="I47" s="7">
        <v>22000</v>
      </c>
      <c r="J47" s="7">
        <f t="shared" si="0"/>
        <v>11000</v>
      </c>
      <c r="K47" s="8" t="s">
        <v>12</v>
      </c>
    </row>
    <row r="48" spans="1:11" x14ac:dyDescent="0.25">
      <c r="A48" s="4" t="s">
        <v>100</v>
      </c>
      <c r="B48" s="5" t="s">
        <v>94</v>
      </c>
      <c r="C48" s="4" t="s">
        <v>95</v>
      </c>
      <c r="D48" s="5" t="s">
        <v>149</v>
      </c>
      <c r="E48" s="4" t="s">
        <v>68</v>
      </c>
      <c r="F48" s="4" t="s">
        <v>69</v>
      </c>
      <c r="G48" s="4" t="s">
        <v>13</v>
      </c>
      <c r="H48" s="6">
        <v>1.1000000000000001</v>
      </c>
      <c r="I48" s="7">
        <v>13000</v>
      </c>
      <c r="J48" s="7">
        <f t="shared" si="0"/>
        <v>14300.000000000002</v>
      </c>
      <c r="K48" s="8" t="s">
        <v>12</v>
      </c>
    </row>
    <row r="49" spans="1:11" x14ac:dyDescent="0.25">
      <c r="A49" s="4" t="s">
        <v>100</v>
      </c>
      <c r="B49" s="5" t="s">
        <v>94</v>
      </c>
      <c r="C49" s="4" t="s">
        <v>95</v>
      </c>
      <c r="D49" s="5" t="s">
        <v>149</v>
      </c>
      <c r="E49" s="4" t="s">
        <v>16</v>
      </c>
      <c r="F49" s="4" t="s">
        <v>17</v>
      </c>
      <c r="G49" s="4" t="s">
        <v>13</v>
      </c>
      <c r="H49" s="6">
        <v>1</v>
      </c>
      <c r="I49" s="7">
        <v>47000</v>
      </c>
      <c r="J49" s="7">
        <f t="shared" si="0"/>
        <v>47000</v>
      </c>
      <c r="K49" s="8" t="s">
        <v>12</v>
      </c>
    </row>
    <row r="50" spans="1:11" x14ac:dyDescent="0.25">
      <c r="A50" s="4" t="s">
        <v>100</v>
      </c>
      <c r="B50" s="5" t="s">
        <v>94</v>
      </c>
      <c r="C50" s="4" t="s">
        <v>95</v>
      </c>
      <c r="D50" s="5" t="s">
        <v>149</v>
      </c>
      <c r="E50" s="4" t="s">
        <v>50</v>
      </c>
      <c r="F50" s="4" t="s">
        <v>51</v>
      </c>
      <c r="G50" s="4" t="s">
        <v>13</v>
      </c>
      <c r="H50" s="6">
        <v>39</v>
      </c>
      <c r="I50" s="7">
        <v>18000</v>
      </c>
      <c r="J50" s="7">
        <f t="shared" si="0"/>
        <v>702000</v>
      </c>
      <c r="K50" s="8" t="s">
        <v>12</v>
      </c>
    </row>
    <row r="51" spans="1:11" x14ac:dyDescent="0.25">
      <c r="A51" s="4" t="s">
        <v>100</v>
      </c>
      <c r="B51" s="5" t="s">
        <v>94</v>
      </c>
      <c r="C51" s="4" t="s">
        <v>95</v>
      </c>
      <c r="D51" s="5" t="s">
        <v>149</v>
      </c>
      <c r="E51" s="4" t="s">
        <v>78</v>
      </c>
      <c r="F51" s="4" t="s">
        <v>79</v>
      </c>
      <c r="G51" s="4" t="s">
        <v>13</v>
      </c>
      <c r="H51" s="6">
        <v>0.5</v>
      </c>
      <c r="I51" s="7">
        <v>30000</v>
      </c>
      <c r="J51" s="7">
        <f t="shared" si="0"/>
        <v>15000</v>
      </c>
      <c r="K51" s="8" t="s">
        <v>12</v>
      </c>
    </row>
    <row r="52" spans="1:11" x14ac:dyDescent="0.25">
      <c r="A52" s="4" t="s">
        <v>100</v>
      </c>
      <c r="B52" s="5" t="s">
        <v>94</v>
      </c>
      <c r="C52" s="4" t="s">
        <v>95</v>
      </c>
      <c r="D52" s="5" t="s">
        <v>149</v>
      </c>
      <c r="E52" s="4" t="s">
        <v>18</v>
      </c>
      <c r="F52" s="4" t="s">
        <v>19</v>
      </c>
      <c r="G52" s="4" t="s">
        <v>13</v>
      </c>
      <c r="H52" s="6">
        <v>2</v>
      </c>
      <c r="I52" s="7">
        <v>55000</v>
      </c>
      <c r="J52" s="7">
        <f t="shared" si="0"/>
        <v>110000</v>
      </c>
      <c r="K52" s="8" t="s">
        <v>12</v>
      </c>
    </row>
    <row r="53" spans="1:11" x14ac:dyDescent="0.25">
      <c r="A53" s="4" t="s">
        <v>100</v>
      </c>
      <c r="B53" s="5" t="s">
        <v>94</v>
      </c>
      <c r="C53" s="4" t="s">
        <v>95</v>
      </c>
      <c r="D53" s="5" t="s">
        <v>149</v>
      </c>
      <c r="E53" s="4" t="s">
        <v>52</v>
      </c>
      <c r="F53" s="4" t="s">
        <v>53</v>
      </c>
      <c r="G53" s="4" t="s">
        <v>13</v>
      </c>
      <c r="H53" s="6">
        <v>0.7</v>
      </c>
      <c r="I53" s="7">
        <v>65000</v>
      </c>
      <c r="J53" s="7">
        <f t="shared" si="0"/>
        <v>45500</v>
      </c>
      <c r="K53" s="8" t="s">
        <v>12</v>
      </c>
    </row>
    <row r="54" spans="1:11" x14ac:dyDescent="0.25">
      <c r="A54" s="4" t="s">
        <v>100</v>
      </c>
      <c r="B54" s="5" t="s">
        <v>94</v>
      </c>
      <c r="C54" s="4" t="s">
        <v>95</v>
      </c>
      <c r="D54" s="5" t="s">
        <v>149</v>
      </c>
      <c r="E54" s="4" t="s">
        <v>70</v>
      </c>
      <c r="F54" s="4" t="s">
        <v>71</v>
      </c>
      <c r="G54" s="4" t="s">
        <v>13</v>
      </c>
      <c r="H54" s="6">
        <v>3.3</v>
      </c>
      <c r="I54" s="7">
        <v>30000</v>
      </c>
      <c r="J54" s="7">
        <f t="shared" si="0"/>
        <v>99000</v>
      </c>
      <c r="K54" s="8" t="s">
        <v>12</v>
      </c>
    </row>
    <row r="55" spans="1:11" x14ac:dyDescent="0.25">
      <c r="A55" s="4" t="s">
        <v>100</v>
      </c>
      <c r="B55" s="5" t="s">
        <v>94</v>
      </c>
      <c r="C55" s="4" t="s">
        <v>95</v>
      </c>
      <c r="D55" s="5" t="s">
        <v>149</v>
      </c>
      <c r="E55" s="4" t="s">
        <v>72</v>
      </c>
      <c r="F55" s="4" t="s">
        <v>73</v>
      </c>
      <c r="G55" s="4" t="s">
        <v>13</v>
      </c>
      <c r="H55" s="6">
        <v>1.1000000000000001</v>
      </c>
      <c r="I55" s="7">
        <v>18000</v>
      </c>
      <c r="J55" s="7">
        <f t="shared" si="0"/>
        <v>19800</v>
      </c>
      <c r="K55" s="8" t="s">
        <v>12</v>
      </c>
    </row>
    <row r="56" spans="1:11" x14ac:dyDescent="0.25">
      <c r="A56" s="4" t="s">
        <v>100</v>
      </c>
      <c r="B56" s="5" t="s">
        <v>94</v>
      </c>
      <c r="C56" s="4" t="s">
        <v>95</v>
      </c>
      <c r="D56" s="5" t="s">
        <v>149</v>
      </c>
      <c r="E56" s="4" t="s">
        <v>74</v>
      </c>
      <c r="F56" s="4" t="s">
        <v>75</v>
      </c>
      <c r="G56" s="4" t="s">
        <v>13</v>
      </c>
      <c r="H56" s="6">
        <v>5</v>
      </c>
      <c r="I56" s="7">
        <v>22000</v>
      </c>
      <c r="J56" s="7">
        <f t="shared" si="0"/>
        <v>110000</v>
      </c>
      <c r="K56" s="8" t="s">
        <v>12</v>
      </c>
    </row>
    <row r="57" spans="1:11" x14ac:dyDescent="0.25">
      <c r="A57" s="4" t="s">
        <v>100</v>
      </c>
      <c r="B57" s="5" t="s">
        <v>94</v>
      </c>
      <c r="C57" s="4" t="s">
        <v>95</v>
      </c>
      <c r="D57" s="5" t="s">
        <v>149</v>
      </c>
      <c r="E57" s="4" t="s">
        <v>36</v>
      </c>
      <c r="F57" s="4" t="s">
        <v>37</v>
      </c>
      <c r="G57" s="4" t="s">
        <v>13</v>
      </c>
      <c r="H57" s="6">
        <v>3</v>
      </c>
      <c r="I57" s="7">
        <v>145000</v>
      </c>
      <c r="J57" s="7">
        <f t="shared" si="0"/>
        <v>435000</v>
      </c>
      <c r="K57" s="8" t="s">
        <v>12</v>
      </c>
    </row>
    <row r="58" spans="1:11" x14ac:dyDescent="0.25">
      <c r="A58" s="4" t="s">
        <v>100</v>
      </c>
      <c r="B58" s="5" t="s">
        <v>94</v>
      </c>
      <c r="C58" s="4" t="s">
        <v>95</v>
      </c>
      <c r="D58" s="5" t="s">
        <v>149</v>
      </c>
      <c r="E58" s="4" t="s">
        <v>38</v>
      </c>
      <c r="F58" s="4" t="s">
        <v>39</v>
      </c>
      <c r="G58" s="4" t="s">
        <v>13</v>
      </c>
      <c r="H58" s="6">
        <v>6</v>
      </c>
      <c r="I58" s="7">
        <v>47000</v>
      </c>
      <c r="J58" s="7">
        <f t="shared" si="0"/>
        <v>282000</v>
      </c>
      <c r="K58" s="8" t="s">
        <v>12</v>
      </c>
    </row>
    <row r="59" spans="1:11" x14ac:dyDescent="0.25">
      <c r="A59" s="4" t="s">
        <v>100</v>
      </c>
      <c r="B59" s="5" t="s">
        <v>94</v>
      </c>
      <c r="C59" s="4" t="s">
        <v>95</v>
      </c>
      <c r="D59" s="5" t="s">
        <v>149</v>
      </c>
      <c r="E59" s="4" t="s">
        <v>40</v>
      </c>
      <c r="F59" s="4" t="s">
        <v>41</v>
      </c>
      <c r="G59" s="4" t="s">
        <v>13</v>
      </c>
      <c r="H59" s="6">
        <v>1</v>
      </c>
      <c r="I59" s="7">
        <v>80000</v>
      </c>
      <c r="J59" s="7">
        <f t="shared" si="0"/>
        <v>80000</v>
      </c>
      <c r="K59" s="8" t="s">
        <v>12</v>
      </c>
    </row>
    <row r="60" spans="1:11" x14ac:dyDescent="0.25">
      <c r="A60" s="4" t="s">
        <v>100</v>
      </c>
      <c r="B60" s="5" t="s">
        <v>94</v>
      </c>
      <c r="C60" s="4" t="s">
        <v>95</v>
      </c>
      <c r="D60" s="5" t="s">
        <v>149</v>
      </c>
      <c r="E60" s="4" t="s">
        <v>42</v>
      </c>
      <c r="F60" s="4" t="s">
        <v>43</v>
      </c>
      <c r="G60" s="4" t="s">
        <v>13</v>
      </c>
      <c r="H60" s="6">
        <v>6</v>
      </c>
      <c r="I60" s="7">
        <v>45000</v>
      </c>
      <c r="J60" s="7">
        <f t="shared" si="0"/>
        <v>270000</v>
      </c>
      <c r="K60" s="8" t="s">
        <v>12</v>
      </c>
    </row>
    <row r="61" spans="1:11" ht="28.5" x14ac:dyDescent="0.25">
      <c r="A61" s="4" t="s">
        <v>100</v>
      </c>
      <c r="B61" s="5" t="s">
        <v>94</v>
      </c>
      <c r="C61" s="4" t="s">
        <v>95</v>
      </c>
      <c r="D61" s="5" t="s">
        <v>149</v>
      </c>
      <c r="E61" s="4" t="s">
        <v>44</v>
      </c>
      <c r="F61" s="4" t="s">
        <v>45</v>
      </c>
      <c r="G61" s="4" t="s">
        <v>13</v>
      </c>
      <c r="H61" s="6">
        <v>8</v>
      </c>
      <c r="I61" s="7">
        <v>95000</v>
      </c>
      <c r="J61" s="7">
        <f t="shared" si="0"/>
        <v>760000</v>
      </c>
      <c r="K61" s="8" t="s">
        <v>12</v>
      </c>
    </row>
    <row r="62" spans="1:11" x14ac:dyDescent="0.25">
      <c r="A62" s="4" t="s">
        <v>100</v>
      </c>
      <c r="B62" s="5" t="s">
        <v>94</v>
      </c>
      <c r="C62" s="4" t="s">
        <v>95</v>
      </c>
      <c r="D62" s="5" t="s">
        <v>149</v>
      </c>
      <c r="E62" s="4" t="s">
        <v>20</v>
      </c>
      <c r="F62" s="4" t="s">
        <v>21</v>
      </c>
      <c r="G62" s="4" t="s">
        <v>13</v>
      </c>
      <c r="H62" s="6">
        <v>2</v>
      </c>
      <c r="I62" s="7">
        <v>45000</v>
      </c>
      <c r="J62" s="7">
        <f t="shared" si="0"/>
        <v>90000</v>
      </c>
      <c r="K62" s="8" t="s">
        <v>12</v>
      </c>
    </row>
    <row r="63" spans="1:11" x14ac:dyDescent="0.25">
      <c r="A63" s="4" t="s">
        <v>100</v>
      </c>
      <c r="B63" s="5" t="s">
        <v>94</v>
      </c>
      <c r="C63" s="4" t="s">
        <v>95</v>
      </c>
      <c r="D63" s="5" t="s">
        <v>149</v>
      </c>
      <c r="E63" s="4" t="s">
        <v>29</v>
      </c>
      <c r="F63" s="4" t="s">
        <v>30</v>
      </c>
      <c r="G63" s="4" t="s">
        <v>13</v>
      </c>
      <c r="H63" s="6">
        <v>2</v>
      </c>
      <c r="I63" s="7">
        <v>145000</v>
      </c>
      <c r="J63" s="7">
        <f t="shared" si="0"/>
        <v>290000</v>
      </c>
      <c r="K63" s="8" t="s">
        <v>12</v>
      </c>
    </row>
    <row r="64" spans="1:11" x14ac:dyDescent="0.25">
      <c r="A64" s="4" t="s">
        <v>100</v>
      </c>
      <c r="B64" s="5" t="s">
        <v>94</v>
      </c>
      <c r="C64" s="4" t="s">
        <v>95</v>
      </c>
      <c r="D64" s="5" t="s">
        <v>149</v>
      </c>
      <c r="E64" s="4" t="s">
        <v>27</v>
      </c>
      <c r="F64" s="4" t="s">
        <v>28</v>
      </c>
      <c r="G64" s="4" t="s">
        <v>13</v>
      </c>
      <c r="H64" s="6">
        <v>5</v>
      </c>
      <c r="I64" s="7">
        <v>21000</v>
      </c>
      <c r="J64" s="7">
        <f t="shared" si="0"/>
        <v>105000</v>
      </c>
      <c r="K64" s="8" t="s">
        <v>12</v>
      </c>
    </row>
    <row r="65" spans="1:11" x14ac:dyDescent="0.25">
      <c r="A65" s="4" t="s">
        <v>100</v>
      </c>
      <c r="B65" s="5" t="s">
        <v>94</v>
      </c>
      <c r="C65" s="4" t="s">
        <v>95</v>
      </c>
      <c r="D65" s="5" t="s">
        <v>149</v>
      </c>
      <c r="E65" s="4" t="s">
        <v>76</v>
      </c>
      <c r="F65" s="4" t="s">
        <v>77</v>
      </c>
      <c r="G65" s="4" t="s">
        <v>13</v>
      </c>
      <c r="H65" s="6">
        <v>7</v>
      </c>
      <c r="I65" s="7">
        <v>38000</v>
      </c>
      <c r="J65" s="7">
        <f t="shared" si="0"/>
        <v>266000</v>
      </c>
      <c r="K65" s="8" t="s">
        <v>12</v>
      </c>
    </row>
    <row r="66" spans="1:11" x14ac:dyDescent="0.25">
      <c r="A66" s="4" t="s">
        <v>100</v>
      </c>
      <c r="B66" s="5" t="s">
        <v>94</v>
      </c>
      <c r="C66" s="4" t="s">
        <v>95</v>
      </c>
      <c r="D66" s="5" t="s">
        <v>149</v>
      </c>
      <c r="E66" s="4" t="s">
        <v>14</v>
      </c>
      <c r="F66" s="4" t="s">
        <v>15</v>
      </c>
      <c r="G66" s="4" t="s">
        <v>13</v>
      </c>
      <c r="H66" s="6">
        <v>2</v>
      </c>
      <c r="I66" s="7">
        <v>50000</v>
      </c>
      <c r="J66" s="7">
        <f t="shared" si="0"/>
        <v>100000</v>
      </c>
      <c r="K66" s="8" t="s">
        <v>12</v>
      </c>
    </row>
    <row r="67" spans="1:11" x14ac:dyDescent="0.25">
      <c r="A67" s="4" t="s">
        <v>100</v>
      </c>
      <c r="B67" s="5" t="s">
        <v>94</v>
      </c>
      <c r="C67" s="4" t="s">
        <v>95</v>
      </c>
      <c r="D67" s="5" t="s">
        <v>149</v>
      </c>
      <c r="E67" s="4" t="s">
        <v>48</v>
      </c>
      <c r="F67" s="4" t="s">
        <v>49</v>
      </c>
      <c r="G67" s="4" t="s">
        <v>13</v>
      </c>
      <c r="H67" s="6">
        <v>12</v>
      </c>
      <c r="I67" s="7">
        <v>62000</v>
      </c>
      <c r="J67" s="7">
        <f t="shared" si="0"/>
        <v>744000</v>
      </c>
      <c r="K67" s="8" t="s">
        <v>12</v>
      </c>
    </row>
    <row r="68" spans="1:11" x14ac:dyDescent="0.25">
      <c r="A68" s="4" t="s">
        <v>104</v>
      </c>
      <c r="B68" s="5" t="s">
        <v>94</v>
      </c>
      <c r="C68" s="4" t="s">
        <v>95</v>
      </c>
      <c r="D68" s="5" t="s">
        <v>150</v>
      </c>
      <c r="E68" s="4" t="s">
        <v>31</v>
      </c>
      <c r="F68" s="4" t="s">
        <v>32</v>
      </c>
      <c r="G68" s="4" t="s">
        <v>33</v>
      </c>
      <c r="H68" s="6">
        <v>5</v>
      </c>
      <c r="I68" s="7">
        <v>8500</v>
      </c>
      <c r="J68" s="7">
        <f t="shared" si="0"/>
        <v>42500</v>
      </c>
      <c r="K68" s="8" t="s">
        <v>12</v>
      </c>
    </row>
    <row r="69" spans="1:11" x14ac:dyDescent="0.25">
      <c r="A69" s="4" t="s">
        <v>104</v>
      </c>
      <c r="B69" s="5" t="s">
        <v>94</v>
      </c>
      <c r="C69" s="4" t="s">
        <v>95</v>
      </c>
      <c r="D69" s="5" t="s">
        <v>150</v>
      </c>
      <c r="E69" s="4" t="s">
        <v>62</v>
      </c>
      <c r="F69" s="4" t="s">
        <v>63</v>
      </c>
      <c r="G69" s="4" t="s">
        <v>13</v>
      </c>
      <c r="H69" s="6">
        <v>2</v>
      </c>
      <c r="I69" s="7">
        <v>45000</v>
      </c>
      <c r="J69" s="7">
        <f t="shared" si="0"/>
        <v>90000</v>
      </c>
      <c r="K69" s="8" t="s">
        <v>12</v>
      </c>
    </row>
    <row r="70" spans="1:11" x14ac:dyDescent="0.25">
      <c r="A70" s="4" t="s">
        <v>104</v>
      </c>
      <c r="B70" s="5" t="s">
        <v>94</v>
      </c>
      <c r="C70" s="4" t="s">
        <v>95</v>
      </c>
      <c r="D70" s="5" t="s">
        <v>150</v>
      </c>
      <c r="E70" s="4" t="s">
        <v>64</v>
      </c>
      <c r="F70" s="4" t="s">
        <v>65</v>
      </c>
      <c r="G70" s="4" t="s">
        <v>13</v>
      </c>
      <c r="H70" s="6">
        <v>0.5</v>
      </c>
      <c r="I70" s="7">
        <v>50000</v>
      </c>
      <c r="J70" s="7">
        <f t="shared" si="0"/>
        <v>25000</v>
      </c>
      <c r="K70" s="8" t="s">
        <v>12</v>
      </c>
    </row>
    <row r="71" spans="1:11" x14ac:dyDescent="0.25">
      <c r="A71" s="4" t="s">
        <v>104</v>
      </c>
      <c r="B71" s="5" t="s">
        <v>94</v>
      </c>
      <c r="C71" s="4" t="s">
        <v>95</v>
      </c>
      <c r="D71" s="5" t="s">
        <v>150</v>
      </c>
      <c r="E71" s="4" t="s">
        <v>66</v>
      </c>
      <c r="F71" s="4" t="s">
        <v>67</v>
      </c>
      <c r="G71" s="4" t="s">
        <v>13</v>
      </c>
      <c r="H71" s="6">
        <v>12</v>
      </c>
      <c r="I71" s="7">
        <v>18000</v>
      </c>
      <c r="J71" s="7">
        <f t="shared" si="0"/>
        <v>216000</v>
      </c>
      <c r="K71" s="8" t="s">
        <v>12</v>
      </c>
    </row>
    <row r="72" spans="1:11" x14ac:dyDescent="0.25">
      <c r="A72" s="4" t="s">
        <v>104</v>
      </c>
      <c r="B72" s="5" t="s">
        <v>94</v>
      </c>
      <c r="C72" s="4" t="s">
        <v>95</v>
      </c>
      <c r="D72" s="5" t="s">
        <v>150</v>
      </c>
      <c r="E72" s="4" t="s">
        <v>50</v>
      </c>
      <c r="F72" s="4" t="s">
        <v>51</v>
      </c>
      <c r="G72" s="4" t="s">
        <v>13</v>
      </c>
      <c r="H72" s="6">
        <v>15</v>
      </c>
      <c r="I72" s="7">
        <v>18000</v>
      </c>
      <c r="J72" s="7">
        <f t="shared" si="0"/>
        <v>270000</v>
      </c>
      <c r="K72" s="8" t="s">
        <v>12</v>
      </c>
    </row>
    <row r="73" spans="1:11" x14ac:dyDescent="0.25">
      <c r="A73" s="4" t="s">
        <v>104</v>
      </c>
      <c r="B73" s="5" t="s">
        <v>94</v>
      </c>
      <c r="C73" s="4" t="s">
        <v>95</v>
      </c>
      <c r="D73" s="5" t="s">
        <v>150</v>
      </c>
      <c r="E73" s="4" t="s">
        <v>72</v>
      </c>
      <c r="F73" s="4" t="s">
        <v>73</v>
      </c>
      <c r="G73" s="4" t="s">
        <v>13</v>
      </c>
      <c r="H73" s="6">
        <v>0.6</v>
      </c>
      <c r="I73" s="7">
        <v>18000</v>
      </c>
      <c r="J73" s="7">
        <f t="shared" si="0"/>
        <v>10800</v>
      </c>
      <c r="K73" s="8" t="s">
        <v>12</v>
      </c>
    </row>
    <row r="74" spans="1:11" x14ac:dyDescent="0.25">
      <c r="A74" s="4" t="s">
        <v>104</v>
      </c>
      <c r="B74" s="5" t="s">
        <v>94</v>
      </c>
      <c r="C74" s="4" t="s">
        <v>95</v>
      </c>
      <c r="D74" s="5" t="s">
        <v>150</v>
      </c>
      <c r="E74" s="4" t="s">
        <v>74</v>
      </c>
      <c r="F74" s="4" t="s">
        <v>75</v>
      </c>
      <c r="G74" s="4" t="s">
        <v>13</v>
      </c>
      <c r="H74" s="6">
        <v>5</v>
      </c>
      <c r="I74" s="7">
        <v>22000</v>
      </c>
      <c r="J74" s="7">
        <f t="shared" si="0"/>
        <v>110000</v>
      </c>
      <c r="K74" s="8" t="s">
        <v>12</v>
      </c>
    </row>
    <row r="75" spans="1:11" x14ac:dyDescent="0.25">
      <c r="A75" s="4" t="s">
        <v>104</v>
      </c>
      <c r="B75" s="5" t="s">
        <v>94</v>
      </c>
      <c r="C75" s="4" t="s">
        <v>95</v>
      </c>
      <c r="D75" s="5" t="s">
        <v>150</v>
      </c>
      <c r="E75" s="4" t="s">
        <v>36</v>
      </c>
      <c r="F75" s="4" t="s">
        <v>37</v>
      </c>
      <c r="G75" s="4" t="s">
        <v>13</v>
      </c>
      <c r="H75" s="6">
        <v>2</v>
      </c>
      <c r="I75" s="7">
        <v>145000</v>
      </c>
      <c r="J75" s="7">
        <f t="shared" si="0"/>
        <v>290000</v>
      </c>
      <c r="K75" s="8" t="s">
        <v>12</v>
      </c>
    </row>
    <row r="76" spans="1:11" x14ac:dyDescent="0.25">
      <c r="A76" s="4" t="s">
        <v>104</v>
      </c>
      <c r="B76" s="5" t="s">
        <v>94</v>
      </c>
      <c r="C76" s="4" t="s">
        <v>95</v>
      </c>
      <c r="D76" s="5" t="s">
        <v>150</v>
      </c>
      <c r="E76" s="4" t="s">
        <v>38</v>
      </c>
      <c r="F76" s="4" t="s">
        <v>39</v>
      </c>
      <c r="G76" s="4" t="s">
        <v>13</v>
      </c>
      <c r="H76" s="6">
        <v>3</v>
      </c>
      <c r="I76" s="7">
        <v>47000</v>
      </c>
      <c r="J76" s="7">
        <f t="shared" si="0"/>
        <v>141000</v>
      </c>
      <c r="K76" s="8" t="s">
        <v>12</v>
      </c>
    </row>
    <row r="77" spans="1:11" x14ac:dyDescent="0.25">
      <c r="A77" s="4" t="s">
        <v>104</v>
      </c>
      <c r="B77" s="5" t="s">
        <v>94</v>
      </c>
      <c r="C77" s="4" t="s">
        <v>95</v>
      </c>
      <c r="D77" s="5" t="s">
        <v>150</v>
      </c>
      <c r="E77" s="4" t="s">
        <v>42</v>
      </c>
      <c r="F77" s="4" t="s">
        <v>43</v>
      </c>
      <c r="G77" s="4" t="s">
        <v>13</v>
      </c>
      <c r="H77" s="6">
        <v>6</v>
      </c>
      <c r="I77" s="7">
        <v>45000</v>
      </c>
      <c r="J77" s="7">
        <f t="shared" si="0"/>
        <v>270000</v>
      </c>
      <c r="K77" s="8" t="s">
        <v>12</v>
      </c>
    </row>
    <row r="78" spans="1:11" ht="28.5" x14ac:dyDescent="0.25">
      <c r="A78" s="4" t="s">
        <v>104</v>
      </c>
      <c r="B78" s="5" t="s">
        <v>94</v>
      </c>
      <c r="C78" s="4" t="s">
        <v>95</v>
      </c>
      <c r="D78" s="5" t="s">
        <v>150</v>
      </c>
      <c r="E78" s="4" t="s">
        <v>44</v>
      </c>
      <c r="F78" s="4" t="s">
        <v>45</v>
      </c>
      <c r="G78" s="4" t="s">
        <v>13</v>
      </c>
      <c r="H78" s="6">
        <v>6</v>
      </c>
      <c r="I78" s="7">
        <v>95000</v>
      </c>
      <c r="J78" s="7">
        <f t="shared" si="0"/>
        <v>570000</v>
      </c>
      <c r="K78" s="8" t="s">
        <v>12</v>
      </c>
    </row>
    <row r="79" spans="1:11" x14ac:dyDescent="0.25">
      <c r="A79" s="4" t="s">
        <v>104</v>
      </c>
      <c r="B79" s="5" t="s">
        <v>94</v>
      </c>
      <c r="C79" s="4" t="s">
        <v>95</v>
      </c>
      <c r="D79" s="5" t="s">
        <v>150</v>
      </c>
      <c r="E79" s="4" t="s">
        <v>27</v>
      </c>
      <c r="F79" s="4" t="s">
        <v>28</v>
      </c>
      <c r="G79" s="4" t="s">
        <v>13</v>
      </c>
      <c r="H79" s="6">
        <v>10</v>
      </c>
      <c r="I79" s="7">
        <v>21000</v>
      </c>
      <c r="J79" s="7">
        <f t="shared" si="0"/>
        <v>210000</v>
      </c>
      <c r="K79" s="8" t="s">
        <v>12</v>
      </c>
    </row>
    <row r="80" spans="1:11" x14ac:dyDescent="0.25">
      <c r="A80" s="4" t="s">
        <v>104</v>
      </c>
      <c r="B80" s="5" t="s">
        <v>94</v>
      </c>
      <c r="C80" s="4" t="s">
        <v>95</v>
      </c>
      <c r="D80" s="5" t="s">
        <v>150</v>
      </c>
      <c r="E80" s="4" t="s">
        <v>76</v>
      </c>
      <c r="F80" s="4" t="s">
        <v>77</v>
      </c>
      <c r="G80" s="4" t="s">
        <v>13</v>
      </c>
      <c r="H80" s="6">
        <v>7</v>
      </c>
      <c r="I80" s="7">
        <v>38000</v>
      </c>
      <c r="J80" s="7">
        <f t="shared" ref="J80:J143" si="1">H80*I80</f>
        <v>266000</v>
      </c>
      <c r="K80" s="8" t="s">
        <v>12</v>
      </c>
    </row>
    <row r="81" spans="1:11" x14ac:dyDescent="0.25">
      <c r="A81" s="4" t="s">
        <v>104</v>
      </c>
      <c r="B81" s="5" t="s">
        <v>94</v>
      </c>
      <c r="C81" s="4" t="s">
        <v>95</v>
      </c>
      <c r="D81" s="5" t="s">
        <v>150</v>
      </c>
      <c r="E81" s="4" t="s">
        <v>14</v>
      </c>
      <c r="F81" s="4" t="s">
        <v>15</v>
      </c>
      <c r="G81" s="4" t="s">
        <v>13</v>
      </c>
      <c r="H81" s="6">
        <v>2</v>
      </c>
      <c r="I81" s="7">
        <v>50000</v>
      </c>
      <c r="J81" s="7">
        <f t="shared" si="1"/>
        <v>100000</v>
      </c>
      <c r="K81" s="8" t="s">
        <v>12</v>
      </c>
    </row>
    <row r="82" spans="1:11" x14ac:dyDescent="0.25">
      <c r="A82" s="4" t="s">
        <v>104</v>
      </c>
      <c r="B82" s="5" t="s">
        <v>94</v>
      </c>
      <c r="C82" s="4" t="s">
        <v>95</v>
      </c>
      <c r="D82" s="5" t="s">
        <v>150</v>
      </c>
      <c r="E82" s="4" t="s">
        <v>48</v>
      </c>
      <c r="F82" s="4" t="s">
        <v>49</v>
      </c>
      <c r="G82" s="4" t="s">
        <v>13</v>
      </c>
      <c r="H82" s="6">
        <v>12</v>
      </c>
      <c r="I82" s="7">
        <v>62000</v>
      </c>
      <c r="J82" s="7">
        <f t="shared" si="1"/>
        <v>744000</v>
      </c>
      <c r="K82" s="8" t="s">
        <v>12</v>
      </c>
    </row>
    <row r="83" spans="1:11" x14ac:dyDescent="0.25">
      <c r="A83" s="4" t="s">
        <v>106</v>
      </c>
      <c r="B83" s="5" t="s">
        <v>94</v>
      </c>
      <c r="C83" s="4" t="s">
        <v>95</v>
      </c>
      <c r="D83" s="5" t="s">
        <v>151</v>
      </c>
      <c r="E83" s="4" t="s">
        <v>31</v>
      </c>
      <c r="F83" s="4" t="s">
        <v>32</v>
      </c>
      <c r="G83" s="4" t="s">
        <v>33</v>
      </c>
      <c r="H83" s="6">
        <v>5</v>
      </c>
      <c r="I83" s="7">
        <v>8500</v>
      </c>
      <c r="J83" s="7">
        <f t="shared" si="1"/>
        <v>42500</v>
      </c>
      <c r="K83" s="8" t="s">
        <v>12</v>
      </c>
    </row>
    <row r="84" spans="1:11" x14ac:dyDescent="0.25">
      <c r="A84" s="4" t="s">
        <v>106</v>
      </c>
      <c r="B84" s="5" t="s">
        <v>94</v>
      </c>
      <c r="C84" s="4" t="s">
        <v>95</v>
      </c>
      <c r="D84" s="5" t="s">
        <v>151</v>
      </c>
      <c r="E84" s="4" t="s">
        <v>66</v>
      </c>
      <c r="F84" s="4" t="s">
        <v>67</v>
      </c>
      <c r="G84" s="4" t="s">
        <v>13</v>
      </c>
      <c r="H84" s="6">
        <v>12</v>
      </c>
      <c r="I84" s="7">
        <v>18000</v>
      </c>
      <c r="J84" s="7">
        <f t="shared" si="1"/>
        <v>216000</v>
      </c>
      <c r="K84" s="8" t="s">
        <v>12</v>
      </c>
    </row>
    <row r="85" spans="1:11" x14ac:dyDescent="0.25">
      <c r="A85" s="4" t="s">
        <v>106</v>
      </c>
      <c r="B85" s="5" t="s">
        <v>94</v>
      </c>
      <c r="C85" s="4" t="s">
        <v>95</v>
      </c>
      <c r="D85" s="5" t="s">
        <v>151</v>
      </c>
      <c r="E85" s="4" t="s">
        <v>25</v>
      </c>
      <c r="F85" s="4" t="s">
        <v>26</v>
      </c>
      <c r="G85" s="4" t="s">
        <v>13</v>
      </c>
      <c r="H85" s="6">
        <v>0.5</v>
      </c>
      <c r="I85" s="7">
        <v>22000</v>
      </c>
      <c r="J85" s="7">
        <f t="shared" si="1"/>
        <v>11000</v>
      </c>
      <c r="K85" s="8" t="s">
        <v>12</v>
      </c>
    </row>
    <row r="86" spans="1:11" x14ac:dyDescent="0.25">
      <c r="A86" s="4" t="s">
        <v>106</v>
      </c>
      <c r="B86" s="5" t="s">
        <v>94</v>
      </c>
      <c r="C86" s="4" t="s">
        <v>95</v>
      </c>
      <c r="D86" s="5" t="s">
        <v>151</v>
      </c>
      <c r="E86" s="4" t="s">
        <v>68</v>
      </c>
      <c r="F86" s="4" t="s">
        <v>69</v>
      </c>
      <c r="G86" s="4" t="s">
        <v>13</v>
      </c>
      <c r="H86" s="6">
        <v>1.2</v>
      </c>
      <c r="I86" s="7">
        <v>13000</v>
      </c>
      <c r="J86" s="7">
        <f t="shared" si="1"/>
        <v>15600</v>
      </c>
      <c r="K86" s="8" t="s">
        <v>12</v>
      </c>
    </row>
    <row r="87" spans="1:11" x14ac:dyDescent="0.25">
      <c r="A87" s="4" t="s">
        <v>106</v>
      </c>
      <c r="B87" s="5" t="s">
        <v>94</v>
      </c>
      <c r="C87" s="4" t="s">
        <v>95</v>
      </c>
      <c r="D87" s="5" t="s">
        <v>151</v>
      </c>
      <c r="E87" s="4" t="s">
        <v>16</v>
      </c>
      <c r="F87" s="4" t="s">
        <v>17</v>
      </c>
      <c r="G87" s="4" t="s">
        <v>13</v>
      </c>
      <c r="H87" s="6">
        <v>2</v>
      </c>
      <c r="I87" s="7">
        <v>47000</v>
      </c>
      <c r="J87" s="7">
        <f t="shared" si="1"/>
        <v>94000</v>
      </c>
      <c r="K87" s="8" t="s">
        <v>12</v>
      </c>
    </row>
    <row r="88" spans="1:11" x14ac:dyDescent="0.25">
      <c r="A88" s="4" t="s">
        <v>106</v>
      </c>
      <c r="B88" s="5" t="s">
        <v>94</v>
      </c>
      <c r="C88" s="4" t="s">
        <v>95</v>
      </c>
      <c r="D88" s="5" t="s">
        <v>151</v>
      </c>
      <c r="E88" s="4" t="s">
        <v>50</v>
      </c>
      <c r="F88" s="4" t="s">
        <v>51</v>
      </c>
      <c r="G88" s="4" t="s">
        <v>13</v>
      </c>
      <c r="H88" s="6">
        <v>15</v>
      </c>
      <c r="I88" s="7">
        <v>18000</v>
      </c>
      <c r="J88" s="7">
        <f t="shared" si="1"/>
        <v>270000</v>
      </c>
      <c r="K88" s="8" t="s">
        <v>12</v>
      </c>
    </row>
    <row r="89" spans="1:11" x14ac:dyDescent="0.25">
      <c r="A89" s="4" t="s">
        <v>106</v>
      </c>
      <c r="B89" s="5" t="s">
        <v>94</v>
      </c>
      <c r="C89" s="4" t="s">
        <v>95</v>
      </c>
      <c r="D89" s="5" t="s">
        <v>151</v>
      </c>
      <c r="E89" s="4" t="s">
        <v>18</v>
      </c>
      <c r="F89" s="4" t="s">
        <v>19</v>
      </c>
      <c r="G89" s="4" t="s">
        <v>13</v>
      </c>
      <c r="H89" s="6">
        <v>2</v>
      </c>
      <c r="I89" s="7">
        <v>55000</v>
      </c>
      <c r="J89" s="7">
        <f t="shared" si="1"/>
        <v>110000</v>
      </c>
      <c r="K89" s="8" t="s">
        <v>12</v>
      </c>
    </row>
    <row r="90" spans="1:11" x14ac:dyDescent="0.25">
      <c r="A90" s="4" t="s">
        <v>106</v>
      </c>
      <c r="B90" s="5" t="s">
        <v>94</v>
      </c>
      <c r="C90" s="4" t="s">
        <v>95</v>
      </c>
      <c r="D90" s="5" t="s">
        <v>151</v>
      </c>
      <c r="E90" s="4" t="s">
        <v>70</v>
      </c>
      <c r="F90" s="4" t="s">
        <v>71</v>
      </c>
      <c r="G90" s="4" t="s">
        <v>13</v>
      </c>
      <c r="H90" s="6">
        <v>1.9</v>
      </c>
      <c r="I90" s="7">
        <v>30000</v>
      </c>
      <c r="J90" s="7">
        <f t="shared" si="1"/>
        <v>57000</v>
      </c>
      <c r="K90" s="8" t="s">
        <v>12</v>
      </c>
    </row>
    <row r="91" spans="1:11" x14ac:dyDescent="0.25">
      <c r="A91" s="4" t="s">
        <v>106</v>
      </c>
      <c r="B91" s="5" t="s">
        <v>94</v>
      </c>
      <c r="C91" s="4" t="s">
        <v>95</v>
      </c>
      <c r="D91" s="5" t="s">
        <v>151</v>
      </c>
      <c r="E91" s="4" t="s">
        <v>74</v>
      </c>
      <c r="F91" s="4" t="s">
        <v>75</v>
      </c>
      <c r="G91" s="4" t="s">
        <v>13</v>
      </c>
      <c r="H91" s="6">
        <v>5</v>
      </c>
      <c r="I91" s="7">
        <v>22000</v>
      </c>
      <c r="J91" s="7">
        <f t="shared" si="1"/>
        <v>110000</v>
      </c>
      <c r="K91" s="8" t="s">
        <v>12</v>
      </c>
    </row>
    <row r="92" spans="1:11" x14ac:dyDescent="0.25">
      <c r="A92" s="4" t="s">
        <v>106</v>
      </c>
      <c r="B92" s="5" t="s">
        <v>94</v>
      </c>
      <c r="C92" s="4" t="s">
        <v>95</v>
      </c>
      <c r="D92" s="5" t="s">
        <v>151</v>
      </c>
      <c r="E92" s="4" t="s">
        <v>36</v>
      </c>
      <c r="F92" s="4" t="s">
        <v>37</v>
      </c>
      <c r="G92" s="4" t="s">
        <v>13</v>
      </c>
      <c r="H92" s="6">
        <v>4</v>
      </c>
      <c r="I92" s="7">
        <v>145000</v>
      </c>
      <c r="J92" s="7">
        <f t="shared" si="1"/>
        <v>580000</v>
      </c>
      <c r="K92" s="8" t="s">
        <v>12</v>
      </c>
    </row>
    <row r="93" spans="1:11" x14ac:dyDescent="0.25">
      <c r="A93" s="4" t="s">
        <v>106</v>
      </c>
      <c r="B93" s="5" t="s">
        <v>94</v>
      </c>
      <c r="C93" s="4" t="s">
        <v>95</v>
      </c>
      <c r="D93" s="5" t="s">
        <v>151</v>
      </c>
      <c r="E93" s="4" t="s">
        <v>38</v>
      </c>
      <c r="F93" s="4" t="s">
        <v>39</v>
      </c>
      <c r="G93" s="4" t="s">
        <v>13</v>
      </c>
      <c r="H93" s="6">
        <v>6</v>
      </c>
      <c r="I93" s="7">
        <v>47000</v>
      </c>
      <c r="J93" s="7">
        <f t="shared" si="1"/>
        <v>282000</v>
      </c>
      <c r="K93" s="8" t="s">
        <v>12</v>
      </c>
    </row>
    <row r="94" spans="1:11" x14ac:dyDescent="0.25">
      <c r="A94" s="4" t="s">
        <v>106</v>
      </c>
      <c r="B94" s="5" t="s">
        <v>94</v>
      </c>
      <c r="C94" s="4" t="s">
        <v>95</v>
      </c>
      <c r="D94" s="5" t="s">
        <v>151</v>
      </c>
      <c r="E94" s="4" t="s">
        <v>42</v>
      </c>
      <c r="F94" s="4" t="s">
        <v>43</v>
      </c>
      <c r="G94" s="4" t="s">
        <v>13</v>
      </c>
      <c r="H94" s="6">
        <v>6</v>
      </c>
      <c r="I94" s="7">
        <v>45000</v>
      </c>
      <c r="J94" s="7">
        <f t="shared" si="1"/>
        <v>270000</v>
      </c>
      <c r="K94" s="8" t="s">
        <v>12</v>
      </c>
    </row>
    <row r="95" spans="1:11" ht="28.5" x14ac:dyDescent="0.25">
      <c r="A95" s="4" t="s">
        <v>106</v>
      </c>
      <c r="B95" s="5" t="s">
        <v>94</v>
      </c>
      <c r="C95" s="4" t="s">
        <v>95</v>
      </c>
      <c r="D95" s="5" t="s">
        <v>151</v>
      </c>
      <c r="E95" s="4" t="s">
        <v>44</v>
      </c>
      <c r="F95" s="4" t="s">
        <v>45</v>
      </c>
      <c r="G95" s="4" t="s">
        <v>13</v>
      </c>
      <c r="H95" s="6">
        <v>6</v>
      </c>
      <c r="I95" s="7">
        <v>95000</v>
      </c>
      <c r="J95" s="7">
        <f t="shared" si="1"/>
        <v>570000</v>
      </c>
      <c r="K95" s="8" t="s">
        <v>12</v>
      </c>
    </row>
    <row r="96" spans="1:11" x14ac:dyDescent="0.25">
      <c r="A96" s="4" t="s">
        <v>106</v>
      </c>
      <c r="B96" s="5" t="s">
        <v>94</v>
      </c>
      <c r="C96" s="4" t="s">
        <v>95</v>
      </c>
      <c r="D96" s="5" t="s">
        <v>151</v>
      </c>
      <c r="E96" s="4" t="s">
        <v>20</v>
      </c>
      <c r="F96" s="4" t="s">
        <v>21</v>
      </c>
      <c r="G96" s="4" t="s">
        <v>13</v>
      </c>
      <c r="H96" s="6">
        <v>2</v>
      </c>
      <c r="I96" s="7">
        <v>45000</v>
      </c>
      <c r="J96" s="7">
        <f t="shared" si="1"/>
        <v>90000</v>
      </c>
      <c r="K96" s="8" t="s">
        <v>12</v>
      </c>
    </row>
    <row r="97" spans="1:11" x14ac:dyDescent="0.25">
      <c r="A97" s="4" t="s">
        <v>106</v>
      </c>
      <c r="B97" s="5" t="s">
        <v>94</v>
      </c>
      <c r="C97" s="4" t="s">
        <v>95</v>
      </c>
      <c r="D97" s="5" t="s">
        <v>151</v>
      </c>
      <c r="E97" s="4" t="s">
        <v>46</v>
      </c>
      <c r="F97" s="4" t="s">
        <v>47</v>
      </c>
      <c r="G97" s="4" t="s">
        <v>13</v>
      </c>
      <c r="H97" s="6">
        <v>0.3</v>
      </c>
      <c r="I97" s="7">
        <v>70000</v>
      </c>
      <c r="J97" s="7">
        <f t="shared" si="1"/>
        <v>21000</v>
      </c>
      <c r="K97" s="8" t="s">
        <v>12</v>
      </c>
    </row>
    <row r="98" spans="1:11" x14ac:dyDescent="0.25">
      <c r="A98" s="4" t="s">
        <v>106</v>
      </c>
      <c r="B98" s="5" t="s">
        <v>94</v>
      </c>
      <c r="C98" s="4" t="s">
        <v>95</v>
      </c>
      <c r="D98" s="5" t="s">
        <v>151</v>
      </c>
      <c r="E98" s="4" t="s">
        <v>29</v>
      </c>
      <c r="F98" s="4" t="s">
        <v>30</v>
      </c>
      <c r="G98" s="4" t="s">
        <v>13</v>
      </c>
      <c r="H98" s="6">
        <v>2</v>
      </c>
      <c r="I98" s="7">
        <v>145000</v>
      </c>
      <c r="J98" s="7">
        <f t="shared" si="1"/>
        <v>290000</v>
      </c>
      <c r="K98" s="8" t="s">
        <v>12</v>
      </c>
    </row>
    <row r="99" spans="1:11" x14ac:dyDescent="0.25">
      <c r="A99" s="4" t="s">
        <v>106</v>
      </c>
      <c r="B99" s="5" t="s">
        <v>94</v>
      </c>
      <c r="C99" s="4" t="s">
        <v>95</v>
      </c>
      <c r="D99" s="5" t="s">
        <v>151</v>
      </c>
      <c r="E99" s="4" t="s">
        <v>27</v>
      </c>
      <c r="F99" s="4" t="s">
        <v>28</v>
      </c>
      <c r="G99" s="4" t="s">
        <v>13</v>
      </c>
      <c r="H99" s="6">
        <v>6</v>
      </c>
      <c r="I99" s="7">
        <v>21000</v>
      </c>
      <c r="J99" s="7">
        <f t="shared" si="1"/>
        <v>126000</v>
      </c>
      <c r="K99" s="8" t="s">
        <v>12</v>
      </c>
    </row>
    <row r="100" spans="1:11" x14ac:dyDescent="0.25">
      <c r="A100" s="4" t="s">
        <v>106</v>
      </c>
      <c r="B100" s="5" t="s">
        <v>94</v>
      </c>
      <c r="C100" s="4" t="s">
        <v>95</v>
      </c>
      <c r="D100" s="5" t="s">
        <v>151</v>
      </c>
      <c r="E100" s="4" t="s">
        <v>76</v>
      </c>
      <c r="F100" s="4" t="s">
        <v>77</v>
      </c>
      <c r="G100" s="4" t="s">
        <v>13</v>
      </c>
      <c r="H100" s="6">
        <v>8</v>
      </c>
      <c r="I100" s="7">
        <v>38000</v>
      </c>
      <c r="J100" s="7">
        <f t="shared" si="1"/>
        <v>304000</v>
      </c>
      <c r="K100" s="8" t="s">
        <v>12</v>
      </c>
    </row>
    <row r="101" spans="1:11" x14ac:dyDescent="0.25">
      <c r="A101" s="4" t="s">
        <v>106</v>
      </c>
      <c r="B101" s="5" t="s">
        <v>94</v>
      </c>
      <c r="C101" s="4" t="s">
        <v>95</v>
      </c>
      <c r="D101" s="5" t="s">
        <v>151</v>
      </c>
      <c r="E101" s="4" t="s">
        <v>14</v>
      </c>
      <c r="F101" s="4" t="s">
        <v>15</v>
      </c>
      <c r="G101" s="4" t="s">
        <v>13</v>
      </c>
      <c r="H101" s="6">
        <v>2</v>
      </c>
      <c r="I101" s="7">
        <v>50000</v>
      </c>
      <c r="J101" s="7">
        <f t="shared" si="1"/>
        <v>100000</v>
      </c>
      <c r="K101" s="8" t="s">
        <v>12</v>
      </c>
    </row>
    <row r="102" spans="1:11" x14ac:dyDescent="0.25">
      <c r="A102" s="4" t="s">
        <v>106</v>
      </c>
      <c r="B102" s="5" t="s">
        <v>94</v>
      </c>
      <c r="C102" s="4" t="s">
        <v>95</v>
      </c>
      <c r="D102" s="5" t="s">
        <v>151</v>
      </c>
      <c r="E102" s="4" t="s">
        <v>48</v>
      </c>
      <c r="F102" s="4" t="s">
        <v>49</v>
      </c>
      <c r="G102" s="4" t="s">
        <v>13</v>
      </c>
      <c r="H102" s="6">
        <v>10</v>
      </c>
      <c r="I102" s="7">
        <v>62000</v>
      </c>
      <c r="J102" s="7">
        <f t="shared" si="1"/>
        <v>620000</v>
      </c>
      <c r="K102" s="8" t="s">
        <v>12</v>
      </c>
    </row>
    <row r="103" spans="1:11" x14ac:dyDescent="0.25">
      <c r="A103" s="4" t="s">
        <v>108</v>
      </c>
      <c r="B103" s="5" t="s">
        <v>94</v>
      </c>
      <c r="C103" s="4" t="s">
        <v>95</v>
      </c>
      <c r="D103" s="5" t="s">
        <v>152</v>
      </c>
      <c r="E103" s="4" t="s">
        <v>31</v>
      </c>
      <c r="F103" s="4" t="s">
        <v>32</v>
      </c>
      <c r="G103" s="4" t="s">
        <v>33</v>
      </c>
      <c r="H103" s="6">
        <v>6</v>
      </c>
      <c r="I103" s="7">
        <v>8500</v>
      </c>
      <c r="J103" s="7">
        <f t="shared" si="1"/>
        <v>51000</v>
      </c>
      <c r="K103" s="8" t="s">
        <v>12</v>
      </c>
    </row>
    <row r="104" spans="1:11" x14ac:dyDescent="0.25">
      <c r="A104" s="4" t="s">
        <v>108</v>
      </c>
      <c r="B104" s="5" t="s">
        <v>94</v>
      </c>
      <c r="C104" s="4" t="s">
        <v>95</v>
      </c>
      <c r="D104" s="5" t="s">
        <v>152</v>
      </c>
      <c r="E104" s="4" t="s">
        <v>34</v>
      </c>
      <c r="F104" s="4" t="s">
        <v>35</v>
      </c>
      <c r="G104" s="4" t="s">
        <v>13</v>
      </c>
      <c r="H104" s="6">
        <v>1</v>
      </c>
      <c r="I104" s="7">
        <v>30000</v>
      </c>
      <c r="J104" s="7">
        <f t="shared" si="1"/>
        <v>30000</v>
      </c>
      <c r="K104" s="8" t="s">
        <v>12</v>
      </c>
    </row>
    <row r="105" spans="1:11" x14ac:dyDescent="0.25">
      <c r="A105" s="4" t="s">
        <v>108</v>
      </c>
      <c r="B105" s="5" t="s">
        <v>94</v>
      </c>
      <c r="C105" s="4" t="s">
        <v>95</v>
      </c>
      <c r="D105" s="5" t="s">
        <v>152</v>
      </c>
      <c r="E105" s="4" t="s">
        <v>66</v>
      </c>
      <c r="F105" s="4" t="s">
        <v>67</v>
      </c>
      <c r="G105" s="4" t="s">
        <v>13</v>
      </c>
      <c r="H105" s="6">
        <v>9</v>
      </c>
      <c r="I105" s="7">
        <v>18000</v>
      </c>
      <c r="J105" s="7">
        <f t="shared" si="1"/>
        <v>162000</v>
      </c>
      <c r="K105" s="8" t="s">
        <v>12</v>
      </c>
    </row>
    <row r="106" spans="1:11" x14ac:dyDescent="0.25">
      <c r="A106" s="4" t="s">
        <v>108</v>
      </c>
      <c r="B106" s="5" t="s">
        <v>94</v>
      </c>
      <c r="C106" s="4" t="s">
        <v>95</v>
      </c>
      <c r="D106" s="5" t="s">
        <v>152</v>
      </c>
      <c r="E106" s="4" t="s">
        <v>56</v>
      </c>
      <c r="F106" s="4" t="s">
        <v>57</v>
      </c>
      <c r="G106" s="4" t="s">
        <v>13</v>
      </c>
      <c r="H106" s="6">
        <v>0.5</v>
      </c>
      <c r="I106" s="7">
        <v>34000</v>
      </c>
      <c r="J106" s="7">
        <f t="shared" si="1"/>
        <v>17000</v>
      </c>
      <c r="K106" s="8" t="s">
        <v>12</v>
      </c>
    </row>
    <row r="107" spans="1:11" x14ac:dyDescent="0.25">
      <c r="A107" s="4" t="s">
        <v>108</v>
      </c>
      <c r="B107" s="5" t="s">
        <v>94</v>
      </c>
      <c r="C107" s="4" t="s">
        <v>95</v>
      </c>
      <c r="D107" s="5" t="s">
        <v>152</v>
      </c>
      <c r="E107" s="4" t="s">
        <v>50</v>
      </c>
      <c r="F107" s="4" t="s">
        <v>51</v>
      </c>
      <c r="G107" s="4" t="s">
        <v>13</v>
      </c>
      <c r="H107" s="6">
        <v>25</v>
      </c>
      <c r="I107" s="7">
        <v>18000</v>
      </c>
      <c r="J107" s="7">
        <f t="shared" si="1"/>
        <v>450000</v>
      </c>
      <c r="K107" s="8" t="s">
        <v>12</v>
      </c>
    </row>
    <row r="108" spans="1:11" x14ac:dyDescent="0.25">
      <c r="A108" s="4" t="s">
        <v>108</v>
      </c>
      <c r="B108" s="5" t="s">
        <v>94</v>
      </c>
      <c r="C108" s="4" t="s">
        <v>95</v>
      </c>
      <c r="D108" s="5" t="s">
        <v>152</v>
      </c>
      <c r="E108" s="4" t="s">
        <v>18</v>
      </c>
      <c r="F108" s="4" t="s">
        <v>19</v>
      </c>
      <c r="G108" s="4" t="s">
        <v>13</v>
      </c>
      <c r="H108" s="6">
        <v>1.2</v>
      </c>
      <c r="I108" s="7">
        <v>55000</v>
      </c>
      <c r="J108" s="7">
        <f t="shared" si="1"/>
        <v>66000</v>
      </c>
      <c r="K108" s="8" t="s">
        <v>12</v>
      </c>
    </row>
    <row r="109" spans="1:11" x14ac:dyDescent="0.25">
      <c r="A109" s="4" t="s">
        <v>108</v>
      </c>
      <c r="B109" s="5" t="s">
        <v>94</v>
      </c>
      <c r="C109" s="4" t="s">
        <v>95</v>
      </c>
      <c r="D109" s="5" t="s">
        <v>152</v>
      </c>
      <c r="E109" s="4" t="s">
        <v>72</v>
      </c>
      <c r="F109" s="4" t="s">
        <v>73</v>
      </c>
      <c r="G109" s="4" t="s">
        <v>13</v>
      </c>
      <c r="H109" s="6">
        <v>0.9</v>
      </c>
      <c r="I109" s="7">
        <v>18000</v>
      </c>
      <c r="J109" s="7">
        <f t="shared" si="1"/>
        <v>16200</v>
      </c>
      <c r="K109" s="8" t="s">
        <v>12</v>
      </c>
    </row>
    <row r="110" spans="1:11" x14ac:dyDescent="0.25">
      <c r="A110" s="4" t="s">
        <v>108</v>
      </c>
      <c r="B110" s="5" t="s">
        <v>94</v>
      </c>
      <c r="C110" s="4" t="s">
        <v>95</v>
      </c>
      <c r="D110" s="5" t="s">
        <v>152</v>
      </c>
      <c r="E110" s="4" t="s">
        <v>74</v>
      </c>
      <c r="F110" s="4" t="s">
        <v>75</v>
      </c>
      <c r="G110" s="4" t="s">
        <v>13</v>
      </c>
      <c r="H110" s="6">
        <v>5.7</v>
      </c>
      <c r="I110" s="7">
        <v>22000</v>
      </c>
      <c r="J110" s="7">
        <f t="shared" si="1"/>
        <v>125400</v>
      </c>
      <c r="K110" s="8" t="s">
        <v>12</v>
      </c>
    </row>
    <row r="111" spans="1:11" x14ac:dyDescent="0.25">
      <c r="A111" s="4" t="s">
        <v>108</v>
      </c>
      <c r="B111" s="5" t="s">
        <v>94</v>
      </c>
      <c r="C111" s="4" t="s">
        <v>95</v>
      </c>
      <c r="D111" s="5" t="s">
        <v>152</v>
      </c>
      <c r="E111" s="4" t="s">
        <v>36</v>
      </c>
      <c r="F111" s="4" t="s">
        <v>37</v>
      </c>
      <c r="G111" s="4" t="s">
        <v>13</v>
      </c>
      <c r="H111" s="6">
        <v>4</v>
      </c>
      <c r="I111" s="7">
        <v>145000</v>
      </c>
      <c r="J111" s="7">
        <f t="shared" si="1"/>
        <v>580000</v>
      </c>
      <c r="K111" s="8" t="s">
        <v>12</v>
      </c>
    </row>
    <row r="112" spans="1:11" x14ac:dyDescent="0.25">
      <c r="A112" s="4" t="s">
        <v>108</v>
      </c>
      <c r="B112" s="5" t="s">
        <v>94</v>
      </c>
      <c r="C112" s="4" t="s">
        <v>95</v>
      </c>
      <c r="D112" s="5" t="s">
        <v>152</v>
      </c>
      <c r="E112" s="4" t="s">
        <v>38</v>
      </c>
      <c r="F112" s="4" t="s">
        <v>39</v>
      </c>
      <c r="G112" s="4" t="s">
        <v>13</v>
      </c>
      <c r="H112" s="6">
        <v>6</v>
      </c>
      <c r="I112" s="7">
        <v>47000</v>
      </c>
      <c r="J112" s="7">
        <f t="shared" si="1"/>
        <v>282000</v>
      </c>
      <c r="K112" s="8" t="s">
        <v>12</v>
      </c>
    </row>
    <row r="113" spans="1:11" x14ac:dyDescent="0.25">
      <c r="A113" s="4" t="s">
        <v>108</v>
      </c>
      <c r="B113" s="5" t="s">
        <v>94</v>
      </c>
      <c r="C113" s="4" t="s">
        <v>95</v>
      </c>
      <c r="D113" s="5" t="s">
        <v>152</v>
      </c>
      <c r="E113" s="4" t="s">
        <v>42</v>
      </c>
      <c r="F113" s="4" t="s">
        <v>43</v>
      </c>
      <c r="G113" s="4" t="s">
        <v>13</v>
      </c>
      <c r="H113" s="6">
        <v>6</v>
      </c>
      <c r="I113" s="7">
        <v>45000</v>
      </c>
      <c r="J113" s="7">
        <f t="shared" si="1"/>
        <v>270000</v>
      </c>
      <c r="K113" s="8" t="s">
        <v>12</v>
      </c>
    </row>
    <row r="114" spans="1:11" ht="28.5" x14ac:dyDescent="0.25">
      <c r="A114" s="4" t="s">
        <v>108</v>
      </c>
      <c r="B114" s="5" t="s">
        <v>94</v>
      </c>
      <c r="C114" s="4" t="s">
        <v>95</v>
      </c>
      <c r="D114" s="5" t="s">
        <v>152</v>
      </c>
      <c r="E114" s="4" t="s">
        <v>44</v>
      </c>
      <c r="F114" s="4" t="s">
        <v>45</v>
      </c>
      <c r="G114" s="4" t="s">
        <v>13</v>
      </c>
      <c r="H114" s="6">
        <v>6</v>
      </c>
      <c r="I114" s="7">
        <v>95000</v>
      </c>
      <c r="J114" s="7">
        <f t="shared" si="1"/>
        <v>570000</v>
      </c>
      <c r="K114" s="8" t="s">
        <v>12</v>
      </c>
    </row>
    <row r="115" spans="1:11" x14ac:dyDescent="0.25">
      <c r="A115" s="4" t="s">
        <v>108</v>
      </c>
      <c r="B115" s="5" t="s">
        <v>94</v>
      </c>
      <c r="C115" s="4" t="s">
        <v>95</v>
      </c>
      <c r="D115" s="5" t="s">
        <v>152</v>
      </c>
      <c r="E115" s="4" t="s">
        <v>20</v>
      </c>
      <c r="F115" s="4" t="s">
        <v>21</v>
      </c>
      <c r="G115" s="4" t="s">
        <v>13</v>
      </c>
      <c r="H115" s="6">
        <v>1</v>
      </c>
      <c r="I115" s="7">
        <v>45000</v>
      </c>
      <c r="J115" s="7">
        <f t="shared" si="1"/>
        <v>45000</v>
      </c>
      <c r="K115" s="8" t="s">
        <v>12</v>
      </c>
    </row>
    <row r="116" spans="1:11" x14ac:dyDescent="0.25">
      <c r="A116" s="4" t="s">
        <v>108</v>
      </c>
      <c r="B116" s="5" t="s">
        <v>94</v>
      </c>
      <c r="C116" s="4" t="s">
        <v>95</v>
      </c>
      <c r="D116" s="5" t="s">
        <v>152</v>
      </c>
      <c r="E116" s="4" t="s">
        <v>29</v>
      </c>
      <c r="F116" s="4" t="s">
        <v>30</v>
      </c>
      <c r="G116" s="4" t="s">
        <v>13</v>
      </c>
      <c r="H116" s="6">
        <v>1.3</v>
      </c>
      <c r="I116" s="7">
        <v>145000</v>
      </c>
      <c r="J116" s="7">
        <f t="shared" si="1"/>
        <v>188500</v>
      </c>
      <c r="K116" s="8" t="s">
        <v>12</v>
      </c>
    </row>
    <row r="117" spans="1:11" x14ac:dyDescent="0.25">
      <c r="A117" s="4" t="s">
        <v>108</v>
      </c>
      <c r="B117" s="5" t="s">
        <v>94</v>
      </c>
      <c r="C117" s="4" t="s">
        <v>95</v>
      </c>
      <c r="D117" s="5" t="s">
        <v>152</v>
      </c>
      <c r="E117" s="4" t="s">
        <v>27</v>
      </c>
      <c r="F117" s="4" t="s">
        <v>28</v>
      </c>
      <c r="G117" s="4" t="s">
        <v>13</v>
      </c>
      <c r="H117" s="6">
        <v>10</v>
      </c>
      <c r="I117" s="7">
        <v>21000</v>
      </c>
      <c r="J117" s="7">
        <f t="shared" si="1"/>
        <v>210000</v>
      </c>
      <c r="K117" s="8" t="s">
        <v>12</v>
      </c>
    </row>
    <row r="118" spans="1:11" x14ac:dyDescent="0.25">
      <c r="A118" s="4" t="s">
        <v>108</v>
      </c>
      <c r="B118" s="5" t="s">
        <v>94</v>
      </c>
      <c r="C118" s="4" t="s">
        <v>95</v>
      </c>
      <c r="D118" s="5" t="s">
        <v>152</v>
      </c>
      <c r="E118" s="4" t="s">
        <v>76</v>
      </c>
      <c r="F118" s="4" t="s">
        <v>77</v>
      </c>
      <c r="G118" s="4" t="s">
        <v>13</v>
      </c>
      <c r="H118" s="6">
        <v>5.5</v>
      </c>
      <c r="I118" s="7">
        <v>38000</v>
      </c>
      <c r="J118" s="7">
        <f t="shared" si="1"/>
        <v>209000</v>
      </c>
      <c r="K118" s="8" t="s">
        <v>12</v>
      </c>
    </row>
    <row r="119" spans="1:11" x14ac:dyDescent="0.25">
      <c r="A119" s="4" t="s">
        <v>108</v>
      </c>
      <c r="B119" s="5" t="s">
        <v>94</v>
      </c>
      <c r="C119" s="4" t="s">
        <v>95</v>
      </c>
      <c r="D119" s="5" t="s">
        <v>152</v>
      </c>
      <c r="E119" s="4" t="s">
        <v>14</v>
      </c>
      <c r="F119" s="4" t="s">
        <v>15</v>
      </c>
      <c r="G119" s="4" t="s">
        <v>13</v>
      </c>
      <c r="H119" s="6">
        <v>2</v>
      </c>
      <c r="I119" s="7">
        <v>50000</v>
      </c>
      <c r="J119" s="7">
        <f t="shared" si="1"/>
        <v>100000</v>
      </c>
      <c r="K119" s="8" t="s">
        <v>12</v>
      </c>
    </row>
    <row r="120" spans="1:11" x14ac:dyDescent="0.25">
      <c r="A120" s="4" t="s">
        <v>108</v>
      </c>
      <c r="B120" s="5" t="s">
        <v>94</v>
      </c>
      <c r="C120" s="4" t="s">
        <v>95</v>
      </c>
      <c r="D120" s="5" t="s">
        <v>152</v>
      </c>
      <c r="E120" s="4" t="s">
        <v>48</v>
      </c>
      <c r="F120" s="4" t="s">
        <v>49</v>
      </c>
      <c r="G120" s="4" t="s">
        <v>13</v>
      </c>
      <c r="H120" s="6">
        <v>5.5</v>
      </c>
      <c r="I120" s="7">
        <v>62000</v>
      </c>
      <c r="J120" s="7">
        <f t="shared" si="1"/>
        <v>341000</v>
      </c>
      <c r="K120" s="8" t="s">
        <v>12</v>
      </c>
    </row>
    <row r="121" spans="1:11" x14ac:dyDescent="0.25">
      <c r="A121" s="4" t="s">
        <v>108</v>
      </c>
      <c r="B121" s="5" t="s">
        <v>94</v>
      </c>
      <c r="C121" s="4" t="s">
        <v>95</v>
      </c>
      <c r="D121" s="5" t="s">
        <v>153</v>
      </c>
      <c r="E121" s="4" t="s">
        <v>54</v>
      </c>
      <c r="F121" s="4" t="s">
        <v>55</v>
      </c>
      <c r="G121" s="4" t="s">
        <v>13</v>
      </c>
      <c r="H121" s="6">
        <v>0.6</v>
      </c>
      <c r="I121" s="7">
        <v>75000</v>
      </c>
      <c r="J121" s="7">
        <f t="shared" si="1"/>
        <v>45000</v>
      </c>
      <c r="K121" s="8" t="s">
        <v>12</v>
      </c>
    </row>
    <row r="122" spans="1:11" x14ac:dyDescent="0.25">
      <c r="A122" s="4" t="s">
        <v>110</v>
      </c>
      <c r="B122" s="5" t="s">
        <v>94</v>
      </c>
      <c r="C122" s="4" t="s">
        <v>95</v>
      </c>
      <c r="D122" s="5" t="s">
        <v>154</v>
      </c>
      <c r="E122" s="4" t="s">
        <v>62</v>
      </c>
      <c r="F122" s="4" t="s">
        <v>63</v>
      </c>
      <c r="G122" s="4" t="s">
        <v>13</v>
      </c>
      <c r="H122" s="6">
        <v>2</v>
      </c>
      <c r="I122" s="7">
        <v>45000</v>
      </c>
      <c r="J122" s="7">
        <f t="shared" si="1"/>
        <v>90000</v>
      </c>
      <c r="K122" s="8" t="s">
        <v>12</v>
      </c>
    </row>
    <row r="123" spans="1:11" x14ac:dyDescent="0.25">
      <c r="A123" s="4" t="s">
        <v>110</v>
      </c>
      <c r="B123" s="5" t="s">
        <v>94</v>
      </c>
      <c r="C123" s="4" t="s">
        <v>95</v>
      </c>
      <c r="D123" s="5" t="s">
        <v>154</v>
      </c>
      <c r="E123" s="4" t="s">
        <v>64</v>
      </c>
      <c r="F123" s="4" t="s">
        <v>65</v>
      </c>
      <c r="G123" s="4" t="s">
        <v>13</v>
      </c>
      <c r="H123" s="6">
        <v>1</v>
      </c>
      <c r="I123" s="7">
        <v>50000</v>
      </c>
      <c r="J123" s="7">
        <f t="shared" si="1"/>
        <v>50000</v>
      </c>
      <c r="K123" s="8" t="s">
        <v>12</v>
      </c>
    </row>
    <row r="124" spans="1:11" x14ac:dyDescent="0.25">
      <c r="A124" s="4" t="s">
        <v>110</v>
      </c>
      <c r="B124" s="5" t="s">
        <v>94</v>
      </c>
      <c r="C124" s="4" t="s">
        <v>95</v>
      </c>
      <c r="D124" s="5" t="s">
        <v>154</v>
      </c>
      <c r="E124" s="4" t="s">
        <v>66</v>
      </c>
      <c r="F124" s="4" t="s">
        <v>67</v>
      </c>
      <c r="G124" s="4" t="s">
        <v>13</v>
      </c>
      <c r="H124" s="6">
        <v>10</v>
      </c>
      <c r="I124" s="7">
        <v>18000</v>
      </c>
      <c r="J124" s="7">
        <f t="shared" si="1"/>
        <v>180000</v>
      </c>
      <c r="K124" s="8" t="s">
        <v>12</v>
      </c>
    </row>
    <row r="125" spans="1:11" x14ac:dyDescent="0.25">
      <c r="A125" s="4" t="s">
        <v>110</v>
      </c>
      <c r="B125" s="5" t="s">
        <v>94</v>
      </c>
      <c r="C125" s="4" t="s">
        <v>95</v>
      </c>
      <c r="D125" s="5" t="s">
        <v>154</v>
      </c>
      <c r="E125" s="4" t="s">
        <v>68</v>
      </c>
      <c r="F125" s="4" t="s">
        <v>69</v>
      </c>
      <c r="G125" s="4" t="s">
        <v>13</v>
      </c>
      <c r="H125" s="6">
        <v>2.2999999999999998</v>
      </c>
      <c r="I125" s="7">
        <v>13000</v>
      </c>
      <c r="J125" s="7">
        <f t="shared" si="1"/>
        <v>29899.999999999996</v>
      </c>
      <c r="K125" s="8" t="s">
        <v>12</v>
      </c>
    </row>
    <row r="126" spans="1:11" x14ac:dyDescent="0.25">
      <c r="A126" s="4" t="s">
        <v>110</v>
      </c>
      <c r="B126" s="5" t="s">
        <v>94</v>
      </c>
      <c r="C126" s="4" t="s">
        <v>95</v>
      </c>
      <c r="D126" s="5" t="s">
        <v>154</v>
      </c>
      <c r="E126" s="4" t="s">
        <v>16</v>
      </c>
      <c r="F126" s="4" t="s">
        <v>17</v>
      </c>
      <c r="G126" s="4" t="s">
        <v>13</v>
      </c>
      <c r="H126" s="6">
        <v>2</v>
      </c>
      <c r="I126" s="7">
        <v>47000</v>
      </c>
      <c r="J126" s="7">
        <f t="shared" si="1"/>
        <v>94000</v>
      </c>
      <c r="K126" s="8" t="s">
        <v>12</v>
      </c>
    </row>
    <row r="127" spans="1:11" x14ac:dyDescent="0.25">
      <c r="A127" s="4" t="s">
        <v>110</v>
      </c>
      <c r="B127" s="5" t="s">
        <v>94</v>
      </c>
      <c r="C127" s="4" t="s">
        <v>95</v>
      </c>
      <c r="D127" s="5" t="s">
        <v>154</v>
      </c>
      <c r="E127" s="4" t="s">
        <v>50</v>
      </c>
      <c r="F127" s="4" t="s">
        <v>51</v>
      </c>
      <c r="G127" s="4" t="s">
        <v>13</v>
      </c>
      <c r="H127" s="6">
        <v>15</v>
      </c>
      <c r="I127" s="7">
        <v>18000</v>
      </c>
      <c r="J127" s="7">
        <f t="shared" si="1"/>
        <v>270000</v>
      </c>
      <c r="K127" s="8" t="s">
        <v>12</v>
      </c>
    </row>
    <row r="128" spans="1:11" x14ac:dyDescent="0.25">
      <c r="A128" s="4" t="s">
        <v>110</v>
      </c>
      <c r="B128" s="5" t="s">
        <v>94</v>
      </c>
      <c r="C128" s="4" t="s">
        <v>95</v>
      </c>
      <c r="D128" s="5" t="s">
        <v>154</v>
      </c>
      <c r="E128" s="4" t="s">
        <v>18</v>
      </c>
      <c r="F128" s="4" t="s">
        <v>19</v>
      </c>
      <c r="G128" s="4" t="s">
        <v>13</v>
      </c>
      <c r="H128" s="6">
        <v>1.8</v>
      </c>
      <c r="I128" s="7">
        <v>55000</v>
      </c>
      <c r="J128" s="7">
        <f t="shared" si="1"/>
        <v>99000</v>
      </c>
      <c r="K128" s="8" t="s">
        <v>12</v>
      </c>
    </row>
    <row r="129" spans="1:11" x14ac:dyDescent="0.25">
      <c r="A129" s="4" t="s">
        <v>110</v>
      </c>
      <c r="B129" s="5" t="s">
        <v>94</v>
      </c>
      <c r="C129" s="4" t="s">
        <v>95</v>
      </c>
      <c r="D129" s="5" t="s">
        <v>154</v>
      </c>
      <c r="E129" s="4" t="s">
        <v>72</v>
      </c>
      <c r="F129" s="4" t="s">
        <v>73</v>
      </c>
      <c r="G129" s="4" t="s">
        <v>13</v>
      </c>
      <c r="H129" s="6">
        <v>1.6</v>
      </c>
      <c r="I129" s="7">
        <v>18000</v>
      </c>
      <c r="J129" s="7">
        <f t="shared" si="1"/>
        <v>28800</v>
      </c>
      <c r="K129" s="8" t="s">
        <v>12</v>
      </c>
    </row>
    <row r="130" spans="1:11" x14ac:dyDescent="0.25">
      <c r="A130" s="4" t="s">
        <v>110</v>
      </c>
      <c r="B130" s="5" t="s">
        <v>94</v>
      </c>
      <c r="C130" s="4" t="s">
        <v>95</v>
      </c>
      <c r="D130" s="5" t="s">
        <v>154</v>
      </c>
      <c r="E130" s="4" t="s">
        <v>36</v>
      </c>
      <c r="F130" s="4" t="s">
        <v>37</v>
      </c>
      <c r="G130" s="4" t="s">
        <v>13</v>
      </c>
      <c r="H130" s="6">
        <v>2</v>
      </c>
      <c r="I130" s="7">
        <v>145000</v>
      </c>
      <c r="J130" s="7">
        <f t="shared" si="1"/>
        <v>290000</v>
      </c>
      <c r="K130" s="8" t="s">
        <v>12</v>
      </c>
    </row>
    <row r="131" spans="1:11" x14ac:dyDescent="0.25">
      <c r="A131" s="4" t="s">
        <v>110</v>
      </c>
      <c r="B131" s="5" t="s">
        <v>94</v>
      </c>
      <c r="C131" s="4" t="s">
        <v>95</v>
      </c>
      <c r="D131" s="5" t="s">
        <v>154</v>
      </c>
      <c r="E131" s="4" t="s">
        <v>38</v>
      </c>
      <c r="F131" s="4" t="s">
        <v>39</v>
      </c>
      <c r="G131" s="4" t="s">
        <v>13</v>
      </c>
      <c r="H131" s="6">
        <v>4</v>
      </c>
      <c r="I131" s="7">
        <v>47000</v>
      </c>
      <c r="J131" s="7">
        <f t="shared" si="1"/>
        <v>188000</v>
      </c>
      <c r="K131" s="8" t="s">
        <v>12</v>
      </c>
    </row>
    <row r="132" spans="1:11" x14ac:dyDescent="0.25">
      <c r="A132" s="4" t="s">
        <v>110</v>
      </c>
      <c r="B132" s="5" t="s">
        <v>94</v>
      </c>
      <c r="C132" s="4" t="s">
        <v>95</v>
      </c>
      <c r="D132" s="5" t="s">
        <v>154</v>
      </c>
      <c r="E132" s="4" t="s">
        <v>42</v>
      </c>
      <c r="F132" s="4" t="s">
        <v>43</v>
      </c>
      <c r="G132" s="4" t="s">
        <v>13</v>
      </c>
      <c r="H132" s="6">
        <v>4</v>
      </c>
      <c r="I132" s="7">
        <v>45000</v>
      </c>
      <c r="J132" s="7">
        <f t="shared" si="1"/>
        <v>180000</v>
      </c>
      <c r="K132" s="8" t="s">
        <v>12</v>
      </c>
    </row>
    <row r="133" spans="1:11" ht="28.5" x14ac:dyDescent="0.25">
      <c r="A133" s="4" t="s">
        <v>110</v>
      </c>
      <c r="B133" s="5" t="s">
        <v>94</v>
      </c>
      <c r="C133" s="4" t="s">
        <v>95</v>
      </c>
      <c r="D133" s="5" t="s">
        <v>154</v>
      </c>
      <c r="E133" s="4" t="s">
        <v>44</v>
      </c>
      <c r="F133" s="4" t="s">
        <v>45</v>
      </c>
      <c r="G133" s="4" t="s">
        <v>13</v>
      </c>
      <c r="H133" s="6">
        <v>4</v>
      </c>
      <c r="I133" s="7">
        <v>95000</v>
      </c>
      <c r="J133" s="7">
        <f t="shared" si="1"/>
        <v>380000</v>
      </c>
      <c r="K133" s="8" t="s">
        <v>12</v>
      </c>
    </row>
    <row r="134" spans="1:11" x14ac:dyDescent="0.25">
      <c r="A134" s="4" t="s">
        <v>110</v>
      </c>
      <c r="B134" s="5" t="s">
        <v>94</v>
      </c>
      <c r="C134" s="4" t="s">
        <v>95</v>
      </c>
      <c r="D134" s="5" t="s">
        <v>154</v>
      </c>
      <c r="E134" s="4" t="s">
        <v>20</v>
      </c>
      <c r="F134" s="4" t="s">
        <v>21</v>
      </c>
      <c r="G134" s="4" t="s">
        <v>13</v>
      </c>
      <c r="H134" s="6">
        <v>1.5</v>
      </c>
      <c r="I134" s="7">
        <v>45000</v>
      </c>
      <c r="J134" s="7">
        <f t="shared" si="1"/>
        <v>67500</v>
      </c>
      <c r="K134" s="8" t="s">
        <v>12</v>
      </c>
    </row>
    <row r="135" spans="1:11" x14ac:dyDescent="0.25">
      <c r="A135" s="4" t="s">
        <v>110</v>
      </c>
      <c r="B135" s="5" t="s">
        <v>94</v>
      </c>
      <c r="C135" s="4" t="s">
        <v>95</v>
      </c>
      <c r="D135" s="5" t="s">
        <v>154</v>
      </c>
      <c r="E135" s="4" t="s">
        <v>29</v>
      </c>
      <c r="F135" s="4" t="s">
        <v>30</v>
      </c>
      <c r="G135" s="4" t="s">
        <v>13</v>
      </c>
      <c r="H135" s="6">
        <v>1</v>
      </c>
      <c r="I135" s="7">
        <v>145000</v>
      </c>
      <c r="J135" s="7">
        <f t="shared" si="1"/>
        <v>145000</v>
      </c>
      <c r="K135" s="8" t="s">
        <v>12</v>
      </c>
    </row>
    <row r="136" spans="1:11" x14ac:dyDescent="0.25">
      <c r="A136" s="4" t="s">
        <v>110</v>
      </c>
      <c r="B136" s="5" t="s">
        <v>94</v>
      </c>
      <c r="C136" s="4" t="s">
        <v>95</v>
      </c>
      <c r="D136" s="5" t="s">
        <v>154</v>
      </c>
      <c r="E136" s="4" t="s">
        <v>27</v>
      </c>
      <c r="F136" s="4" t="s">
        <v>28</v>
      </c>
      <c r="G136" s="4" t="s">
        <v>13</v>
      </c>
      <c r="H136" s="6">
        <v>5</v>
      </c>
      <c r="I136" s="7">
        <v>21000</v>
      </c>
      <c r="J136" s="7">
        <f t="shared" si="1"/>
        <v>105000</v>
      </c>
      <c r="K136" s="8" t="s">
        <v>12</v>
      </c>
    </row>
    <row r="137" spans="1:11" x14ac:dyDescent="0.25">
      <c r="A137" s="4" t="s">
        <v>110</v>
      </c>
      <c r="B137" s="5" t="s">
        <v>94</v>
      </c>
      <c r="C137" s="4" t="s">
        <v>95</v>
      </c>
      <c r="D137" s="5" t="s">
        <v>154</v>
      </c>
      <c r="E137" s="4" t="s">
        <v>76</v>
      </c>
      <c r="F137" s="4" t="s">
        <v>77</v>
      </c>
      <c r="G137" s="4" t="s">
        <v>13</v>
      </c>
      <c r="H137" s="6">
        <v>3</v>
      </c>
      <c r="I137" s="7">
        <v>38000</v>
      </c>
      <c r="J137" s="7">
        <f t="shared" si="1"/>
        <v>114000</v>
      </c>
      <c r="K137" s="8" t="s">
        <v>12</v>
      </c>
    </row>
    <row r="138" spans="1:11" x14ac:dyDescent="0.25">
      <c r="A138" s="4" t="s">
        <v>110</v>
      </c>
      <c r="B138" s="5" t="s">
        <v>94</v>
      </c>
      <c r="C138" s="4" t="s">
        <v>95</v>
      </c>
      <c r="D138" s="5" t="s">
        <v>154</v>
      </c>
      <c r="E138" s="4" t="s">
        <v>14</v>
      </c>
      <c r="F138" s="4" t="s">
        <v>15</v>
      </c>
      <c r="G138" s="4" t="s">
        <v>13</v>
      </c>
      <c r="H138" s="6">
        <v>2</v>
      </c>
      <c r="I138" s="7">
        <v>50000</v>
      </c>
      <c r="J138" s="7">
        <f t="shared" si="1"/>
        <v>100000</v>
      </c>
      <c r="K138" s="8" t="s">
        <v>12</v>
      </c>
    </row>
    <row r="139" spans="1:11" x14ac:dyDescent="0.25">
      <c r="A139" s="4" t="s">
        <v>110</v>
      </c>
      <c r="B139" s="5" t="s">
        <v>94</v>
      </c>
      <c r="C139" s="4" t="s">
        <v>95</v>
      </c>
      <c r="D139" s="5" t="s">
        <v>154</v>
      </c>
      <c r="E139" s="4" t="s">
        <v>48</v>
      </c>
      <c r="F139" s="4" t="s">
        <v>49</v>
      </c>
      <c r="G139" s="4" t="s">
        <v>13</v>
      </c>
      <c r="H139" s="6">
        <v>13</v>
      </c>
      <c r="I139" s="7">
        <v>62000</v>
      </c>
      <c r="J139" s="7">
        <f t="shared" si="1"/>
        <v>806000</v>
      </c>
      <c r="K139" s="8" t="s">
        <v>12</v>
      </c>
    </row>
    <row r="140" spans="1:11" x14ac:dyDescent="0.25">
      <c r="A140" s="4" t="s">
        <v>112</v>
      </c>
      <c r="B140" s="5" t="s">
        <v>94</v>
      </c>
      <c r="C140" s="4" t="s">
        <v>95</v>
      </c>
      <c r="D140" s="5" t="s">
        <v>155</v>
      </c>
      <c r="E140" s="4" t="s">
        <v>66</v>
      </c>
      <c r="F140" s="4" t="s">
        <v>67</v>
      </c>
      <c r="G140" s="4" t="s">
        <v>13</v>
      </c>
      <c r="H140" s="6">
        <v>10</v>
      </c>
      <c r="I140" s="7">
        <v>18000</v>
      </c>
      <c r="J140" s="7">
        <f t="shared" si="1"/>
        <v>180000</v>
      </c>
      <c r="K140" s="8" t="s">
        <v>12</v>
      </c>
    </row>
    <row r="141" spans="1:11" x14ac:dyDescent="0.25">
      <c r="A141" s="4" t="s">
        <v>112</v>
      </c>
      <c r="B141" s="5" t="s">
        <v>94</v>
      </c>
      <c r="C141" s="4" t="s">
        <v>95</v>
      </c>
      <c r="D141" s="5" t="s">
        <v>155</v>
      </c>
      <c r="E141" s="4" t="s">
        <v>54</v>
      </c>
      <c r="F141" s="4" t="s">
        <v>55</v>
      </c>
      <c r="G141" s="4" t="s">
        <v>13</v>
      </c>
      <c r="H141" s="6">
        <v>0.57999999999999996</v>
      </c>
      <c r="I141" s="7">
        <v>75000</v>
      </c>
      <c r="J141" s="7">
        <f t="shared" si="1"/>
        <v>43500</v>
      </c>
      <c r="K141" s="8" t="s">
        <v>12</v>
      </c>
    </row>
    <row r="142" spans="1:11" x14ac:dyDescent="0.25">
      <c r="A142" s="4" t="s">
        <v>112</v>
      </c>
      <c r="B142" s="5" t="s">
        <v>94</v>
      </c>
      <c r="C142" s="4" t="s">
        <v>95</v>
      </c>
      <c r="D142" s="5" t="s">
        <v>155</v>
      </c>
      <c r="E142" s="4" t="s">
        <v>56</v>
      </c>
      <c r="F142" s="4" t="s">
        <v>57</v>
      </c>
      <c r="G142" s="4" t="s">
        <v>13</v>
      </c>
      <c r="H142" s="6">
        <v>0.5</v>
      </c>
      <c r="I142" s="7">
        <v>34000</v>
      </c>
      <c r="J142" s="7">
        <f t="shared" si="1"/>
        <v>17000</v>
      </c>
      <c r="K142" s="8" t="s">
        <v>12</v>
      </c>
    </row>
    <row r="143" spans="1:11" x14ac:dyDescent="0.25">
      <c r="A143" s="4" t="s">
        <v>112</v>
      </c>
      <c r="B143" s="5" t="s">
        <v>94</v>
      </c>
      <c r="C143" s="4" t="s">
        <v>95</v>
      </c>
      <c r="D143" s="5" t="s">
        <v>155</v>
      </c>
      <c r="E143" s="4" t="s">
        <v>25</v>
      </c>
      <c r="F143" s="4" t="s">
        <v>26</v>
      </c>
      <c r="G143" s="4" t="s">
        <v>13</v>
      </c>
      <c r="H143" s="6">
        <v>0.6</v>
      </c>
      <c r="I143" s="7">
        <v>22000</v>
      </c>
      <c r="J143" s="7">
        <f t="shared" si="1"/>
        <v>13200</v>
      </c>
      <c r="K143" s="8" t="s">
        <v>12</v>
      </c>
    </row>
    <row r="144" spans="1:11" x14ac:dyDescent="0.25">
      <c r="A144" s="4" t="s">
        <v>112</v>
      </c>
      <c r="B144" s="5" t="s">
        <v>94</v>
      </c>
      <c r="C144" s="4" t="s">
        <v>95</v>
      </c>
      <c r="D144" s="5" t="s">
        <v>155</v>
      </c>
      <c r="E144" s="4" t="s">
        <v>58</v>
      </c>
      <c r="F144" s="4" t="s">
        <v>59</v>
      </c>
      <c r="G144" s="4" t="s">
        <v>13</v>
      </c>
      <c r="H144" s="6">
        <v>0.5</v>
      </c>
      <c r="I144" s="7">
        <v>95000</v>
      </c>
      <c r="J144" s="7">
        <f t="shared" ref="J144:J207" si="2">H144*I144</f>
        <v>47500</v>
      </c>
      <c r="K144" s="8" t="s">
        <v>12</v>
      </c>
    </row>
    <row r="145" spans="1:11" x14ac:dyDescent="0.25">
      <c r="A145" s="4" t="s">
        <v>112</v>
      </c>
      <c r="B145" s="5" t="s">
        <v>94</v>
      </c>
      <c r="C145" s="4" t="s">
        <v>95</v>
      </c>
      <c r="D145" s="5" t="s">
        <v>155</v>
      </c>
      <c r="E145" s="4" t="s">
        <v>50</v>
      </c>
      <c r="F145" s="4" t="s">
        <v>51</v>
      </c>
      <c r="G145" s="4" t="s">
        <v>13</v>
      </c>
      <c r="H145" s="6">
        <v>36</v>
      </c>
      <c r="I145" s="7">
        <v>18000</v>
      </c>
      <c r="J145" s="7">
        <f t="shared" si="2"/>
        <v>648000</v>
      </c>
      <c r="K145" s="8" t="s">
        <v>12</v>
      </c>
    </row>
    <row r="146" spans="1:11" x14ac:dyDescent="0.25">
      <c r="A146" s="4" t="s">
        <v>112</v>
      </c>
      <c r="B146" s="5" t="s">
        <v>94</v>
      </c>
      <c r="C146" s="4" t="s">
        <v>95</v>
      </c>
      <c r="D146" s="5" t="s">
        <v>155</v>
      </c>
      <c r="E146" s="4" t="s">
        <v>52</v>
      </c>
      <c r="F146" s="4" t="s">
        <v>53</v>
      </c>
      <c r="G146" s="4" t="s">
        <v>13</v>
      </c>
      <c r="H146" s="6">
        <v>0.3</v>
      </c>
      <c r="I146" s="7">
        <v>65000</v>
      </c>
      <c r="J146" s="7">
        <f t="shared" si="2"/>
        <v>19500</v>
      </c>
      <c r="K146" s="8" t="s">
        <v>12</v>
      </c>
    </row>
    <row r="147" spans="1:11" x14ac:dyDescent="0.25">
      <c r="A147" s="4" t="s">
        <v>112</v>
      </c>
      <c r="B147" s="5" t="s">
        <v>94</v>
      </c>
      <c r="C147" s="4" t="s">
        <v>95</v>
      </c>
      <c r="D147" s="5" t="s">
        <v>155</v>
      </c>
      <c r="E147" s="4" t="s">
        <v>74</v>
      </c>
      <c r="F147" s="4" t="s">
        <v>75</v>
      </c>
      <c r="G147" s="4" t="s">
        <v>13</v>
      </c>
      <c r="H147" s="6">
        <v>2.7</v>
      </c>
      <c r="I147" s="7">
        <v>22000</v>
      </c>
      <c r="J147" s="7">
        <f t="shared" si="2"/>
        <v>59400.000000000007</v>
      </c>
      <c r="K147" s="8" t="s">
        <v>12</v>
      </c>
    </row>
    <row r="148" spans="1:11" x14ac:dyDescent="0.25">
      <c r="A148" s="4" t="s">
        <v>112</v>
      </c>
      <c r="B148" s="5" t="s">
        <v>94</v>
      </c>
      <c r="C148" s="4" t="s">
        <v>95</v>
      </c>
      <c r="D148" s="5" t="s">
        <v>155</v>
      </c>
      <c r="E148" s="4" t="s">
        <v>36</v>
      </c>
      <c r="F148" s="4" t="s">
        <v>37</v>
      </c>
      <c r="G148" s="4" t="s">
        <v>13</v>
      </c>
      <c r="H148" s="6">
        <v>3</v>
      </c>
      <c r="I148" s="7">
        <v>145000</v>
      </c>
      <c r="J148" s="7">
        <f t="shared" si="2"/>
        <v>435000</v>
      </c>
      <c r="K148" s="8" t="s">
        <v>12</v>
      </c>
    </row>
    <row r="149" spans="1:11" x14ac:dyDescent="0.25">
      <c r="A149" s="4" t="s">
        <v>112</v>
      </c>
      <c r="B149" s="5" t="s">
        <v>94</v>
      </c>
      <c r="C149" s="4" t="s">
        <v>95</v>
      </c>
      <c r="D149" s="5" t="s">
        <v>155</v>
      </c>
      <c r="E149" s="4" t="s">
        <v>38</v>
      </c>
      <c r="F149" s="4" t="s">
        <v>39</v>
      </c>
      <c r="G149" s="4" t="s">
        <v>13</v>
      </c>
      <c r="H149" s="6">
        <v>3</v>
      </c>
      <c r="I149" s="7">
        <v>47000</v>
      </c>
      <c r="J149" s="7">
        <f t="shared" si="2"/>
        <v>141000</v>
      </c>
      <c r="K149" s="8" t="s">
        <v>12</v>
      </c>
    </row>
    <row r="150" spans="1:11" x14ac:dyDescent="0.25">
      <c r="A150" s="4" t="s">
        <v>112</v>
      </c>
      <c r="B150" s="5" t="s">
        <v>94</v>
      </c>
      <c r="C150" s="4" t="s">
        <v>95</v>
      </c>
      <c r="D150" s="5" t="s">
        <v>155</v>
      </c>
      <c r="E150" s="4" t="s">
        <v>40</v>
      </c>
      <c r="F150" s="4" t="s">
        <v>41</v>
      </c>
      <c r="G150" s="4" t="s">
        <v>13</v>
      </c>
      <c r="H150" s="6">
        <v>1</v>
      </c>
      <c r="I150" s="7">
        <v>80000</v>
      </c>
      <c r="J150" s="7">
        <f t="shared" si="2"/>
        <v>80000</v>
      </c>
      <c r="K150" s="8" t="s">
        <v>12</v>
      </c>
    </row>
    <row r="151" spans="1:11" x14ac:dyDescent="0.25">
      <c r="A151" s="4" t="s">
        <v>112</v>
      </c>
      <c r="B151" s="5" t="s">
        <v>94</v>
      </c>
      <c r="C151" s="4" t="s">
        <v>95</v>
      </c>
      <c r="D151" s="5" t="s">
        <v>155</v>
      </c>
      <c r="E151" s="4" t="s">
        <v>42</v>
      </c>
      <c r="F151" s="4" t="s">
        <v>43</v>
      </c>
      <c r="G151" s="4" t="s">
        <v>13</v>
      </c>
      <c r="H151" s="6">
        <v>5</v>
      </c>
      <c r="I151" s="7">
        <v>45000</v>
      </c>
      <c r="J151" s="7">
        <f t="shared" si="2"/>
        <v>225000</v>
      </c>
      <c r="K151" s="8" t="s">
        <v>12</v>
      </c>
    </row>
    <row r="152" spans="1:11" ht="28.5" x14ac:dyDescent="0.25">
      <c r="A152" s="4" t="s">
        <v>112</v>
      </c>
      <c r="B152" s="5" t="s">
        <v>94</v>
      </c>
      <c r="C152" s="4" t="s">
        <v>95</v>
      </c>
      <c r="D152" s="5" t="s">
        <v>155</v>
      </c>
      <c r="E152" s="4" t="s">
        <v>44</v>
      </c>
      <c r="F152" s="4" t="s">
        <v>45</v>
      </c>
      <c r="G152" s="4" t="s">
        <v>13</v>
      </c>
      <c r="H152" s="6">
        <v>4.0999999999999996</v>
      </c>
      <c r="I152" s="7">
        <v>95000</v>
      </c>
      <c r="J152" s="7">
        <f t="shared" si="2"/>
        <v>389499.99999999994</v>
      </c>
      <c r="K152" s="8" t="s">
        <v>12</v>
      </c>
    </row>
    <row r="153" spans="1:11" x14ac:dyDescent="0.25">
      <c r="A153" s="4" t="s">
        <v>112</v>
      </c>
      <c r="B153" s="5" t="s">
        <v>94</v>
      </c>
      <c r="C153" s="4" t="s">
        <v>95</v>
      </c>
      <c r="D153" s="5" t="s">
        <v>155</v>
      </c>
      <c r="E153" s="4" t="s">
        <v>46</v>
      </c>
      <c r="F153" s="4" t="s">
        <v>47</v>
      </c>
      <c r="G153" s="4" t="s">
        <v>13</v>
      </c>
      <c r="H153" s="6">
        <v>0.2</v>
      </c>
      <c r="I153" s="7">
        <v>70000</v>
      </c>
      <c r="J153" s="7">
        <f t="shared" si="2"/>
        <v>14000</v>
      </c>
      <c r="K153" s="8" t="s">
        <v>12</v>
      </c>
    </row>
    <row r="154" spans="1:11" x14ac:dyDescent="0.25">
      <c r="A154" s="4" t="s">
        <v>112</v>
      </c>
      <c r="B154" s="5" t="s">
        <v>94</v>
      </c>
      <c r="C154" s="4" t="s">
        <v>95</v>
      </c>
      <c r="D154" s="5" t="s">
        <v>155</v>
      </c>
      <c r="E154" s="4" t="s">
        <v>27</v>
      </c>
      <c r="F154" s="4" t="s">
        <v>28</v>
      </c>
      <c r="G154" s="4" t="s">
        <v>13</v>
      </c>
      <c r="H154" s="6">
        <v>7</v>
      </c>
      <c r="I154" s="7">
        <v>21000</v>
      </c>
      <c r="J154" s="7">
        <f t="shared" si="2"/>
        <v>147000</v>
      </c>
      <c r="K154" s="8" t="s">
        <v>12</v>
      </c>
    </row>
    <row r="155" spans="1:11" x14ac:dyDescent="0.25">
      <c r="A155" s="4" t="s">
        <v>112</v>
      </c>
      <c r="B155" s="5" t="s">
        <v>94</v>
      </c>
      <c r="C155" s="4" t="s">
        <v>95</v>
      </c>
      <c r="D155" s="5" t="s">
        <v>155</v>
      </c>
      <c r="E155" s="4" t="s">
        <v>76</v>
      </c>
      <c r="F155" s="4" t="s">
        <v>77</v>
      </c>
      <c r="G155" s="4" t="s">
        <v>13</v>
      </c>
      <c r="H155" s="6">
        <v>4.7</v>
      </c>
      <c r="I155" s="7">
        <v>38000</v>
      </c>
      <c r="J155" s="7">
        <f t="shared" si="2"/>
        <v>178600</v>
      </c>
      <c r="K155" s="8" t="s">
        <v>12</v>
      </c>
    </row>
    <row r="156" spans="1:11" x14ac:dyDescent="0.25">
      <c r="A156" s="4" t="s">
        <v>112</v>
      </c>
      <c r="B156" s="5" t="s">
        <v>94</v>
      </c>
      <c r="C156" s="4" t="s">
        <v>95</v>
      </c>
      <c r="D156" s="5" t="s">
        <v>155</v>
      </c>
      <c r="E156" s="4" t="s">
        <v>48</v>
      </c>
      <c r="F156" s="4" t="s">
        <v>49</v>
      </c>
      <c r="G156" s="4" t="s">
        <v>13</v>
      </c>
      <c r="H156" s="6">
        <v>10</v>
      </c>
      <c r="I156" s="7">
        <v>62000</v>
      </c>
      <c r="J156" s="7">
        <f t="shared" si="2"/>
        <v>620000</v>
      </c>
      <c r="K156" s="8" t="s">
        <v>12</v>
      </c>
    </row>
    <row r="157" spans="1:11" x14ac:dyDescent="0.25">
      <c r="A157" s="4" t="s">
        <v>114</v>
      </c>
      <c r="B157" s="5" t="s">
        <v>94</v>
      </c>
      <c r="C157" s="4" t="s">
        <v>95</v>
      </c>
      <c r="D157" s="5" t="s">
        <v>156</v>
      </c>
      <c r="E157" s="4" t="s">
        <v>62</v>
      </c>
      <c r="F157" s="4" t="s">
        <v>63</v>
      </c>
      <c r="G157" s="4" t="s">
        <v>13</v>
      </c>
      <c r="H157" s="6">
        <v>3.1</v>
      </c>
      <c r="I157" s="7">
        <v>45000</v>
      </c>
      <c r="J157" s="7">
        <f t="shared" si="2"/>
        <v>139500</v>
      </c>
      <c r="K157" s="8" t="s">
        <v>12</v>
      </c>
    </row>
    <row r="158" spans="1:11" x14ac:dyDescent="0.25">
      <c r="A158" s="4" t="s">
        <v>114</v>
      </c>
      <c r="B158" s="5" t="s">
        <v>94</v>
      </c>
      <c r="C158" s="4" t="s">
        <v>95</v>
      </c>
      <c r="D158" s="5" t="s">
        <v>156</v>
      </c>
      <c r="E158" s="4" t="s">
        <v>64</v>
      </c>
      <c r="F158" s="4" t="s">
        <v>65</v>
      </c>
      <c r="G158" s="4" t="s">
        <v>13</v>
      </c>
      <c r="H158" s="6">
        <v>1</v>
      </c>
      <c r="I158" s="7">
        <v>50000</v>
      </c>
      <c r="J158" s="7">
        <f t="shared" si="2"/>
        <v>50000</v>
      </c>
      <c r="K158" s="8" t="s">
        <v>12</v>
      </c>
    </row>
    <row r="159" spans="1:11" x14ac:dyDescent="0.25">
      <c r="A159" s="4" t="s">
        <v>114</v>
      </c>
      <c r="B159" s="5" t="s">
        <v>94</v>
      </c>
      <c r="C159" s="4" t="s">
        <v>95</v>
      </c>
      <c r="D159" s="5" t="s">
        <v>156</v>
      </c>
      <c r="E159" s="4" t="s">
        <v>66</v>
      </c>
      <c r="F159" s="4" t="s">
        <v>67</v>
      </c>
      <c r="G159" s="4" t="s">
        <v>13</v>
      </c>
      <c r="H159" s="6">
        <v>11</v>
      </c>
      <c r="I159" s="7">
        <v>18000</v>
      </c>
      <c r="J159" s="7">
        <f t="shared" si="2"/>
        <v>198000</v>
      </c>
      <c r="K159" s="8" t="s">
        <v>12</v>
      </c>
    </row>
    <row r="160" spans="1:11" x14ac:dyDescent="0.25">
      <c r="A160" s="4" t="s">
        <v>114</v>
      </c>
      <c r="B160" s="5" t="s">
        <v>94</v>
      </c>
      <c r="C160" s="4" t="s">
        <v>95</v>
      </c>
      <c r="D160" s="5" t="s">
        <v>156</v>
      </c>
      <c r="E160" s="4" t="s">
        <v>68</v>
      </c>
      <c r="F160" s="4" t="s">
        <v>69</v>
      </c>
      <c r="G160" s="4" t="s">
        <v>13</v>
      </c>
      <c r="H160" s="6">
        <v>1.29</v>
      </c>
      <c r="I160" s="7">
        <v>13000</v>
      </c>
      <c r="J160" s="7">
        <f t="shared" si="2"/>
        <v>16770</v>
      </c>
      <c r="K160" s="8" t="s">
        <v>12</v>
      </c>
    </row>
    <row r="161" spans="1:11" x14ac:dyDescent="0.25">
      <c r="A161" s="4" t="s">
        <v>114</v>
      </c>
      <c r="B161" s="5" t="s">
        <v>94</v>
      </c>
      <c r="C161" s="4" t="s">
        <v>95</v>
      </c>
      <c r="D161" s="5" t="s">
        <v>156</v>
      </c>
      <c r="E161" s="4" t="s">
        <v>16</v>
      </c>
      <c r="F161" s="4" t="s">
        <v>17</v>
      </c>
      <c r="G161" s="4" t="s">
        <v>13</v>
      </c>
      <c r="H161" s="6">
        <v>1</v>
      </c>
      <c r="I161" s="7">
        <v>47000</v>
      </c>
      <c r="J161" s="7">
        <f t="shared" si="2"/>
        <v>47000</v>
      </c>
      <c r="K161" s="8" t="s">
        <v>12</v>
      </c>
    </row>
    <row r="162" spans="1:11" x14ac:dyDescent="0.25">
      <c r="A162" s="4" t="s">
        <v>114</v>
      </c>
      <c r="B162" s="5" t="s">
        <v>94</v>
      </c>
      <c r="C162" s="4" t="s">
        <v>95</v>
      </c>
      <c r="D162" s="5" t="s">
        <v>156</v>
      </c>
      <c r="E162" s="4" t="s">
        <v>18</v>
      </c>
      <c r="F162" s="4" t="s">
        <v>19</v>
      </c>
      <c r="G162" s="4" t="s">
        <v>13</v>
      </c>
      <c r="H162" s="6">
        <v>2</v>
      </c>
      <c r="I162" s="7">
        <v>55000</v>
      </c>
      <c r="J162" s="7">
        <f t="shared" si="2"/>
        <v>110000</v>
      </c>
      <c r="K162" s="8" t="s">
        <v>12</v>
      </c>
    </row>
    <row r="163" spans="1:11" x14ac:dyDescent="0.25">
      <c r="A163" s="4" t="s">
        <v>114</v>
      </c>
      <c r="B163" s="5" t="s">
        <v>94</v>
      </c>
      <c r="C163" s="4" t="s">
        <v>95</v>
      </c>
      <c r="D163" s="5" t="s">
        <v>156</v>
      </c>
      <c r="E163" s="4" t="s">
        <v>70</v>
      </c>
      <c r="F163" s="4" t="s">
        <v>71</v>
      </c>
      <c r="G163" s="4" t="s">
        <v>13</v>
      </c>
      <c r="H163" s="6">
        <v>2.1</v>
      </c>
      <c r="I163" s="7">
        <v>30000</v>
      </c>
      <c r="J163" s="7">
        <f t="shared" si="2"/>
        <v>63000</v>
      </c>
      <c r="K163" s="8" t="s">
        <v>12</v>
      </c>
    </row>
    <row r="164" spans="1:11" x14ac:dyDescent="0.25">
      <c r="A164" s="4" t="s">
        <v>114</v>
      </c>
      <c r="B164" s="5" t="s">
        <v>94</v>
      </c>
      <c r="C164" s="4" t="s">
        <v>95</v>
      </c>
      <c r="D164" s="5" t="s">
        <v>156</v>
      </c>
      <c r="E164" s="4" t="s">
        <v>72</v>
      </c>
      <c r="F164" s="4" t="s">
        <v>73</v>
      </c>
      <c r="G164" s="4" t="s">
        <v>13</v>
      </c>
      <c r="H164" s="6">
        <v>1.5</v>
      </c>
      <c r="I164" s="7">
        <v>18000</v>
      </c>
      <c r="J164" s="7">
        <f t="shared" si="2"/>
        <v>27000</v>
      </c>
      <c r="K164" s="8" t="s">
        <v>12</v>
      </c>
    </row>
    <row r="165" spans="1:11" x14ac:dyDescent="0.25">
      <c r="A165" s="4" t="s">
        <v>114</v>
      </c>
      <c r="B165" s="5" t="s">
        <v>94</v>
      </c>
      <c r="C165" s="4" t="s">
        <v>95</v>
      </c>
      <c r="D165" s="5" t="s">
        <v>156</v>
      </c>
      <c r="E165" s="4" t="s">
        <v>74</v>
      </c>
      <c r="F165" s="4" t="s">
        <v>75</v>
      </c>
      <c r="G165" s="4" t="s">
        <v>13</v>
      </c>
      <c r="H165" s="6">
        <v>4.5</v>
      </c>
      <c r="I165" s="7">
        <v>22000</v>
      </c>
      <c r="J165" s="7">
        <f t="shared" si="2"/>
        <v>99000</v>
      </c>
      <c r="K165" s="8" t="s">
        <v>12</v>
      </c>
    </row>
    <row r="166" spans="1:11" x14ac:dyDescent="0.25">
      <c r="A166" s="4" t="s">
        <v>114</v>
      </c>
      <c r="B166" s="5" t="s">
        <v>94</v>
      </c>
      <c r="C166" s="4" t="s">
        <v>95</v>
      </c>
      <c r="D166" s="5" t="s">
        <v>156</v>
      </c>
      <c r="E166" s="4" t="s">
        <v>36</v>
      </c>
      <c r="F166" s="4" t="s">
        <v>37</v>
      </c>
      <c r="G166" s="4" t="s">
        <v>13</v>
      </c>
      <c r="H166" s="6">
        <v>3</v>
      </c>
      <c r="I166" s="7">
        <v>145000</v>
      </c>
      <c r="J166" s="7">
        <f t="shared" si="2"/>
        <v>435000</v>
      </c>
      <c r="K166" s="8" t="s">
        <v>12</v>
      </c>
    </row>
    <row r="167" spans="1:11" x14ac:dyDescent="0.25">
      <c r="A167" s="4" t="s">
        <v>114</v>
      </c>
      <c r="B167" s="5" t="s">
        <v>94</v>
      </c>
      <c r="C167" s="4" t="s">
        <v>95</v>
      </c>
      <c r="D167" s="5" t="s">
        <v>156</v>
      </c>
      <c r="E167" s="4" t="s">
        <v>38</v>
      </c>
      <c r="F167" s="4" t="s">
        <v>39</v>
      </c>
      <c r="G167" s="4" t="s">
        <v>13</v>
      </c>
      <c r="H167" s="6">
        <v>6</v>
      </c>
      <c r="I167" s="7">
        <v>47000</v>
      </c>
      <c r="J167" s="7">
        <f t="shared" si="2"/>
        <v>282000</v>
      </c>
      <c r="K167" s="8" t="s">
        <v>12</v>
      </c>
    </row>
    <row r="168" spans="1:11" x14ac:dyDescent="0.25">
      <c r="A168" s="4" t="s">
        <v>114</v>
      </c>
      <c r="B168" s="5" t="s">
        <v>94</v>
      </c>
      <c r="C168" s="4" t="s">
        <v>95</v>
      </c>
      <c r="D168" s="5" t="s">
        <v>156</v>
      </c>
      <c r="E168" s="4" t="s">
        <v>42</v>
      </c>
      <c r="F168" s="4" t="s">
        <v>43</v>
      </c>
      <c r="G168" s="4" t="s">
        <v>13</v>
      </c>
      <c r="H168" s="6">
        <v>6</v>
      </c>
      <c r="I168" s="7">
        <v>45000</v>
      </c>
      <c r="J168" s="7">
        <f t="shared" si="2"/>
        <v>270000</v>
      </c>
      <c r="K168" s="8" t="s">
        <v>12</v>
      </c>
    </row>
    <row r="169" spans="1:11" ht="28.5" x14ac:dyDescent="0.25">
      <c r="A169" s="4" t="s">
        <v>114</v>
      </c>
      <c r="B169" s="5" t="s">
        <v>94</v>
      </c>
      <c r="C169" s="4" t="s">
        <v>95</v>
      </c>
      <c r="D169" s="5" t="s">
        <v>156</v>
      </c>
      <c r="E169" s="4" t="s">
        <v>44</v>
      </c>
      <c r="F169" s="4" t="s">
        <v>45</v>
      </c>
      <c r="G169" s="4" t="s">
        <v>13</v>
      </c>
      <c r="H169" s="6">
        <v>5.4</v>
      </c>
      <c r="I169" s="7">
        <v>95000</v>
      </c>
      <c r="J169" s="7">
        <f t="shared" si="2"/>
        <v>513000.00000000006</v>
      </c>
      <c r="K169" s="8" t="s">
        <v>12</v>
      </c>
    </row>
    <row r="170" spans="1:11" x14ac:dyDescent="0.25">
      <c r="A170" s="4" t="s">
        <v>114</v>
      </c>
      <c r="B170" s="5" t="s">
        <v>94</v>
      </c>
      <c r="C170" s="4" t="s">
        <v>95</v>
      </c>
      <c r="D170" s="5" t="s">
        <v>156</v>
      </c>
      <c r="E170" s="4" t="s">
        <v>20</v>
      </c>
      <c r="F170" s="4" t="s">
        <v>21</v>
      </c>
      <c r="G170" s="4" t="s">
        <v>13</v>
      </c>
      <c r="H170" s="6">
        <v>1.8</v>
      </c>
      <c r="I170" s="7">
        <v>45000</v>
      </c>
      <c r="J170" s="7">
        <f t="shared" si="2"/>
        <v>81000</v>
      </c>
      <c r="K170" s="8" t="s">
        <v>12</v>
      </c>
    </row>
    <row r="171" spans="1:11" x14ac:dyDescent="0.25">
      <c r="A171" s="4" t="s">
        <v>114</v>
      </c>
      <c r="B171" s="5" t="s">
        <v>94</v>
      </c>
      <c r="C171" s="4" t="s">
        <v>95</v>
      </c>
      <c r="D171" s="5" t="s">
        <v>156</v>
      </c>
      <c r="E171" s="4" t="s">
        <v>46</v>
      </c>
      <c r="F171" s="4" t="s">
        <v>47</v>
      </c>
      <c r="G171" s="4" t="s">
        <v>13</v>
      </c>
      <c r="H171" s="6">
        <v>0.2</v>
      </c>
      <c r="I171" s="7">
        <v>70000</v>
      </c>
      <c r="J171" s="7">
        <f t="shared" si="2"/>
        <v>14000</v>
      </c>
      <c r="K171" s="8" t="s">
        <v>12</v>
      </c>
    </row>
    <row r="172" spans="1:11" x14ac:dyDescent="0.25">
      <c r="A172" s="4" t="s">
        <v>114</v>
      </c>
      <c r="B172" s="5" t="s">
        <v>94</v>
      </c>
      <c r="C172" s="4" t="s">
        <v>95</v>
      </c>
      <c r="D172" s="5" t="s">
        <v>156</v>
      </c>
      <c r="E172" s="4" t="s">
        <v>27</v>
      </c>
      <c r="F172" s="4" t="s">
        <v>28</v>
      </c>
      <c r="G172" s="4" t="s">
        <v>13</v>
      </c>
      <c r="H172" s="6">
        <v>4.5999999999999996</v>
      </c>
      <c r="I172" s="7">
        <v>21000</v>
      </c>
      <c r="J172" s="7">
        <f t="shared" si="2"/>
        <v>96599.999999999985</v>
      </c>
      <c r="K172" s="8" t="s">
        <v>12</v>
      </c>
    </row>
    <row r="173" spans="1:11" x14ac:dyDescent="0.25">
      <c r="A173" s="4" t="s">
        <v>114</v>
      </c>
      <c r="B173" s="5" t="s">
        <v>94</v>
      </c>
      <c r="C173" s="4" t="s">
        <v>95</v>
      </c>
      <c r="D173" s="5" t="s">
        <v>156</v>
      </c>
      <c r="E173" s="4" t="s">
        <v>76</v>
      </c>
      <c r="F173" s="4" t="s">
        <v>77</v>
      </c>
      <c r="G173" s="4" t="s">
        <v>13</v>
      </c>
      <c r="H173" s="6">
        <v>5.5</v>
      </c>
      <c r="I173" s="7">
        <v>38000</v>
      </c>
      <c r="J173" s="7">
        <f t="shared" si="2"/>
        <v>209000</v>
      </c>
      <c r="K173" s="8" t="s">
        <v>12</v>
      </c>
    </row>
    <row r="174" spans="1:11" x14ac:dyDescent="0.25">
      <c r="A174" s="4" t="s">
        <v>114</v>
      </c>
      <c r="B174" s="5" t="s">
        <v>94</v>
      </c>
      <c r="C174" s="4" t="s">
        <v>95</v>
      </c>
      <c r="D174" s="5" t="s">
        <v>156</v>
      </c>
      <c r="E174" s="4" t="s">
        <v>14</v>
      </c>
      <c r="F174" s="4" t="s">
        <v>15</v>
      </c>
      <c r="G174" s="4" t="s">
        <v>13</v>
      </c>
      <c r="H174" s="6">
        <v>2.2999999999999998</v>
      </c>
      <c r="I174" s="7">
        <v>50000</v>
      </c>
      <c r="J174" s="7">
        <f t="shared" si="2"/>
        <v>114999.99999999999</v>
      </c>
      <c r="K174" s="8" t="s">
        <v>12</v>
      </c>
    </row>
    <row r="175" spans="1:11" x14ac:dyDescent="0.25">
      <c r="A175" s="4" t="s">
        <v>114</v>
      </c>
      <c r="B175" s="5" t="s">
        <v>94</v>
      </c>
      <c r="C175" s="4" t="s">
        <v>95</v>
      </c>
      <c r="D175" s="5" t="s">
        <v>156</v>
      </c>
      <c r="E175" s="4" t="s">
        <v>48</v>
      </c>
      <c r="F175" s="4" t="s">
        <v>49</v>
      </c>
      <c r="G175" s="4" t="s">
        <v>13</v>
      </c>
      <c r="H175" s="6">
        <v>11</v>
      </c>
      <c r="I175" s="7">
        <v>62000</v>
      </c>
      <c r="J175" s="7">
        <f t="shared" si="2"/>
        <v>682000</v>
      </c>
      <c r="K175" s="8" t="s">
        <v>12</v>
      </c>
    </row>
    <row r="176" spans="1:11" x14ac:dyDescent="0.25">
      <c r="A176" s="4" t="s">
        <v>116</v>
      </c>
      <c r="B176" s="5" t="s">
        <v>94</v>
      </c>
      <c r="C176" s="4" t="s">
        <v>95</v>
      </c>
      <c r="D176" s="5" t="s">
        <v>157</v>
      </c>
      <c r="E176" s="4" t="s">
        <v>62</v>
      </c>
      <c r="F176" s="4" t="s">
        <v>63</v>
      </c>
      <c r="G176" s="4" t="s">
        <v>13</v>
      </c>
      <c r="H176" s="6">
        <v>2</v>
      </c>
      <c r="I176" s="7">
        <v>45000</v>
      </c>
      <c r="J176" s="7">
        <f t="shared" si="2"/>
        <v>90000</v>
      </c>
      <c r="K176" s="8" t="s">
        <v>12</v>
      </c>
    </row>
    <row r="177" spans="1:11" x14ac:dyDescent="0.25">
      <c r="A177" s="4" t="s">
        <v>116</v>
      </c>
      <c r="B177" s="5" t="s">
        <v>94</v>
      </c>
      <c r="C177" s="4" t="s">
        <v>95</v>
      </c>
      <c r="D177" s="5" t="s">
        <v>157</v>
      </c>
      <c r="E177" s="4" t="s">
        <v>64</v>
      </c>
      <c r="F177" s="4" t="s">
        <v>65</v>
      </c>
      <c r="G177" s="4" t="s">
        <v>13</v>
      </c>
      <c r="H177" s="6">
        <v>1</v>
      </c>
      <c r="I177" s="7">
        <v>50000</v>
      </c>
      <c r="J177" s="7">
        <f t="shared" si="2"/>
        <v>50000</v>
      </c>
      <c r="K177" s="8" t="s">
        <v>12</v>
      </c>
    </row>
    <row r="178" spans="1:11" x14ac:dyDescent="0.25">
      <c r="A178" s="4" t="s">
        <v>116</v>
      </c>
      <c r="B178" s="5" t="s">
        <v>94</v>
      </c>
      <c r="C178" s="4" t="s">
        <v>95</v>
      </c>
      <c r="D178" s="5" t="s">
        <v>157</v>
      </c>
      <c r="E178" s="4" t="s">
        <v>66</v>
      </c>
      <c r="F178" s="4" t="s">
        <v>67</v>
      </c>
      <c r="G178" s="4" t="s">
        <v>13</v>
      </c>
      <c r="H178" s="6">
        <v>12.2</v>
      </c>
      <c r="I178" s="7">
        <v>18000</v>
      </c>
      <c r="J178" s="7">
        <f t="shared" si="2"/>
        <v>219600</v>
      </c>
      <c r="K178" s="8" t="s">
        <v>12</v>
      </c>
    </row>
    <row r="179" spans="1:11" x14ac:dyDescent="0.25">
      <c r="A179" s="4" t="s">
        <v>116</v>
      </c>
      <c r="B179" s="5" t="s">
        <v>94</v>
      </c>
      <c r="C179" s="4" t="s">
        <v>95</v>
      </c>
      <c r="D179" s="5" t="s">
        <v>157</v>
      </c>
      <c r="E179" s="4" t="s">
        <v>54</v>
      </c>
      <c r="F179" s="4" t="s">
        <v>55</v>
      </c>
      <c r="G179" s="4" t="s">
        <v>13</v>
      </c>
      <c r="H179" s="6">
        <v>0.5</v>
      </c>
      <c r="I179" s="7">
        <v>75000</v>
      </c>
      <c r="J179" s="7">
        <f t="shared" si="2"/>
        <v>37500</v>
      </c>
      <c r="K179" s="8" t="s">
        <v>12</v>
      </c>
    </row>
    <row r="180" spans="1:11" x14ac:dyDescent="0.25">
      <c r="A180" s="4" t="s">
        <v>116</v>
      </c>
      <c r="B180" s="5" t="s">
        <v>94</v>
      </c>
      <c r="C180" s="4" t="s">
        <v>95</v>
      </c>
      <c r="D180" s="5" t="s">
        <v>157</v>
      </c>
      <c r="E180" s="4" t="s">
        <v>68</v>
      </c>
      <c r="F180" s="4" t="s">
        <v>69</v>
      </c>
      <c r="G180" s="4" t="s">
        <v>13</v>
      </c>
      <c r="H180" s="6">
        <v>1</v>
      </c>
      <c r="I180" s="7">
        <v>13000</v>
      </c>
      <c r="J180" s="7">
        <f t="shared" si="2"/>
        <v>13000</v>
      </c>
      <c r="K180" s="8" t="s">
        <v>12</v>
      </c>
    </row>
    <row r="181" spans="1:11" x14ac:dyDescent="0.25">
      <c r="A181" s="4" t="s">
        <v>116</v>
      </c>
      <c r="B181" s="5" t="s">
        <v>94</v>
      </c>
      <c r="C181" s="4" t="s">
        <v>95</v>
      </c>
      <c r="D181" s="5" t="s">
        <v>157</v>
      </c>
      <c r="E181" s="4" t="s">
        <v>16</v>
      </c>
      <c r="F181" s="4" t="s">
        <v>17</v>
      </c>
      <c r="G181" s="4" t="s">
        <v>13</v>
      </c>
      <c r="H181" s="6">
        <v>1</v>
      </c>
      <c r="I181" s="7">
        <v>47000</v>
      </c>
      <c r="J181" s="7">
        <f t="shared" si="2"/>
        <v>47000</v>
      </c>
      <c r="K181" s="8" t="s">
        <v>12</v>
      </c>
    </row>
    <row r="182" spans="1:11" x14ac:dyDescent="0.25">
      <c r="A182" s="4" t="s">
        <v>116</v>
      </c>
      <c r="B182" s="5" t="s">
        <v>94</v>
      </c>
      <c r="C182" s="4" t="s">
        <v>95</v>
      </c>
      <c r="D182" s="5" t="s">
        <v>157</v>
      </c>
      <c r="E182" s="4" t="s">
        <v>50</v>
      </c>
      <c r="F182" s="4" t="s">
        <v>51</v>
      </c>
      <c r="G182" s="4" t="s">
        <v>13</v>
      </c>
      <c r="H182" s="6">
        <v>32</v>
      </c>
      <c r="I182" s="7">
        <v>18000</v>
      </c>
      <c r="J182" s="7">
        <f t="shared" si="2"/>
        <v>576000</v>
      </c>
      <c r="K182" s="8" t="s">
        <v>12</v>
      </c>
    </row>
    <row r="183" spans="1:11" x14ac:dyDescent="0.25">
      <c r="A183" s="4" t="s">
        <v>116</v>
      </c>
      <c r="B183" s="5" t="s">
        <v>94</v>
      </c>
      <c r="C183" s="4" t="s">
        <v>95</v>
      </c>
      <c r="D183" s="5" t="s">
        <v>157</v>
      </c>
      <c r="E183" s="4" t="s">
        <v>18</v>
      </c>
      <c r="F183" s="4" t="s">
        <v>19</v>
      </c>
      <c r="G183" s="4" t="s">
        <v>13</v>
      </c>
      <c r="H183" s="6">
        <v>2</v>
      </c>
      <c r="I183" s="7">
        <v>55000</v>
      </c>
      <c r="J183" s="7">
        <f t="shared" si="2"/>
        <v>110000</v>
      </c>
      <c r="K183" s="8" t="s">
        <v>12</v>
      </c>
    </row>
    <row r="184" spans="1:11" x14ac:dyDescent="0.25">
      <c r="A184" s="4" t="s">
        <v>116</v>
      </c>
      <c r="B184" s="5" t="s">
        <v>94</v>
      </c>
      <c r="C184" s="4" t="s">
        <v>95</v>
      </c>
      <c r="D184" s="5" t="s">
        <v>157</v>
      </c>
      <c r="E184" s="4" t="s">
        <v>70</v>
      </c>
      <c r="F184" s="4" t="s">
        <v>71</v>
      </c>
      <c r="G184" s="4" t="s">
        <v>13</v>
      </c>
      <c r="H184" s="6">
        <v>2</v>
      </c>
      <c r="I184" s="7">
        <v>30000</v>
      </c>
      <c r="J184" s="7">
        <f t="shared" si="2"/>
        <v>60000</v>
      </c>
      <c r="K184" s="8" t="s">
        <v>12</v>
      </c>
    </row>
    <row r="185" spans="1:11" x14ac:dyDescent="0.25">
      <c r="A185" s="4" t="s">
        <v>116</v>
      </c>
      <c r="B185" s="5" t="s">
        <v>94</v>
      </c>
      <c r="C185" s="4" t="s">
        <v>95</v>
      </c>
      <c r="D185" s="5" t="s">
        <v>157</v>
      </c>
      <c r="E185" s="4" t="s">
        <v>72</v>
      </c>
      <c r="F185" s="4" t="s">
        <v>73</v>
      </c>
      <c r="G185" s="4" t="s">
        <v>13</v>
      </c>
      <c r="H185" s="6">
        <v>1.2</v>
      </c>
      <c r="I185" s="7">
        <v>18000</v>
      </c>
      <c r="J185" s="7">
        <f t="shared" si="2"/>
        <v>21600</v>
      </c>
      <c r="K185" s="8" t="s">
        <v>12</v>
      </c>
    </row>
    <row r="186" spans="1:11" x14ac:dyDescent="0.25">
      <c r="A186" s="4" t="s">
        <v>116</v>
      </c>
      <c r="B186" s="5" t="s">
        <v>94</v>
      </c>
      <c r="C186" s="4" t="s">
        <v>95</v>
      </c>
      <c r="D186" s="5" t="s">
        <v>157</v>
      </c>
      <c r="E186" s="4" t="s">
        <v>74</v>
      </c>
      <c r="F186" s="4" t="s">
        <v>75</v>
      </c>
      <c r="G186" s="4" t="s">
        <v>13</v>
      </c>
      <c r="H186" s="6">
        <v>4</v>
      </c>
      <c r="I186" s="7">
        <v>22000</v>
      </c>
      <c r="J186" s="7">
        <f t="shared" si="2"/>
        <v>88000</v>
      </c>
      <c r="K186" s="8" t="s">
        <v>12</v>
      </c>
    </row>
    <row r="187" spans="1:11" x14ac:dyDescent="0.25">
      <c r="A187" s="4" t="s">
        <v>116</v>
      </c>
      <c r="B187" s="5" t="s">
        <v>94</v>
      </c>
      <c r="C187" s="4" t="s">
        <v>95</v>
      </c>
      <c r="D187" s="5" t="s">
        <v>157</v>
      </c>
      <c r="E187" s="4" t="s">
        <v>36</v>
      </c>
      <c r="F187" s="4" t="s">
        <v>37</v>
      </c>
      <c r="G187" s="4" t="s">
        <v>13</v>
      </c>
      <c r="H187" s="6">
        <v>3</v>
      </c>
      <c r="I187" s="7">
        <v>145000</v>
      </c>
      <c r="J187" s="7">
        <f t="shared" si="2"/>
        <v>435000</v>
      </c>
      <c r="K187" s="8" t="s">
        <v>12</v>
      </c>
    </row>
    <row r="188" spans="1:11" x14ac:dyDescent="0.25">
      <c r="A188" s="4" t="s">
        <v>116</v>
      </c>
      <c r="B188" s="5" t="s">
        <v>94</v>
      </c>
      <c r="C188" s="4" t="s">
        <v>95</v>
      </c>
      <c r="D188" s="5" t="s">
        <v>157</v>
      </c>
      <c r="E188" s="4" t="s">
        <v>38</v>
      </c>
      <c r="F188" s="4" t="s">
        <v>39</v>
      </c>
      <c r="G188" s="4" t="s">
        <v>13</v>
      </c>
      <c r="H188" s="6">
        <v>6</v>
      </c>
      <c r="I188" s="7">
        <v>47000</v>
      </c>
      <c r="J188" s="7">
        <f t="shared" si="2"/>
        <v>282000</v>
      </c>
      <c r="K188" s="8" t="s">
        <v>12</v>
      </c>
    </row>
    <row r="189" spans="1:11" x14ac:dyDescent="0.25">
      <c r="A189" s="4" t="s">
        <v>116</v>
      </c>
      <c r="B189" s="5" t="s">
        <v>94</v>
      </c>
      <c r="C189" s="4" t="s">
        <v>95</v>
      </c>
      <c r="D189" s="5" t="s">
        <v>157</v>
      </c>
      <c r="E189" s="4" t="s">
        <v>42</v>
      </c>
      <c r="F189" s="4" t="s">
        <v>43</v>
      </c>
      <c r="G189" s="4" t="s">
        <v>13</v>
      </c>
      <c r="H189" s="6">
        <v>6</v>
      </c>
      <c r="I189" s="7">
        <v>45000</v>
      </c>
      <c r="J189" s="7">
        <f t="shared" si="2"/>
        <v>270000</v>
      </c>
      <c r="K189" s="8" t="s">
        <v>12</v>
      </c>
    </row>
    <row r="190" spans="1:11" ht="28.5" x14ac:dyDescent="0.25">
      <c r="A190" s="4" t="s">
        <v>116</v>
      </c>
      <c r="B190" s="5" t="s">
        <v>94</v>
      </c>
      <c r="C190" s="4" t="s">
        <v>95</v>
      </c>
      <c r="D190" s="5" t="s">
        <v>157</v>
      </c>
      <c r="E190" s="4" t="s">
        <v>44</v>
      </c>
      <c r="F190" s="4" t="s">
        <v>45</v>
      </c>
      <c r="G190" s="4" t="s">
        <v>13</v>
      </c>
      <c r="H190" s="6">
        <v>6</v>
      </c>
      <c r="I190" s="7">
        <v>95000</v>
      </c>
      <c r="J190" s="7">
        <f t="shared" si="2"/>
        <v>570000</v>
      </c>
      <c r="K190" s="8" t="s">
        <v>12</v>
      </c>
    </row>
    <row r="191" spans="1:11" x14ac:dyDescent="0.25">
      <c r="A191" s="4" t="s">
        <v>116</v>
      </c>
      <c r="B191" s="5" t="s">
        <v>94</v>
      </c>
      <c r="C191" s="4" t="s">
        <v>95</v>
      </c>
      <c r="D191" s="5" t="s">
        <v>157</v>
      </c>
      <c r="E191" s="4" t="s">
        <v>20</v>
      </c>
      <c r="F191" s="4" t="s">
        <v>21</v>
      </c>
      <c r="G191" s="4" t="s">
        <v>13</v>
      </c>
      <c r="H191" s="6">
        <v>2</v>
      </c>
      <c r="I191" s="7">
        <v>45000</v>
      </c>
      <c r="J191" s="7">
        <f t="shared" si="2"/>
        <v>90000</v>
      </c>
      <c r="K191" s="8" t="s">
        <v>12</v>
      </c>
    </row>
    <row r="192" spans="1:11" x14ac:dyDescent="0.25">
      <c r="A192" s="4" t="s">
        <v>116</v>
      </c>
      <c r="B192" s="5" t="s">
        <v>94</v>
      </c>
      <c r="C192" s="4" t="s">
        <v>95</v>
      </c>
      <c r="D192" s="5" t="s">
        <v>157</v>
      </c>
      <c r="E192" s="4" t="s">
        <v>46</v>
      </c>
      <c r="F192" s="4" t="s">
        <v>47</v>
      </c>
      <c r="G192" s="4" t="s">
        <v>13</v>
      </c>
      <c r="H192" s="6">
        <v>0.2</v>
      </c>
      <c r="I192" s="7">
        <v>70000</v>
      </c>
      <c r="J192" s="7">
        <f t="shared" si="2"/>
        <v>14000</v>
      </c>
      <c r="K192" s="8" t="s">
        <v>12</v>
      </c>
    </row>
    <row r="193" spans="1:11" x14ac:dyDescent="0.25">
      <c r="A193" s="4" t="s">
        <v>116</v>
      </c>
      <c r="B193" s="5" t="s">
        <v>94</v>
      </c>
      <c r="C193" s="4" t="s">
        <v>95</v>
      </c>
      <c r="D193" s="5" t="s">
        <v>157</v>
      </c>
      <c r="E193" s="4" t="s">
        <v>29</v>
      </c>
      <c r="F193" s="4" t="s">
        <v>30</v>
      </c>
      <c r="G193" s="4" t="s">
        <v>13</v>
      </c>
      <c r="H193" s="6">
        <v>1</v>
      </c>
      <c r="I193" s="7">
        <v>145000</v>
      </c>
      <c r="J193" s="7">
        <f t="shared" si="2"/>
        <v>145000</v>
      </c>
      <c r="K193" s="8" t="s">
        <v>12</v>
      </c>
    </row>
    <row r="194" spans="1:11" x14ac:dyDescent="0.25">
      <c r="A194" s="4" t="s">
        <v>116</v>
      </c>
      <c r="B194" s="5" t="s">
        <v>94</v>
      </c>
      <c r="C194" s="4" t="s">
        <v>95</v>
      </c>
      <c r="D194" s="5" t="s">
        <v>157</v>
      </c>
      <c r="E194" s="4" t="s">
        <v>27</v>
      </c>
      <c r="F194" s="4" t="s">
        <v>28</v>
      </c>
      <c r="G194" s="4" t="s">
        <v>13</v>
      </c>
      <c r="H194" s="6">
        <v>12</v>
      </c>
      <c r="I194" s="7">
        <v>21000</v>
      </c>
      <c r="J194" s="7">
        <f t="shared" si="2"/>
        <v>252000</v>
      </c>
      <c r="K194" s="8" t="s">
        <v>12</v>
      </c>
    </row>
    <row r="195" spans="1:11" x14ac:dyDescent="0.25">
      <c r="A195" s="4" t="s">
        <v>116</v>
      </c>
      <c r="B195" s="5" t="s">
        <v>94</v>
      </c>
      <c r="C195" s="4" t="s">
        <v>95</v>
      </c>
      <c r="D195" s="5" t="s">
        <v>157</v>
      </c>
      <c r="E195" s="4" t="s">
        <v>76</v>
      </c>
      <c r="F195" s="4" t="s">
        <v>77</v>
      </c>
      <c r="G195" s="4" t="s">
        <v>13</v>
      </c>
      <c r="H195" s="6">
        <v>5</v>
      </c>
      <c r="I195" s="7">
        <v>38000</v>
      </c>
      <c r="J195" s="7">
        <f t="shared" si="2"/>
        <v>190000</v>
      </c>
      <c r="K195" s="8" t="s">
        <v>12</v>
      </c>
    </row>
    <row r="196" spans="1:11" x14ac:dyDescent="0.25">
      <c r="A196" s="4" t="s">
        <v>116</v>
      </c>
      <c r="B196" s="5" t="s">
        <v>94</v>
      </c>
      <c r="C196" s="4" t="s">
        <v>95</v>
      </c>
      <c r="D196" s="5" t="s">
        <v>157</v>
      </c>
      <c r="E196" s="4" t="s">
        <v>14</v>
      </c>
      <c r="F196" s="4" t="s">
        <v>15</v>
      </c>
      <c r="G196" s="4" t="s">
        <v>13</v>
      </c>
      <c r="H196" s="6">
        <v>2</v>
      </c>
      <c r="I196" s="7">
        <v>50000</v>
      </c>
      <c r="J196" s="7">
        <f t="shared" si="2"/>
        <v>100000</v>
      </c>
      <c r="K196" s="8" t="s">
        <v>12</v>
      </c>
    </row>
    <row r="197" spans="1:11" x14ac:dyDescent="0.25">
      <c r="A197" s="4" t="s">
        <v>116</v>
      </c>
      <c r="B197" s="5" t="s">
        <v>94</v>
      </c>
      <c r="C197" s="4" t="s">
        <v>95</v>
      </c>
      <c r="D197" s="5" t="s">
        <v>157</v>
      </c>
      <c r="E197" s="4" t="s">
        <v>48</v>
      </c>
      <c r="F197" s="4" t="s">
        <v>49</v>
      </c>
      <c r="G197" s="4" t="s">
        <v>13</v>
      </c>
      <c r="H197" s="6">
        <v>12</v>
      </c>
      <c r="I197" s="7">
        <v>62000</v>
      </c>
      <c r="J197" s="7">
        <f t="shared" si="2"/>
        <v>744000</v>
      </c>
      <c r="K197" s="8" t="s">
        <v>12</v>
      </c>
    </row>
    <row r="198" spans="1:11" x14ac:dyDescent="0.25">
      <c r="A198" s="4" t="s">
        <v>118</v>
      </c>
      <c r="B198" s="5" t="s">
        <v>94</v>
      </c>
      <c r="C198" s="4" t="s">
        <v>95</v>
      </c>
      <c r="D198" s="5" t="s">
        <v>158</v>
      </c>
      <c r="E198" s="4" t="s">
        <v>31</v>
      </c>
      <c r="F198" s="4" t="s">
        <v>32</v>
      </c>
      <c r="G198" s="4" t="s">
        <v>33</v>
      </c>
      <c r="H198" s="6">
        <v>8</v>
      </c>
      <c r="I198" s="7">
        <v>8500</v>
      </c>
      <c r="J198" s="7">
        <f t="shared" si="2"/>
        <v>68000</v>
      </c>
      <c r="K198" s="8" t="s">
        <v>12</v>
      </c>
    </row>
    <row r="199" spans="1:11" x14ac:dyDescent="0.25">
      <c r="A199" s="4" t="s">
        <v>118</v>
      </c>
      <c r="B199" s="5" t="s">
        <v>94</v>
      </c>
      <c r="C199" s="4" t="s">
        <v>95</v>
      </c>
      <c r="D199" s="5" t="s">
        <v>158</v>
      </c>
      <c r="E199" s="4" t="s">
        <v>66</v>
      </c>
      <c r="F199" s="4" t="s">
        <v>67</v>
      </c>
      <c r="G199" s="4" t="s">
        <v>13</v>
      </c>
      <c r="H199" s="6">
        <v>10.5</v>
      </c>
      <c r="I199" s="7">
        <v>18000</v>
      </c>
      <c r="J199" s="7">
        <f t="shared" si="2"/>
        <v>189000</v>
      </c>
      <c r="K199" s="8" t="s">
        <v>12</v>
      </c>
    </row>
    <row r="200" spans="1:11" x14ac:dyDescent="0.25">
      <c r="A200" s="4" t="s">
        <v>118</v>
      </c>
      <c r="B200" s="5" t="s">
        <v>94</v>
      </c>
      <c r="C200" s="4" t="s">
        <v>95</v>
      </c>
      <c r="D200" s="5" t="s">
        <v>158</v>
      </c>
      <c r="E200" s="4" t="s">
        <v>54</v>
      </c>
      <c r="F200" s="4" t="s">
        <v>55</v>
      </c>
      <c r="G200" s="4" t="s">
        <v>13</v>
      </c>
      <c r="H200" s="6">
        <v>0.5</v>
      </c>
      <c r="I200" s="7">
        <v>75000</v>
      </c>
      <c r="J200" s="7">
        <f t="shared" si="2"/>
        <v>37500</v>
      </c>
      <c r="K200" s="8" t="s">
        <v>12</v>
      </c>
    </row>
    <row r="201" spans="1:11" x14ac:dyDescent="0.25">
      <c r="A201" s="4" t="s">
        <v>118</v>
      </c>
      <c r="B201" s="5" t="s">
        <v>94</v>
      </c>
      <c r="C201" s="4" t="s">
        <v>95</v>
      </c>
      <c r="D201" s="5" t="s">
        <v>158</v>
      </c>
      <c r="E201" s="4" t="s">
        <v>56</v>
      </c>
      <c r="F201" s="4" t="s">
        <v>57</v>
      </c>
      <c r="G201" s="4" t="s">
        <v>13</v>
      </c>
      <c r="H201" s="6">
        <v>0.5</v>
      </c>
      <c r="I201" s="7">
        <v>34000</v>
      </c>
      <c r="J201" s="7">
        <f t="shared" si="2"/>
        <v>17000</v>
      </c>
      <c r="K201" s="8" t="s">
        <v>12</v>
      </c>
    </row>
    <row r="202" spans="1:11" x14ac:dyDescent="0.25">
      <c r="A202" s="4" t="s">
        <v>118</v>
      </c>
      <c r="B202" s="5" t="s">
        <v>94</v>
      </c>
      <c r="C202" s="4" t="s">
        <v>95</v>
      </c>
      <c r="D202" s="5" t="s">
        <v>158</v>
      </c>
      <c r="E202" s="4" t="s">
        <v>25</v>
      </c>
      <c r="F202" s="4" t="s">
        <v>26</v>
      </c>
      <c r="G202" s="4" t="s">
        <v>13</v>
      </c>
      <c r="H202" s="6">
        <v>0.5</v>
      </c>
      <c r="I202" s="7">
        <v>22000</v>
      </c>
      <c r="J202" s="7">
        <f t="shared" si="2"/>
        <v>11000</v>
      </c>
      <c r="K202" s="8" t="s">
        <v>12</v>
      </c>
    </row>
    <row r="203" spans="1:11" x14ac:dyDescent="0.25">
      <c r="A203" s="4" t="s">
        <v>118</v>
      </c>
      <c r="B203" s="5" t="s">
        <v>94</v>
      </c>
      <c r="C203" s="4" t="s">
        <v>95</v>
      </c>
      <c r="D203" s="5" t="s">
        <v>158</v>
      </c>
      <c r="E203" s="4" t="s">
        <v>68</v>
      </c>
      <c r="F203" s="4" t="s">
        <v>69</v>
      </c>
      <c r="G203" s="4" t="s">
        <v>13</v>
      </c>
      <c r="H203" s="6">
        <v>1.2</v>
      </c>
      <c r="I203" s="7">
        <v>13000</v>
      </c>
      <c r="J203" s="7">
        <f t="shared" si="2"/>
        <v>15600</v>
      </c>
      <c r="K203" s="8" t="s">
        <v>12</v>
      </c>
    </row>
    <row r="204" spans="1:11" x14ac:dyDescent="0.25">
      <c r="A204" s="4" t="s">
        <v>118</v>
      </c>
      <c r="B204" s="5" t="s">
        <v>94</v>
      </c>
      <c r="C204" s="4" t="s">
        <v>95</v>
      </c>
      <c r="D204" s="5" t="s">
        <v>158</v>
      </c>
      <c r="E204" s="4" t="s">
        <v>16</v>
      </c>
      <c r="F204" s="4" t="s">
        <v>17</v>
      </c>
      <c r="G204" s="4" t="s">
        <v>13</v>
      </c>
      <c r="H204" s="6">
        <v>1</v>
      </c>
      <c r="I204" s="7">
        <v>47000</v>
      </c>
      <c r="J204" s="7">
        <f t="shared" si="2"/>
        <v>47000</v>
      </c>
      <c r="K204" s="8" t="s">
        <v>12</v>
      </c>
    </row>
    <row r="205" spans="1:11" x14ac:dyDescent="0.25">
      <c r="A205" s="4" t="s">
        <v>118</v>
      </c>
      <c r="B205" s="5" t="s">
        <v>94</v>
      </c>
      <c r="C205" s="4" t="s">
        <v>95</v>
      </c>
      <c r="D205" s="5" t="s">
        <v>158</v>
      </c>
      <c r="E205" s="4" t="s">
        <v>50</v>
      </c>
      <c r="F205" s="4" t="s">
        <v>51</v>
      </c>
      <c r="G205" s="4" t="s">
        <v>13</v>
      </c>
      <c r="H205" s="6">
        <v>33</v>
      </c>
      <c r="I205" s="7">
        <v>18000</v>
      </c>
      <c r="J205" s="7">
        <f t="shared" si="2"/>
        <v>594000</v>
      </c>
      <c r="K205" s="8" t="s">
        <v>12</v>
      </c>
    </row>
    <row r="206" spans="1:11" x14ac:dyDescent="0.25">
      <c r="A206" s="4" t="s">
        <v>118</v>
      </c>
      <c r="B206" s="5" t="s">
        <v>94</v>
      </c>
      <c r="C206" s="4" t="s">
        <v>95</v>
      </c>
      <c r="D206" s="5" t="s">
        <v>158</v>
      </c>
      <c r="E206" s="4" t="s">
        <v>52</v>
      </c>
      <c r="F206" s="4" t="s">
        <v>53</v>
      </c>
      <c r="G206" s="4" t="s">
        <v>13</v>
      </c>
      <c r="H206" s="6">
        <v>0.5</v>
      </c>
      <c r="I206" s="7">
        <v>65000</v>
      </c>
      <c r="J206" s="7">
        <f t="shared" si="2"/>
        <v>32500</v>
      </c>
      <c r="K206" s="8" t="s">
        <v>12</v>
      </c>
    </row>
    <row r="207" spans="1:11" x14ac:dyDescent="0.25">
      <c r="A207" s="4" t="s">
        <v>118</v>
      </c>
      <c r="B207" s="5" t="s">
        <v>94</v>
      </c>
      <c r="C207" s="4" t="s">
        <v>95</v>
      </c>
      <c r="D207" s="5" t="s">
        <v>158</v>
      </c>
      <c r="E207" s="4" t="s">
        <v>70</v>
      </c>
      <c r="F207" s="4" t="s">
        <v>71</v>
      </c>
      <c r="G207" s="4" t="s">
        <v>13</v>
      </c>
      <c r="H207" s="6">
        <v>2</v>
      </c>
      <c r="I207" s="7">
        <v>30000</v>
      </c>
      <c r="J207" s="7">
        <f t="shared" si="2"/>
        <v>60000</v>
      </c>
      <c r="K207" s="8" t="s">
        <v>12</v>
      </c>
    </row>
    <row r="208" spans="1:11" x14ac:dyDescent="0.25">
      <c r="A208" s="4" t="s">
        <v>118</v>
      </c>
      <c r="B208" s="5" t="s">
        <v>94</v>
      </c>
      <c r="C208" s="4" t="s">
        <v>95</v>
      </c>
      <c r="D208" s="5" t="s">
        <v>158</v>
      </c>
      <c r="E208" s="4" t="s">
        <v>72</v>
      </c>
      <c r="F208" s="4" t="s">
        <v>73</v>
      </c>
      <c r="G208" s="4" t="s">
        <v>13</v>
      </c>
      <c r="H208" s="6">
        <v>0.5</v>
      </c>
      <c r="I208" s="7">
        <v>18000</v>
      </c>
      <c r="J208" s="7">
        <f t="shared" ref="J208:J271" si="3">H208*I208</f>
        <v>9000</v>
      </c>
      <c r="K208" s="8" t="s">
        <v>12</v>
      </c>
    </row>
    <row r="209" spans="1:11" x14ac:dyDescent="0.25">
      <c r="A209" s="4" t="s">
        <v>118</v>
      </c>
      <c r="B209" s="5" t="s">
        <v>94</v>
      </c>
      <c r="C209" s="4" t="s">
        <v>95</v>
      </c>
      <c r="D209" s="5" t="s">
        <v>158</v>
      </c>
      <c r="E209" s="4" t="s">
        <v>74</v>
      </c>
      <c r="F209" s="4" t="s">
        <v>75</v>
      </c>
      <c r="G209" s="4" t="s">
        <v>13</v>
      </c>
      <c r="H209" s="6">
        <v>4.5</v>
      </c>
      <c r="I209" s="7">
        <v>22000</v>
      </c>
      <c r="J209" s="7">
        <f t="shared" si="3"/>
        <v>99000</v>
      </c>
      <c r="K209" s="8" t="s">
        <v>12</v>
      </c>
    </row>
    <row r="210" spans="1:11" x14ac:dyDescent="0.25">
      <c r="A210" s="4" t="s">
        <v>118</v>
      </c>
      <c r="B210" s="5" t="s">
        <v>94</v>
      </c>
      <c r="C210" s="4" t="s">
        <v>95</v>
      </c>
      <c r="D210" s="5" t="s">
        <v>158</v>
      </c>
      <c r="E210" s="4" t="s">
        <v>36</v>
      </c>
      <c r="F210" s="4" t="s">
        <v>37</v>
      </c>
      <c r="G210" s="4" t="s">
        <v>13</v>
      </c>
      <c r="H210" s="6">
        <v>3</v>
      </c>
      <c r="I210" s="7">
        <v>145000</v>
      </c>
      <c r="J210" s="7">
        <f t="shared" si="3"/>
        <v>435000</v>
      </c>
      <c r="K210" s="8" t="s">
        <v>12</v>
      </c>
    </row>
    <row r="211" spans="1:11" x14ac:dyDescent="0.25">
      <c r="A211" s="4" t="s">
        <v>118</v>
      </c>
      <c r="B211" s="5" t="s">
        <v>94</v>
      </c>
      <c r="C211" s="4" t="s">
        <v>95</v>
      </c>
      <c r="D211" s="5" t="s">
        <v>158</v>
      </c>
      <c r="E211" s="4" t="s">
        <v>38</v>
      </c>
      <c r="F211" s="4" t="s">
        <v>39</v>
      </c>
      <c r="G211" s="4" t="s">
        <v>13</v>
      </c>
      <c r="H211" s="6">
        <v>6</v>
      </c>
      <c r="I211" s="7">
        <v>47000</v>
      </c>
      <c r="J211" s="7">
        <f t="shared" si="3"/>
        <v>282000</v>
      </c>
      <c r="K211" s="8" t="s">
        <v>12</v>
      </c>
    </row>
    <row r="212" spans="1:11" x14ac:dyDescent="0.25">
      <c r="A212" s="4" t="s">
        <v>118</v>
      </c>
      <c r="B212" s="5" t="s">
        <v>94</v>
      </c>
      <c r="C212" s="4" t="s">
        <v>95</v>
      </c>
      <c r="D212" s="5" t="s">
        <v>158</v>
      </c>
      <c r="E212" s="4" t="s">
        <v>42</v>
      </c>
      <c r="F212" s="4" t="s">
        <v>43</v>
      </c>
      <c r="G212" s="4" t="s">
        <v>13</v>
      </c>
      <c r="H212" s="6">
        <v>6</v>
      </c>
      <c r="I212" s="7">
        <v>45000</v>
      </c>
      <c r="J212" s="7">
        <f t="shared" si="3"/>
        <v>270000</v>
      </c>
      <c r="K212" s="8" t="s">
        <v>12</v>
      </c>
    </row>
    <row r="213" spans="1:11" ht="28.5" x14ac:dyDescent="0.25">
      <c r="A213" s="4" t="s">
        <v>118</v>
      </c>
      <c r="B213" s="5" t="s">
        <v>94</v>
      </c>
      <c r="C213" s="4" t="s">
        <v>95</v>
      </c>
      <c r="D213" s="5" t="s">
        <v>158</v>
      </c>
      <c r="E213" s="4" t="s">
        <v>44</v>
      </c>
      <c r="F213" s="4" t="s">
        <v>45</v>
      </c>
      <c r="G213" s="4" t="s">
        <v>13</v>
      </c>
      <c r="H213" s="6">
        <v>5.5</v>
      </c>
      <c r="I213" s="7">
        <v>95000</v>
      </c>
      <c r="J213" s="7">
        <f t="shared" si="3"/>
        <v>522500</v>
      </c>
      <c r="K213" s="8" t="s">
        <v>12</v>
      </c>
    </row>
    <row r="214" spans="1:11" x14ac:dyDescent="0.25">
      <c r="A214" s="4" t="s">
        <v>118</v>
      </c>
      <c r="B214" s="5" t="s">
        <v>94</v>
      </c>
      <c r="C214" s="4" t="s">
        <v>95</v>
      </c>
      <c r="D214" s="5" t="s">
        <v>158</v>
      </c>
      <c r="E214" s="4" t="s">
        <v>46</v>
      </c>
      <c r="F214" s="4" t="s">
        <v>47</v>
      </c>
      <c r="G214" s="4" t="s">
        <v>13</v>
      </c>
      <c r="H214" s="6">
        <v>0.2</v>
      </c>
      <c r="I214" s="7">
        <v>70000</v>
      </c>
      <c r="J214" s="7">
        <f t="shared" si="3"/>
        <v>14000</v>
      </c>
      <c r="K214" s="8" t="s">
        <v>12</v>
      </c>
    </row>
    <row r="215" spans="1:11" x14ac:dyDescent="0.25">
      <c r="A215" s="4" t="s">
        <v>118</v>
      </c>
      <c r="B215" s="5" t="s">
        <v>94</v>
      </c>
      <c r="C215" s="4" t="s">
        <v>95</v>
      </c>
      <c r="D215" s="5" t="s">
        <v>158</v>
      </c>
      <c r="E215" s="4" t="s">
        <v>29</v>
      </c>
      <c r="F215" s="4" t="s">
        <v>30</v>
      </c>
      <c r="G215" s="4" t="s">
        <v>13</v>
      </c>
      <c r="H215" s="6">
        <v>1.8</v>
      </c>
      <c r="I215" s="7">
        <v>145000</v>
      </c>
      <c r="J215" s="7">
        <f t="shared" si="3"/>
        <v>261000</v>
      </c>
      <c r="K215" s="8" t="s">
        <v>12</v>
      </c>
    </row>
    <row r="216" spans="1:11" x14ac:dyDescent="0.25">
      <c r="A216" s="4" t="s">
        <v>118</v>
      </c>
      <c r="B216" s="5" t="s">
        <v>94</v>
      </c>
      <c r="C216" s="4" t="s">
        <v>95</v>
      </c>
      <c r="D216" s="5" t="s">
        <v>158</v>
      </c>
      <c r="E216" s="4" t="s">
        <v>27</v>
      </c>
      <c r="F216" s="4" t="s">
        <v>28</v>
      </c>
      <c r="G216" s="4" t="s">
        <v>13</v>
      </c>
      <c r="H216" s="6">
        <v>9.5</v>
      </c>
      <c r="I216" s="7">
        <v>21000</v>
      </c>
      <c r="J216" s="7">
        <f t="shared" si="3"/>
        <v>199500</v>
      </c>
      <c r="K216" s="8" t="s">
        <v>12</v>
      </c>
    </row>
    <row r="217" spans="1:11" x14ac:dyDescent="0.25">
      <c r="A217" s="4" t="s">
        <v>118</v>
      </c>
      <c r="B217" s="5" t="s">
        <v>94</v>
      </c>
      <c r="C217" s="4" t="s">
        <v>95</v>
      </c>
      <c r="D217" s="5" t="s">
        <v>158</v>
      </c>
      <c r="E217" s="4" t="s">
        <v>76</v>
      </c>
      <c r="F217" s="4" t="s">
        <v>77</v>
      </c>
      <c r="G217" s="4" t="s">
        <v>13</v>
      </c>
      <c r="H217" s="6">
        <v>5</v>
      </c>
      <c r="I217" s="7">
        <v>38000</v>
      </c>
      <c r="J217" s="7">
        <f t="shared" si="3"/>
        <v>190000</v>
      </c>
      <c r="K217" s="8" t="s">
        <v>12</v>
      </c>
    </row>
    <row r="218" spans="1:11" x14ac:dyDescent="0.25">
      <c r="A218" s="4" t="s">
        <v>118</v>
      </c>
      <c r="B218" s="5" t="s">
        <v>94</v>
      </c>
      <c r="C218" s="4" t="s">
        <v>95</v>
      </c>
      <c r="D218" s="5" t="s">
        <v>158</v>
      </c>
      <c r="E218" s="4" t="s">
        <v>14</v>
      </c>
      <c r="F218" s="4" t="s">
        <v>15</v>
      </c>
      <c r="G218" s="4" t="s">
        <v>13</v>
      </c>
      <c r="H218" s="6">
        <v>1.8</v>
      </c>
      <c r="I218" s="7">
        <v>50000</v>
      </c>
      <c r="J218" s="7">
        <f t="shared" si="3"/>
        <v>90000</v>
      </c>
      <c r="K218" s="8" t="s">
        <v>12</v>
      </c>
    </row>
    <row r="219" spans="1:11" x14ac:dyDescent="0.25">
      <c r="A219" s="4" t="s">
        <v>118</v>
      </c>
      <c r="B219" s="5" t="s">
        <v>94</v>
      </c>
      <c r="C219" s="4" t="s">
        <v>95</v>
      </c>
      <c r="D219" s="5" t="s">
        <v>158</v>
      </c>
      <c r="E219" s="4" t="s">
        <v>48</v>
      </c>
      <c r="F219" s="4" t="s">
        <v>49</v>
      </c>
      <c r="G219" s="4" t="s">
        <v>13</v>
      </c>
      <c r="H219" s="6">
        <v>11</v>
      </c>
      <c r="I219" s="7">
        <v>62000</v>
      </c>
      <c r="J219" s="7">
        <f t="shared" si="3"/>
        <v>682000</v>
      </c>
      <c r="K219" s="8" t="s">
        <v>12</v>
      </c>
    </row>
    <row r="220" spans="1:11" x14ac:dyDescent="0.25">
      <c r="A220" s="4" t="s">
        <v>120</v>
      </c>
      <c r="B220" s="5" t="s">
        <v>94</v>
      </c>
      <c r="C220" s="4" t="s">
        <v>95</v>
      </c>
      <c r="D220" s="5" t="s">
        <v>159</v>
      </c>
      <c r="E220" s="4" t="s">
        <v>31</v>
      </c>
      <c r="F220" s="4" t="s">
        <v>32</v>
      </c>
      <c r="G220" s="4" t="s">
        <v>33</v>
      </c>
      <c r="H220" s="6">
        <v>7</v>
      </c>
      <c r="I220" s="7">
        <v>8500</v>
      </c>
      <c r="J220" s="7">
        <f t="shared" si="3"/>
        <v>59500</v>
      </c>
      <c r="K220" s="8" t="s">
        <v>12</v>
      </c>
    </row>
    <row r="221" spans="1:11" x14ac:dyDescent="0.25">
      <c r="A221" s="4" t="s">
        <v>120</v>
      </c>
      <c r="B221" s="5" t="s">
        <v>94</v>
      </c>
      <c r="C221" s="4" t="s">
        <v>95</v>
      </c>
      <c r="D221" s="5" t="s">
        <v>159</v>
      </c>
      <c r="E221" s="4" t="s">
        <v>34</v>
      </c>
      <c r="F221" s="4" t="s">
        <v>35</v>
      </c>
      <c r="G221" s="4" t="s">
        <v>13</v>
      </c>
      <c r="H221" s="6">
        <v>1</v>
      </c>
      <c r="I221" s="7">
        <v>30000</v>
      </c>
      <c r="J221" s="7">
        <f t="shared" si="3"/>
        <v>30000</v>
      </c>
      <c r="K221" s="8" t="s">
        <v>12</v>
      </c>
    </row>
    <row r="222" spans="1:11" x14ac:dyDescent="0.25">
      <c r="A222" s="4" t="s">
        <v>120</v>
      </c>
      <c r="B222" s="5" t="s">
        <v>94</v>
      </c>
      <c r="C222" s="4" t="s">
        <v>95</v>
      </c>
      <c r="D222" s="5" t="s">
        <v>159</v>
      </c>
      <c r="E222" s="4" t="s">
        <v>62</v>
      </c>
      <c r="F222" s="4" t="s">
        <v>63</v>
      </c>
      <c r="G222" s="4" t="s">
        <v>13</v>
      </c>
      <c r="H222" s="6">
        <v>2.2000000000000002</v>
      </c>
      <c r="I222" s="7">
        <v>45000</v>
      </c>
      <c r="J222" s="7">
        <f t="shared" si="3"/>
        <v>99000.000000000015</v>
      </c>
      <c r="K222" s="8" t="s">
        <v>12</v>
      </c>
    </row>
    <row r="223" spans="1:11" x14ac:dyDescent="0.25">
      <c r="A223" s="4" t="s">
        <v>120</v>
      </c>
      <c r="B223" s="5" t="s">
        <v>94</v>
      </c>
      <c r="C223" s="4" t="s">
        <v>95</v>
      </c>
      <c r="D223" s="5" t="s">
        <v>159</v>
      </c>
      <c r="E223" s="4" t="s">
        <v>66</v>
      </c>
      <c r="F223" s="4" t="s">
        <v>67</v>
      </c>
      <c r="G223" s="4" t="s">
        <v>13</v>
      </c>
      <c r="H223" s="6">
        <v>11.7</v>
      </c>
      <c r="I223" s="7">
        <v>18000</v>
      </c>
      <c r="J223" s="7">
        <f t="shared" si="3"/>
        <v>210600</v>
      </c>
      <c r="K223" s="8" t="s">
        <v>12</v>
      </c>
    </row>
    <row r="224" spans="1:11" x14ac:dyDescent="0.25">
      <c r="A224" s="4" t="s">
        <v>120</v>
      </c>
      <c r="B224" s="5" t="s">
        <v>94</v>
      </c>
      <c r="C224" s="4" t="s">
        <v>95</v>
      </c>
      <c r="D224" s="5" t="s">
        <v>159</v>
      </c>
      <c r="E224" s="4" t="s">
        <v>54</v>
      </c>
      <c r="F224" s="4" t="s">
        <v>55</v>
      </c>
      <c r="G224" s="4" t="s">
        <v>13</v>
      </c>
      <c r="H224" s="6">
        <v>0.6</v>
      </c>
      <c r="I224" s="7">
        <v>75000</v>
      </c>
      <c r="J224" s="7">
        <f t="shared" si="3"/>
        <v>45000</v>
      </c>
      <c r="K224" s="8" t="s">
        <v>12</v>
      </c>
    </row>
    <row r="225" spans="1:11" x14ac:dyDescent="0.25">
      <c r="A225" s="4" t="s">
        <v>120</v>
      </c>
      <c r="B225" s="5" t="s">
        <v>94</v>
      </c>
      <c r="C225" s="4" t="s">
        <v>95</v>
      </c>
      <c r="D225" s="5" t="s">
        <v>159</v>
      </c>
      <c r="E225" s="4" t="s">
        <v>25</v>
      </c>
      <c r="F225" s="4" t="s">
        <v>26</v>
      </c>
      <c r="G225" s="4" t="s">
        <v>13</v>
      </c>
      <c r="H225" s="6">
        <v>0.5</v>
      </c>
      <c r="I225" s="7">
        <v>22000</v>
      </c>
      <c r="J225" s="7">
        <f t="shared" si="3"/>
        <v>11000</v>
      </c>
      <c r="K225" s="8" t="s">
        <v>12</v>
      </c>
    </row>
    <row r="226" spans="1:11" x14ac:dyDescent="0.25">
      <c r="A226" s="4" t="s">
        <v>120</v>
      </c>
      <c r="B226" s="5" t="s">
        <v>94</v>
      </c>
      <c r="C226" s="4" t="s">
        <v>95</v>
      </c>
      <c r="D226" s="5" t="s">
        <v>159</v>
      </c>
      <c r="E226" s="4" t="s">
        <v>16</v>
      </c>
      <c r="F226" s="4" t="s">
        <v>17</v>
      </c>
      <c r="G226" s="4" t="s">
        <v>13</v>
      </c>
      <c r="H226" s="6">
        <v>2</v>
      </c>
      <c r="I226" s="7">
        <v>47000</v>
      </c>
      <c r="J226" s="7">
        <f t="shared" si="3"/>
        <v>94000</v>
      </c>
      <c r="K226" s="8" t="s">
        <v>12</v>
      </c>
    </row>
    <row r="227" spans="1:11" x14ac:dyDescent="0.25">
      <c r="A227" s="4" t="s">
        <v>120</v>
      </c>
      <c r="B227" s="5" t="s">
        <v>94</v>
      </c>
      <c r="C227" s="4" t="s">
        <v>95</v>
      </c>
      <c r="D227" s="5" t="s">
        <v>159</v>
      </c>
      <c r="E227" s="4" t="s">
        <v>50</v>
      </c>
      <c r="F227" s="4" t="s">
        <v>51</v>
      </c>
      <c r="G227" s="4" t="s">
        <v>13</v>
      </c>
      <c r="H227" s="6">
        <v>28.5</v>
      </c>
      <c r="I227" s="7">
        <v>18000</v>
      </c>
      <c r="J227" s="7">
        <f t="shared" si="3"/>
        <v>513000</v>
      </c>
      <c r="K227" s="8" t="s">
        <v>12</v>
      </c>
    </row>
    <row r="228" spans="1:11" x14ac:dyDescent="0.25">
      <c r="A228" s="4" t="s">
        <v>120</v>
      </c>
      <c r="B228" s="5" t="s">
        <v>94</v>
      </c>
      <c r="C228" s="4" t="s">
        <v>95</v>
      </c>
      <c r="D228" s="5" t="s">
        <v>159</v>
      </c>
      <c r="E228" s="4" t="s">
        <v>18</v>
      </c>
      <c r="F228" s="4" t="s">
        <v>19</v>
      </c>
      <c r="G228" s="4" t="s">
        <v>13</v>
      </c>
      <c r="H228" s="6">
        <v>1</v>
      </c>
      <c r="I228" s="7">
        <v>55000</v>
      </c>
      <c r="J228" s="7">
        <f t="shared" si="3"/>
        <v>55000</v>
      </c>
      <c r="K228" s="8" t="s">
        <v>12</v>
      </c>
    </row>
    <row r="229" spans="1:11" x14ac:dyDescent="0.25">
      <c r="A229" s="4" t="s">
        <v>120</v>
      </c>
      <c r="B229" s="5" t="s">
        <v>94</v>
      </c>
      <c r="C229" s="4" t="s">
        <v>95</v>
      </c>
      <c r="D229" s="5" t="s">
        <v>159</v>
      </c>
      <c r="E229" s="4" t="s">
        <v>52</v>
      </c>
      <c r="F229" s="4" t="s">
        <v>53</v>
      </c>
      <c r="G229" s="4" t="s">
        <v>13</v>
      </c>
      <c r="H229" s="6">
        <v>0.5</v>
      </c>
      <c r="I229" s="7">
        <v>65000</v>
      </c>
      <c r="J229" s="7">
        <f t="shared" si="3"/>
        <v>32500</v>
      </c>
      <c r="K229" s="8" t="s">
        <v>12</v>
      </c>
    </row>
    <row r="230" spans="1:11" x14ac:dyDescent="0.25">
      <c r="A230" s="4" t="s">
        <v>120</v>
      </c>
      <c r="B230" s="5" t="s">
        <v>94</v>
      </c>
      <c r="C230" s="4" t="s">
        <v>95</v>
      </c>
      <c r="D230" s="5" t="s">
        <v>159</v>
      </c>
      <c r="E230" s="4" t="s">
        <v>70</v>
      </c>
      <c r="F230" s="4" t="s">
        <v>71</v>
      </c>
      <c r="G230" s="4" t="s">
        <v>13</v>
      </c>
      <c r="H230" s="6">
        <v>2</v>
      </c>
      <c r="I230" s="7">
        <v>30000</v>
      </c>
      <c r="J230" s="7">
        <f t="shared" si="3"/>
        <v>60000</v>
      </c>
      <c r="K230" s="8" t="s">
        <v>12</v>
      </c>
    </row>
    <row r="231" spans="1:11" x14ac:dyDescent="0.25">
      <c r="A231" s="4" t="s">
        <v>120</v>
      </c>
      <c r="B231" s="5" t="s">
        <v>94</v>
      </c>
      <c r="C231" s="4" t="s">
        <v>95</v>
      </c>
      <c r="D231" s="5" t="s">
        <v>159</v>
      </c>
      <c r="E231" s="4" t="s">
        <v>74</v>
      </c>
      <c r="F231" s="4" t="s">
        <v>75</v>
      </c>
      <c r="G231" s="4" t="s">
        <v>13</v>
      </c>
      <c r="H231" s="6">
        <v>4.5</v>
      </c>
      <c r="I231" s="7">
        <v>22000</v>
      </c>
      <c r="J231" s="7">
        <f t="shared" si="3"/>
        <v>99000</v>
      </c>
      <c r="K231" s="8" t="s">
        <v>12</v>
      </c>
    </row>
    <row r="232" spans="1:11" x14ac:dyDescent="0.25">
      <c r="A232" s="4" t="s">
        <v>120</v>
      </c>
      <c r="B232" s="5" t="s">
        <v>94</v>
      </c>
      <c r="C232" s="4" t="s">
        <v>95</v>
      </c>
      <c r="D232" s="5" t="s">
        <v>159</v>
      </c>
      <c r="E232" s="4" t="s">
        <v>36</v>
      </c>
      <c r="F232" s="4" t="s">
        <v>37</v>
      </c>
      <c r="G232" s="4" t="s">
        <v>13</v>
      </c>
      <c r="H232" s="6">
        <v>3</v>
      </c>
      <c r="I232" s="7">
        <v>145000</v>
      </c>
      <c r="J232" s="7">
        <f t="shared" si="3"/>
        <v>435000</v>
      </c>
      <c r="K232" s="8" t="s">
        <v>12</v>
      </c>
    </row>
    <row r="233" spans="1:11" x14ac:dyDescent="0.25">
      <c r="A233" s="4" t="s">
        <v>120</v>
      </c>
      <c r="B233" s="5" t="s">
        <v>94</v>
      </c>
      <c r="C233" s="4" t="s">
        <v>95</v>
      </c>
      <c r="D233" s="5" t="s">
        <v>159</v>
      </c>
      <c r="E233" s="4" t="s">
        <v>38</v>
      </c>
      <c r="F233" s="4" t="s">
        <v>39</v>
      </c>
      <c r="G233" s="4" t="s">
        <v>13</v>
      </c>
      <c r="H233" s="6">
        <v>6</v>
      </c>
      <c r="I233" s="7">
        <v>47000</v>
      </c>
      <c r="J233" s="7">
        <f t="shared" si="3"/>
        <v>282000</v>
      </c>
      <c r="K233" s="8" t="s">
        <v>12</v>
      </c>
    </row>
    <row r="234" spans="1:11" x14ac:dyDescent="0.25">
      <c r="A234" s="4" t="s">
        <v>120</v>
      </c>
      <c r="B234" s="5" t="s">
        <v>94</v>
      </c>
      <c r="C234" s="4" t="s">
        <v>95</v>
      </c>
      <c r="D234" s="5" t="s">
        <v>159</v>
      </c>
      <c r="E234" s="4" t="s">
        <v>40</v>
      </c>
      <c r="F234" s="4" t="s">
        <v>41</v>
      </c>
      <c r="G234" s="4" t="s">
        <v>13</v>
      </c>
      <c r="H234" s="6">
        <v>1</v>
      </c>
      <c r="I234" s="7">
        <v>80000</v>
      </c>
      <c r="J234" s="7">
        <f t="shared" si="3"/>
        <v>80000</v>
      </c>
      <c r="K234" s="8" t="s">
        <v>12</v>
      </c>
    </row>
    <row r="235" spans="1:11" x14ac:dyDescent="0.25">
      <c r="A235" s="4" t="s">
        <v>120</v>
      </c>
      <c r="B235" s="5" t="s">
        <v>94</v>
      </c>
      <c r="C235" s="4" t="s">
        <v>95</v>
      </c>
      <c r="D235" s="5" t="s">
        <v>159</v>
      </c>
      <c r="E235" s="4" t="s">
        <v>42</v>
      </c>
      <c r="F235" s="4" t="s">
        <v>43</v>
      </c>
      <c r="G235" s="4" t="s">
        <v>13</v>
      </c>
      <c r="H235" s="6">
        <v>6</v>
      </c>
      <c r="I235" s="7">
        <v>45000</v>
      </c>
      <c r="J235" s="7">
        <f t="shared" si="3"/>
        <v>270000</v>
      </c>
      <c r="K235" s="8" t="s">
        <v>12</v>
      </c>
    </row>
    <row r="236" spans="1:11" ht="28.5" x14ac:dyDescent="0.25">
      <c r="A236" s="4" t="s">
        <v>120</v>
      </c>
      <c r="B236" s="5" t="s">
        <v>94</v>
      </c>
      <c r="C236" s="4" t="s">
        <v>95</v>
      </c>
      <c r="D236" s="5" t="s">
        <v>159</v>
      </c>
      <c r="E236" s="4" t="s">
        <v>44</v>
      </c>
      <c r="F236" s="4" t="s">
        <v>45</v>
      </c>
      <c r="G236" s="4" t="s">
        <v>13</v>
      </c>
      <c r="H236" s="6">
        <v>6</v>
      </c>
      <c r="I236" s="7">
        <v>95000</v>
      </c>
      <c r="J236" s="7">
        <f t="shared" si="3"/>
        <v>570000</v>
      </c>
      <c r="K236" s="8" t="s">
        <v>12</v>
      </c>
    </row>
    <row r="237" spans="1:11" x14ac:dyDescent="0.25">
      <c r="A237" s="4" t="s">
        <v>120</v>
      </c>
      <c r="B237" s="5" t="s">
        <v>94</v>
      </c>
      <c r="C237" s="4" t="s">
        <v>95</v>
      </c>
      <c r="D237" s="5" t="s">
        <v>159</v>
      </c>
      <c r="E237" s="4" t="s">
        <v>20</v>
      </c>
      <c r="F237" s="4" t="s">
        <v>21</v>
      </c>
      <c r="G237" s="4" t="s">
        <v>13</v>
      </c>
      <c r="H237" s="6">
        <v>1</v>
      </c>
      <c r="I237" s="7">
        <v>45000</v>
      </c>
      <c r="J237" s="7">
        <f t="shared" si="3"/>
        <v>45000</v>
      </c>
      <c r="K237" s="8" t="s">
        <v>12</v>
      </c>
    </row>
    <row r="238" spans="1:11" x14ac:dyDescent="0.25">
      <c r="A238" s="4" t="s">
        <v>120</v>
      </c>
      <c r="B238" s="5" t="s">
        <v>94</v>
      </c>
      <c r="C238" s="4" t="s">
        <v>95</v>
      </c>
      <c r="D238" s="5" t="s">
        <v>159</v>
      </c>
      <c r="E238" s="4" t="s">
        <v>27</v>
      </c>
      <c r="F238" s="4" t="s">
        <v>28</v>
      </c>
      <c r="G238" s="4" t="s">
        <v>13</v>
      </c>
      <c r="H238" s="6">
        <v>9</v>
      </c>
      <c r="I238" s="7">
        <v>21000</v>
      </c>
      <c r="J238" s="7">
        <f t="shared" si="3"/>
        <v>189000</v>
      </c>
      <c r="K238" s="8" t="s">
        <v>12</v>
      </c>
    </row>
    <row r="239" spans="1:11" x14ac:dyDescent="0.25">
      <c r="A239" s="4" t="s">
        <v>120</v>
      </c>
      <c r="B239" s="5" t="s">
        <v>94</v>
      </c>
      <c r="C239" s="4" t="s">
        <v>95</v>
      </c>
      <c r="D239" s="5" t="s">
        <v>159</v>
      </c>
      <c r="E239" s="4" t="s">
        <v>76</v>
      </c>
      <c r="F239" s="4" t="s">
        <v>77</v>
      </c>
      <c r="G239" s="4" t="s">
        <v>13</v>
      </c>
      <c r="H239" s="6">
        <v>7.5</v>
      </c>
      <c r="I239" s="7">
        <v>38000</v>
      </c>
      <c r="J239" s="7">
        <f t="shared" si="3"/>
        <v>285000</v>
      </c>
      <c r="K239" s="8" t="s">
        <v>12</v>
      </c>
    </row>
    <row r="240" spans="1:11" x14ac:dyDescent="0.25">
      <c r="A240" s="4" t="s">
        <v>120</v>
      </c>
      <c r="B240" s="5" t="s">
        <v>94</v>
      </c>
      <c r="C240" s="4" t="s">
        <v>95</v>
      </c>
      <c r="D240" s="5" t="s">
        <v>159</v>
      </c>
      <c r="E240" s="4" t="s">
        <v>14</v>
      </c>
      <c r="F240" s="4" t="s">
        <v>15</v>
      </c>
      <c r="G240" s="4" t="s">
        <v>13</v>
      </c>
      <c r="H240" s="6">
        <v>1</v>
      </c>
      <c r="I240" s="7">
        <v>50000</v>
      </c>
      <c r="J240" s="7">
        <f t="shared" si="3"/>
        <v>50000</v>
      </c>
      <c r="K240" s="8" t="s">
        <v>12</v>
      </c>
    </row>
    <row r="241" spans="1:11" x14ac:dyDescent="0.25">
      <c r="A241" s="4" t="s">
        <v>120</v>
      </c>
      <c r="B241" s="5" t="s">
        <v>94</v>
      </c>
      <c r="C241" s="4" t="s">
        <v>95</v>
      </c>
      <c r="D241" s="5" t="s">
        <v>159</v>
      </c>
      <c r="E241" s="4" t="s">
        <v>48</v>
      </c>
      <c r="F241" s="4" t="s">
        <v>49</v>
      </c>
      <c r="G241" s="4" t="s">
        <v>13</v>
      </c>
      <c r="H241" s="6">
        <v>11</v>
      </c>
      <c r="I241" s="7">
        <v>62000</v>
      </c>
      <c r="J241" s="7">
        <f t="shared" si="3"/>
        <v>682000</v>
      </c>
      <c r="K241" s="8" t="s">
        <v>12</v>
      </c>
    </row>
    <row r="242" spans="1:11" x14ac:dyDescent="0.25">
      <c r="A242" s="4" t="s">
        <v>123</v>
      </c>
      <c r="B242" s="5" t="s">
        <v>94</v>
      </c>
      <c r="C242" s="4" t="s">
        <v>95</v>
      </c>
      <c r="D242" s="5" t="s">
        <v>160</v>
      </c>
      <c r="E242" s="4" t="s">
        <v>62</v>
      </c>
      <c r="F242" s="4" t="s">
        <v>63</v>
      </c>
      <c r="G242" s="4" t="s">
        <v>13</v>
      </c>
      <c r="H242" s="6">
        <v>2.1</v>
      </c>
      <c r="I242" s="7">
        <v>45000</v>
      </c>
      <c r="J242" s="7">
        <f t="shared" si="3"/>
        <v>94500</v>
      </c>
      <c r="K242" s="8" t="s">
        <v>12</v>
      </c>
    </row>
    <row r="243" spans="1:11" x14ac:dyDescent="0.25">
      <c r="A243" s="4" t="s">
        <v>123</v>
      </c>
      <c r="B243" s="5" t="s">
        <v>94</v>
      </c>
      <c r="C243" s="4" t="s">
        <v>95</v>
      </c>
      <c r="D243" s="5" t="s">
        <v>160</v>
      </c>
      <c r="E243" s="4" t="s">
        <v>66</v>
      </c>
      <c r="F243" s="4" t="s">
        <v>67</v>
      </c>
      <c r="G243" s="4" t="s">
        <v>13</v>
      </c>
      <c r="H243" s="6">
        <v>8.5</v>
      </c>
      <c r="I243" s="7">
        <v>18000</v>
      </c>
      <c r="J243" s="7">
        <f t="shared" si="3"/>
        <v>153000</v>
      </c>
      <c r="K243" s="8" t="s">
        <v>12</v>
      </c>
    </row>
    <row r="244" spans="1:11" x14ac:dyDescent="0.25">
      <c r="A244" s="4" t="s">
        <v>123</v>
      </c>
      <c r="B244" s="5" t="s">
        <v>94</v>
      </c>
      <c r="C244" s="4" t="s">
        <v>95</v>
      </c>
      <c r="D244" s="5" t="s">
        <v>160</v>
      </c>
      <c r="E244" s="4" t="s">
        <v>50</v>
      </c>
      <c r="F244" s="4" t="s">
        <v>51</v>
      </c>
      <c r="G244" s="4" t="s">
        <v>13</v>
      </c>
      <c r="H244" s="6">
        <v>28</v>
      </c>
      <c r="I244" s="7">
        <v>18000</v>
      </c>
      <c r="J244" s="7">
        <f t="shared" si="3"/>
        <v>504000</v>
      </c>
      <c r="K244" s="8" t="s">
        <v>12</v>
      </c>
    </row>
    <row r="245" spans="1:11" x14ac:dyDescent="0.25">
      <c r="A245" s="4" t="s">
        <v>123</v>
      </c>
      <c r="B245" s="5" t="s">
        <v>94</v>
      </c>
      <c r="C245" s="4" t="s">
        <v>95</v>
      </c>
      <c r="D245" s="5" t="s">
        <v>160</v>
      </c>
      <c r="E245" s="4" t="s">
        <v>18</v>
      </c>
      <c r="F245" s="4" t="s">
        <v>19</v>
      </c>
      <c r="G245" s="4" t="s">
        <v>13</v>
      </c>
      <c r="H245" s="6">
        <v>1</v>
      </c>
      <c r="I245" s="7">
        <v>55000</v>
      </c>
      <c r="J245" s="7">
        <f t="shared" si="3"/>
        <v>55000</v>
      </c>
      <c r="K245" s="8" t="s">
        <v>12</v>
      </c>
    </row>
    <row r="246" spans="1:11" x14ac:dyDescent="0.25">
      <c r="A246" s="4" t="s">
        <v>123</v>
      </c>
      <c r="B246" s="5" t="s">
        <v>94</v>
      </c>
      <c r="C246" s="4" t="s">
        <v>95</v>
      </c>
      <c r="D246" s="5" t="s">
        <v>160</v>
      </c>
      <c r="E246" s="4" t="s">
        <v>72</v>
      </c>
      <c r="F246" s="4" t="s">
        <v>73</v>
      </c>
      <c r="G246" s="4" t="s">
        <v>13</v>
      </c>
      <c r="H246" s="6">
        <v>1.1000000000000001</v>
      </c>
      <c r="I246" s="7">
        <v>18000</v>
      </c>
      <c r="J246" s="7">
        <f t="shared" si="3"/>
        <v>19800</v>
      </c>
      <c r="K246" s="8" t="s">
        <v>12</v>
      </c>
    </row>
    <row r="247" spans="1:11" x14ac:dyDescent="0.25">
      <c r="A247" s="4" t="s">
        <v>123</v>
      </c>
      <c r="B247" s="5" t="s">
        <v>94</v>
      </c>
      <c r="C247" s="4" t="s">
        <v>95</v>
      </c>
      <c r="D247" s="5" t="s">
        <v>160</v>
      </c>
      <c r="E247" s="4" t="s">
        <v>74</v>
      </c>
      <c r="F247" s="4" t="s">
        <v>75</v>
      </c>
      <c r="G247" s="4" t="s">
        <v>13</v>
      </c>
      <c r="H247" s="6">
        <v>4.5</v>
      </c>
      <c r="I247" s="7">
        <v>22000</v>
      </c>
      <c r="J247" s="7">
        <f t="shared" si="3"/>
        <v>99000</v>
      </c>
      <c r="K247" s="8" t="s">
        <v>12</v>
      </c>
    </row>
    <row r="248" spans="1:11" x14ac:dyDescent="0.25">
      <c r="A248" s="4" t="s">
        <v>123</v>
      </c>
      <c r="B248" s="5" t="s">
        <v>94</v>
      </c>
      <c r="C248" s="4" t="s">
        <v>95</v>
      </c>
      <c r="D248" s="5" t="s">
        <v>160</v>
      </c>
      <c r="E248" s="4" t="s">
        <v>36</v>
      </c>
      <c r="F248" s="4" t="s">
        <v>37</v>
      </c>
      <c r="G248" s="4" t="s">
        <v>13</v>
      </c>
      <c r="H248" s="6">
        <v>3</v>
      </c>
      <c r="I248" s="7">
        <v>145000</v>
      </c>
      <c r="J248" s="7">
        <f t="shared" si="3"/>
        <v>435000</v>
      </c>
      <c r="K248" s="8" t="s">
        <v>12</v>
      </c>
    </row>
    <row r="249" spans="1:11" x14ac:dyDescent="0.25">
      <c r="A249" s="4" t="s">
        <v>123</v>
      </c>
      <c r="B249" s="5" t="s">
        <v>94</v>
      </c>
      <c r="C249" s="4" t="s">
        <v>95</v>
      </c>
      <c r="D249" s="5" t="s">
        <v>160</v>
      </c>
      <c r="E249" s="4" t="s">
        <v>38</v>
      </c>
      <c r="F249" s="4" t="s">
        <v>39</v>
      </c>
      <c r="G249" s="4" t="s">
        <v>13</v>
      </c>
      <c r="H249" s="6">
        <v>6</v>
      </c>
      <c r="I249" s="7">
        <v>47000</v>
      </c>
      <c r="J249" s="7">
        <f t="shared" si="3"/>
        <v>282000</v>
      </c>
      <c r="K249" s="8" t="s">
        <v>12</v>
      </c>
    </row>
    <row r="250" spans="1:11" x14ac:dyDescent="0.25">
      <c r="A250" s="4" t="s">
        <v>123</v>
      </c>
      <c r="B250" s="5" t="s">
        <v>94</v>
      </c>
      <c r="C250" s="4" t="s">
        <v>95</v>
      </c>
      <c r="D250" s="5" t="s">
        <v>160</v>
      </c>
      <c r="E250" s="4" t="s">
        <v>42</v>
      </c>
      <c r="F250" s="4" t="s">
        <v>43</v>
      </c>
      <c r="G250" s="4" t="s">
        <v>13</v>
      </c>
      <c r="H250" s="6">
        <v>5</v>
      </c>
      <c r="I250" s="7">
        <v>45000</v>
      </c>
      <c r="J250" s="7">
        <f t="shared" si="3"/>
        <v>225000</v>
      </c>
      <c r="K250" s="8" t="s">
        <v>12</v>
      </c>
    </row>
    <row r="251" spans="1:11" ht="28.5" x14ac:dyDescent="0.25">
      <c r="A251" s="4" t="s">
        <v>123</v>
      </c>
      <c r="B251" s="5" t="s">
        <v>94</v>
      </c>
      <c r="C251" s="4" t="s">
        <v>95</v>
      </c>
      <c r="D251" s="5" t="s">
        <v>160</v>
      </c>
      <c r="E251" s="4" t="s">
        <v>44</v>
      </c>
      <c r="F251" s="4" t="s">
        <v>45</v>
      </c>
      <c r="G251" s="4" t="s">
        <v>13</v>
      </c>
      <c r="H251" s="6">
        <v>5</v>
      </c>
      <c r="I251" s="7">
        <v>95000</v>
      </c>
      <c r="J251" s="7">
        <f t="shared" si="3"/>
        <v>475000</v>
      </c>
      <c r="K251" s="8" t="s">
        <v>12</v>
      </c>
    </row>
    <row r="252" spans="1:11" x14ac:dyDescent="0.25">
      <c r="A252" s="4" t="s">
        <v>123</v>
      </c>
      <c r="B252" s="5" t="s">
        <v>94</v>
      </c>
      <c r="C252" s="4" t="s">
        <v>95</v>
      </c>
      <c r="D252" s="5" t="s">
        <v>160</v>
      </c>
      <c r="E252" s="4" t="s">
        <v>29</v>
      </c>
      <c r="F252" s="4" t="s">
        <v>30</v>
      </c>
      <c r="G252" s="4" t="s">
        <v>13</v>
      </c>
      <c r="H252" s="6">
        <v>1.3</v>
      </c>
      <c r="I252" s="7">
        <v>145000</v>
      </c>
      <c r="J252" s="7">
        <f t="shared" si="3"/>
        <v>188500</v>
      </c>
      <c r="K252" s="8" t="s">
        <v>12</v>
      </c>
    </row>
    <row r="253" spans="1:11" x14ac:dyDescent="0.25">
      <c r="A253" s="4" t="s">
        <v>123</v>
      </c>
      <c r="B253" s="5" t="s">
        <v>94</v>
      </c>
      <c r="C253" s="4" t="s">
        <v>95</v>
      </c>
      <c r="D253" s="5" t="s">
        <v>160</v>
      </c>
      <c r="E253" s="4" t="s">
        <v>27</v>
      </c>
      <c r="F253" s="4" t="s">
        <v>28</v>
      </c>
      <c r="G253" s="4" t="s">
        <v>13</v>
      </c>
      <c r="H253" s="6">
        <v>4.5</v>
      </c>
      <c r="I253" s="7">
        <v>21000</v>
      </c>
      <c r="J253" s="7">
        <f t="shared" si="3"/>
        <v>94500</v>
      </c>
      <c r="K253" s="8" t="s">
        <v>12</v>
      </c>
    </row>
    <row r="254" spans="1:11" x14ac:dyDescent="0.25">
      <c r="A254" s="4" t="s">
        <v>123</v>
      </c>
      <c r="B254" s="5" t="s">
        <v>94</v>
      </c>
      <c r="C254" s="4" t="s">
        <v>95</v>
      </c>
      <c r="D254" s="5" t="s">
        <v>160</v>
      </c>
      <c r="E254" s="4" t="s">
        <v>76</v>
      </c>
      <c r="F254" s="4" t="s">
        <v>77</v>
      </c>
      <c r="G254" s="4" t="s">
        <v>13</v>
      </c>
      <c r="H254" s="6">
        <v>7.5</v>
      </c>
      <c r="I254" s="7">
        <v>38000</v>
      </c>
      <c r="J254" s="7">
        <f t="shared" si="3"/>
        <v>285000</v>
      </c>
      <c r="K254" s="8" t="s">
        <v>12</v>
      </c>
    </row>
    <row r="255" spans="1:11" x14ac:dyDescent="0.25">
      <c r="A255" s="4" t="s">
        <v>123</v>
      </c>
      <c r="B255" s="5" t="s">
        <v>94</v>
      </c>
      <c r="C255" s="4" t="s">
        <v>95</v>
      </c>
      <c r="D255" s="5" t="s">
        <v>160</v>
      </c>
      <c r="E255" s="4" t="s">
        <v>14</v>
      </c>
      <c r="F255" s="4" t="s">
        <v>15</v>
      </c>
      <c r="G255" s="4" t="s">
        <v>13</v>
      </c>
      <c r="H255" s="6">
        <v>1.8</v>
      </c>
      <c r="I255" s="7">
        <v>50000</v>
      </c>
      <c r="J255" s="7">
        <f t="shared" si="3"/>
        <v>90000</v>
      </c>
      <c r="K255" s="8" t="s">
        <v>12</v>
      </c>
    </row>
    <row r="256" spans="1:11" x14ac:dyDescent="0.25">
      <c r="A256" s="4" t="s">
        <v>123</v>
      </c>
      <c r="B256" s="5" t="s">
        <v>94</v>
      </c>
      <c r="C256" s="4" t="s">
        <v>95</v>
      </c>
      <c r="D256" s="5" t="s">
        <v>160</v>
      </c>
      <c r="E256" s="4" t="s">
        <v>48</v>
      </c>
      <c r="F256" s="4" t="s">
        <v>49</v>
      </c>
      <c r="G256" s="4" t="s">
        <v>13</v>
      </c>
      <c r="H256" s="6">
        <v>10</v>
      </c>
      <c r="I256" s="7">
        <v>62000</v>
      </c>
      <c r="J256" s="7">
        <f t="shared" si="3"/>
        <v>620000</v>
      </c>
      <c r="K256" s="8" t="s">
        <v>12</v>
      </c>
    </row>
    <row r="257" spans="1:11" x14ac:dyDescent="0.25">
      <c r="A257" s="4" t="s">
        <v>125</v>
      </c>
      <c r="B257" s="5" t="s">
        <v>94</v>
      </c>
      <c r="C257" s="4" t="s">
        <v>95</v>
      </c>
      <c r="D257" s="5" t="s">
        <v>161</v>
      </c>
      <c r="E257" s="4" t="s">
        <v>62</v>
      </c>
      <c r="F257" s="4" t="s">
        <v>63</v>
      </c>
      <c r="G257" s="4" t="s">
        <v>13</v>
      </c>
      <c r="H257" s="6">
        <v>1</v>
      </c>
      <c r="I257" s="7">
        <v>45000</v>
      </c>
      <c r="J257" s="7">
        <f t="shared" si="3"/>
        <v>45000</v>
      </c>
      <c r="K257" s="8" t="s">
        <v>12</v>
      </c>
    </row>
    <row r="258" spans="1:11" x14ac:dyDescent="0.25">
      <c r="A258" s="4" t="s">
        <v>125</v>
      </c>
      <c r="B258" s="5" t="s">
        <v>94</v>
      </c>
      <c r="C258" s="4" t="s">
        <v>95</v>
      </c>
      <c r="D258" s="5" t="s">
        <v>161</v>
      </c>
      <c r="E258" s="4" t="s">
        <v>66</v>
      </c>
      <c r="F258" s="4" t="s">
        <v>67</v>
      </c>
      <c r="G258" s="4" t="s">
        <v>13</v>
      </c>
      <c r="H258" s="6">
        <v>13</v>
      </c>
      <c r="I258" s="7">
        <v>18000</v>
      </c>
      <c r="J258" s="7">
        <f t="shared" si="3"/>
        <v>234000</v>
      </c>
      <c r="K258" s="8" t="s">
        <v>12</v>
      </c>
    </row>
    <row r="259" spans="1:11" x14ac:dyDescent="0.25">
      <c r="A259" s="4" t="s">
        <v>125</v>
      </c>
      <c r="B259" s="5" t="s">
        <v>94</v>
      </c>
      <c r="C259" s="4" t="s">
        <v>95</v>
      </c>
      <c r="D259" s="5" t="s">
        <v>161</v>
      </c>
      <c r="E259" s="4" t="s">
        <v>16</v>
      </c>
      <c r="F259" s="4" t="s">
        <v>17</v>
      </c>
      <c r="G259" s="4" t="s">
        <v>13</v>
      </c>
      <c r="H259" s="6">
        <v>0.6</v>
      </c>
      <c r="I259" s="7">
        <v>47000</v>
      </c>
      <c r="J259" s="7">
        <f t="shared" si="3"/>
        <v>28200</v>
      </c>
      <c r="K259" s="8" t="s">
        <v>12</v>
      </c>
    </row>
    <row r="260" spans="1:11" x14ac:dyDescent="0.25">
      <c r="A260" s="4" t="s">
        <v>125</v>
      </c>
      <c r="B260" s="5" t="s">
        <v>94</v>
      </c>
      <c r="C260" s="4" t="s">
        <v>95</v>
      </c>
      <c r="D260" s="5" t="s">
        <v>161</v>
      </c>
      <c r="E260" s="4" t="s">
        <v>50</v>
      </c>
      <c r="F260" s="4" t="s">
        <v>51</v>
      </c>
      <c r="G260" s="4" t="s">
        <v>13</v>
      </c>
      <c r="H260" s="6">
        <v>27</v>
      </c>
      <c r="I260" s="7">
        <v>18000</v>
      </c>
      <c r="J260" s="7">
        <f t="shared" si="3"/>
        <v>486000</v>
      </c>
      <c r="K260" s="8" t="s">
        <v>12</v>
      </c>
    </row>
    <row r="261" spans="1:11" x14ac:dyDescent="0.25">
      <c r="A261" s="4" t="s">
        <v>125</v>
      </c>
      <c r="B261" s="5" t="s">
        <v>94</v>
      </c>
      <c r="C261" s="4" t="s">
        <v>95</v>
      </c>
      <c r="D261" s="5" t="s">
        <v>161</v>
      </c>
      <c r="E261" s="4" t="s">
        <v>18</v>
      </c>
      <c r="F261" s="4" t="s">
        <v>19</v>
      </c>
      <c r="G261" s="4" t="s">
        <v>13</v>
      </c>
      <c r="H261" s="6">
        <v>2</v>
      </c>
      <c r="I261" s="7">
        <v>55000</v>
      </c>
      <c r="J261" s="7">
        <f t="shared" si="3"/>
        <v>110000</v>
      </c>
      <c r="K261" s="8" t="s">
        <v>12</v>
      </c>
    </row>
    <row r="262" spans="1:11" x14ac:dyDescent="0.25">
      <c r="A262" s="4" t="s">
        <v>125</v>
      </c>
      <c r="B262" s="5" t="s">
        <v>94</v>
      </c>
      <c r="C262" s="4" t="s">
        <v>95</v>
      </c>
      <c r="D262" s="5" t="s">
        <v>161</v>
      </c>
      <c r="E262" s="4" t="s">
        <v>70</v>
      </c>
      <c r="F262" s="4" t="s">
        <v>71</v>
      </c>
      <c r="G262" s="4" t="s">
        <v>13</v>
      </c>
      <c r="H262" s="6">
        <v>1.7</v>
      </c>
      <c r="I262" s="7">
        <v>30000</v>
      </c>
      <c r="J262" s="7">
        <f t="shared" si="3"/>
        <v>51000</v>
      </c>
      <c r="K262" s="8" t="s">
        <v>12</v>
      </c>
    </row>
    <row r="263" spans="1:11" x14ac:dyDescent="0.25">
      <c r="A263" s="4" t="s">
        <v>125</v>
      </c>
      <c r="B263" s="5" t="s">
        <v>94</v>
      </c>
      <c r="C263" s="4" t="s">
        <v>95</v>
      </c>
      <c r="D263" s="5" t="s">
        <v>161</v>
      </c>
      <c r="E263" s="4" t="s">
        <v>74</v>
      </c>
      <c r="F263" s="4" t="s">
        <v>75</v>
      </c>
      <c r="G263" s="4" t="s">
        <v>13</v>
      </c>
      <c r="H263" s="6">
        <v>4.5999999999999996</v>
      </c>
      <c r="I263" s="7">
        <v>22000</v>
      </c>
      <c r="J263" s="7">
        <f t="shared" si="3"/>
        <v>101199.99999999999</v>
      </c>
      <c r="K263" s="8" t="s">
        <v>12</v>
      </c>
    </row>
    <row r="264" spans="1:11" x14ac:dyDescent="0.25">
      <c r="A264" s="4" t="s">
        <v>125</v>
      </c>
      <c r="B264" s="5" t="s">
        <v>94</v>
      </c>
      <c r="C264" s="4" t="s">
        <v>95</v>
      </c>
      <c r="D264" s="5" t="s">
        <v>161</v>
      </c>
      <c r="E264" s="4" t="s">
        <v>36</v>
      </c>
      <c r="F264" s="4" t="s">
        <v>37</v>
      </c>
      <c r="G264" s="4" t="s">
        <v>13</v>
      </c>
      <c r="H264" s="6">
        <v>3</v>
      </c>
      <c r="I264" s="7">
        <v>145000</v>
      </c>
      <c r="J264" s="7">
        <f t="shared" si="3"/>
        <v>435000</v>
      </c>
      <c r="K264" s="8" t="s">
        <v>12</v>
      </c>
    </row>
    <row r="265" spans="1:11" x14ac:dyDescent="0.25">
      <c r="A265" s="4" t="s">
        <v>125</v>
      </c>
      <c r="B265" s="5" t="s">
        <v>94</v>
      </c>
      <c r="C265" s="4" t="s">
        <v>95</v>
      </c>
      <c r="D265" s="5" t="s">
        <v>161</v>
      </c>
      <c r="E265" s="4" t="s">
        <v>38</v>
      </c>
      <c r="F265" s="4" t="s">
        <v>39</v>
      </c>
      <c r="G265" s="4" t="s">
        <v>13</v>
      </c>
      <c r="H265" s="6">
        <v>6</v>
      </c>
      <c r="I265" s="7">
        <v>47000</v>
      </c>
      <c r="J265" s="7">
        <f t="shared" si="3"/>
        <v>282000</v>
      </c>
      <c r="K265" s="8" t="s">
        <v>12</v>
      </c>
    </row>
    <row r="266" spans="1:11" x14ac:dyDescent="0.25">
      <c r="A266" s="4" t="s">
        <v>125</v>
      </c>
      <c r="B266" s="5" t="s">
        <v>94</v>
      </c>
      <c r="C266" s="4" t="s">
        <v>95</v>
      </c>
      <c r="D266" s="5" t="s">
        <v>161</v>
      </c>
      <c r="E266" s="4" t="s">
        <v>42</v>
      </c>
      <c r="F266" s="4" t="s">
        <v>43</v>
      </c>
      <c r="G266" s="4" t="s">
        <v>13</v>
      </c>
      <c r="H266" s="6">
        <v>6</v>
      </c>
      <c r="I266" s="7">
        <v>45000</v>
      </c>
      <c r="J266" s="7">
        <f t="shared" si="3"/>
        <v>270000</v>
      </c>
      <c r="K266" s="8" t="s">
        <v>12</v>
      </c>
    </row>
    <row r="267" spans="1:11" ht="28.5" x14ac:dyDescent="0.25">
      <c r="A267" s="4" t="s">
        <v>125</v>
      </c>
      <c r="B267" s="5" t="s">
        <v>94</v>
      </c>
      <c r="C267" s="4" t="s">
        <v>95</v>
      </c>
      <c r="D267" s="5" t="s">
        <v>161</v>
      </c>
      <c r="E267" s="4" t="s">
        <v>44</v>
      </c>
      <c r="F267" s="4" t="s">
        <v>45</v>
      </c>
      <c r="G267" s="4" t="s">
        <v>13</v>
      </c>
      <c r="H267" s="6">
        <v>5.8</v>
      </c>
      <c r="I267" s="7">
        <v>95000</v>
      </c>
      <c r="J267" s="7">
        <f t="shared" si="3"/>
        <v>551000</v>
      </c>
      <c r="K267" s="8" t="s">
        <v>12</v>
      </c>
    </row>
    <row r="268" spans="1:11" x14ac:dyDescent="0.25">
      <c r="A268" s="4" t="s">
        <v>125</v>
      </c>
      <c r="B268" s="5" t="s">
        <v>94</v>
      </c>
      <c r="C268" s="4" t="s">
        <v>95</v>
      </c>
      <c r="D268" s="5" t="s">
        <v>161</v>
      </c>
      <c r="E268" s="4" t="s">
        <v>20</v>
      </c>
      <c r="F268" s="4" t="s">
        <v>21</v>
      </c>
      <c r="G268" s="4" t="s">
        <v>13</v>
      </c>
      <c r="H268" s="6">
        <v>1</v>
      </c>
      <c r="I268" s="7">
        <v>45000</v>
      </c>
      <c r="J268" s="7">
        <f t="shared" si="3"/>
        <v>45000</v>
      </c>
      <c r="K268" s="8" t="s">
        <v>12</v>
      </c>
    </row>
    <row r="269" spans="1:11" x14ac:dyDescent="0.25">
      <c r="A269" s="4" t="s">
        <v>125</v>
      </c>
      <c r="B269" s="5" t="s">
        <v>94</v>
      </c>
      <c r="C269" s="4" t="s">
        <v>95</v>
      </c>
      <c r="D269" s="5" t="s">
        <v>161</v>
      </c>
      <c r="E269" s="4" t="s">
        <v>29</v>
      </c>
      <c r="F269" s="4" t="s">
        <v>30</v>
      </c>
      <c r="G269" s="4" t="s">
        <v>13</v>
      </c>
      <c r="H269" s="6">
        <v>2</v>
      </c>
      <c r="I269" s="7">
        <v>145000</v>
      </c>
      <c r="J269" s="7">
        <f t="shared" si="3"/>
        <v>290000</v>
      </c>
      <c r="K269" s="8" t="s">
        <v>12</v>
      </c>
    </row>
    <row r="270" spans="1:11" x14ac:dyDescent="0.25">
      <c r="A270" s="4" t="s">
        <v>125</v>
      </c>
      <c r="B270" s="5" t="s">
        <v>94</v>
      </c>
      <c r="C270" s="4" t="s">
        <v>95</v>
      </c>
      <c r="D270" s="5" t="s">
        <v>161</v>
      </c>
      <c r="E270" s="4" t="s">
        <v>27</v>
      </c>
      <c r="F270" s="4" t="s">
        <v>28</v>
      </c>
      <c r="G270" s="4" t="s">
        <v>13</v>
      </c>
      <c r="H270" s="6">
        <v>5</v>
      </c>
      <c r="I270" s="7">
        <v>21000</v>
      </c>
      <c r="J270" s="7">
        <f t="shared" si="3"/>
        <v>105000</v>
      </c>
      <c r="K270" s="8" t="s">
        <v>12</v>
      </c>
    </row>
    <row r="271" spans="1:11" x14ac:dyDescent="0.25">
      <c r="A271" s="4" t="s">
        <v>125</v>
      </c>
      <c r="B271" s="5" t="s">
        <v>94</v>
      </c>
      <c r="C271" s="4" t="s">
        <v>95</v>
      </c>
      <c r="D271" s="5" t="s">
        <v>161</v>
      </c>
      <c r="E271" s="4" t="s">
        <v>76</v>
      </c>
      <c r="F271" s="4" t="s">
        <v>77</v>
      </c>
      <c r="G271" s="4" t="s">
        <v>13</v>
      </c>
      <c r="H271" s="6">
        <v>7.6</v>
      </c>
      <c r="I271" s="7">
        <v>38000</v>
      </c>
      <c r="J271" s="7">
        <f t="shared" si="3"/>
        <v>288800</v>
      </c>
      <c r="K271" s="8" t="s">
        <v>12</v>
      </c>
    </row>
    <row r="272" spans="1:11" x14ac:dyDescent="0.25">
      <c r="A272" s="4" t="s">
        <v>125</v>
      </c>
      <c r="B272" s="5" t="s">
        <v>94</v>
      </c>
      <c r="C272" s="4" t="s">
        <v>95</v>
      </c>
      <c r="D272" s="5" t="s">
        <v>161</v>
      </c>
      <c r="E272" s="4" t="s">
        <v>14</v>
      </c>
      <c r="F272" s="4" t="s">
        <v>15</v>
      </c>
      <c r="G272" s="4" t="s">
        <v>13</v>
      </c>
      <c r="H272" s="6">
        <v>2</v>
      </c>
      <c r="I272" s="7">
        <v>50000</v>
      </c>
      <c r="J272" s="7">
        <f t="shared" ref="J272:J314" si="4">H272*I272</f>
        <v>100000</v>
      </c>
      <c r="K272" s="8" t="s">
        <v>12</v>
      </c>
    </row>
    <row r="273" spans="1:11" x14ac:dyDescent="0.25">
      <c r="A273" s="4" t="s">
        <v>125</v>
      </c>
      <c r="B273" s="5" t="s">
        <v>94</v>
      </c>
      <c r="C273" s="4" t="s">
        <v>95</v>
      </c>
      <c r="D273" s="5" t="s">
        <v>161</v>
      </c>
      <c r="E273" s="4" t="s">
        <v>48</v>
      </c>
      <c r="F273" s="4" t="s">
        <v>49</v>
      </c>
      <c r="G273" s="4" t="s">
        <v>13</v>
      </c>
      <c r="H273" s="6">
        <v>12.7</v>
      </c>
      <c r="I273" s="7">
        <v>62000</v>
      </c>
      <c r="J273" s="7">
        <f t="shared" si="4"/>
        <v>787400</v>
      </c>
      <c r="K273" s="8" t="s">
        <v>12</v>
      </c>
    </row>
    <row r="274" spans="1:11" x14ac:dyDescent="0.25">
      <c r="A274" s="4" t="s">
        <v>128</v>
      </c>
      <c r="B274" s="5" t="s">
        <v>94</v>
      </c>
      <c r="C274" s="4" t="s">
        <v>95</v>
      </c>
      <c r="D274" s="5" t="s">
        <v>162</v>
      </c>
      <c r="E274" s="4" t="s">
        <v>64</v>
      </c>
      <c r="F274" s="4" t="s">
        <v>65</v>
      </c>
      <c r="G274" s="4" t="s">
        <v>13</v>
      </c>
      <c r="H274" s="6">
        <v>0.5</v>
      </c>
      <c r="I274" s="7">
        <v>50000</v>
      </c>
      <c r="J274" s="7">
        <f t="shared" si="4"/>
        <v>25000</v>
      </c>
      <c r="K274" s="8" t="s">
        <v>12</v>
      </c>
    </row>
    <row r="275" spans="1:11" x14ac:dyDescent="0.25">
      <c r="A275" s="4" t="s">
        <v>128</v>
      </c>
      <c r="B275" s="5" t="s">
        <v>94</v>
      </c>
      <c r="C275" s="4" t="s">
        <v>95</v>
      </c>
      <c r="D275" s="5" t="s">
        <v>162</v>
      </c>
      <c r="E275" s="4" t="s">
        <v>66</v>
      </c>
      <c r="F275" s="4" t="s">
        <v>67</v>
      </c>
      <c r="G275" s="4" t="s">
        <v>13</v>
      </c>
      <c r="H275" s="6">
        <v>10</v>
      </c>
      <c r="I275" s="7">
        <v>18000</v>
      </c>
      <c r="J275" s="7">
        <f t="shared" si="4"/>
        <v>180000</v>
      </c>
      <c r="K275" s="8" t="s">
        <v>12</v>
      </c>
    </row>
    <row r="276" spans="1:11" x14ac:dyDescent="0.25">
      <c r="A276" s="4" t="s">
        <v>128</v>
      </c>
      <c r="B276" s="5" t="s">
        <v>94</v>
      </c>
      <c r="C276" s="4" t="s">
        <v>95</v>
      </c>
      <c r="D276" s="5" t="s">
        <v>162</v>
      </c>
      <c r="E276" s="4" t="s">
        <v>54</v>
      </c>
      <c r="F276" s="4" t="s">
        <v>55</v>
      </c>
      <c r="G276" s="4" t="s">
        <v>13</v>
      </c>
      <c r="H276" s="6">
        <v>0.5</v>
      </c>
      <c r="I276" s="7">
        <v>75000</v>
      </c>
      <c r="J276" s="7">
        <f t="shared" si="4"/>
        <v>37500</v>
      </c>
      <c r="K276" s="8" t="s">
        <v>12</v>
      </c>
    </row>
    <row r="277" spans="1:11" x14ac:dyDescent="0.25">
      <c r="A277" s="4" t="s">
        <v>128</v>
      </c>
      <c r="B277" s="5" t="s">
        <v>94</v>
      </c>
      <c r="C277" s="4" t="s">
        <v>95</v>
      </c>
      <c r="D277" s="5" t="s">
        <v>162</v>
      </c>
      <c r="E277" s="4" t="s">
        <v>56</v>
      </c>
      <c r="F277" s="4" t="s">
        <v>57</v>
      </c>
      <c r="G277" s="4" t="s">
        <v>13</v>
      </c>
      <c r="H277" s="6">
        <v>0.5</v>
      </c>
      <c r="I277" s="7">
        <v>34000</v>
      </c>
      <c r="J277" s="7">
        <f t="shared" si="4"/>
        <v>17000</v>
      </c>
      <c r="K277" s="8" t="s">
        <v>12</v>
      </c>
    </row>
    <row r="278" spans="1:11" x14ac:dyDescent="0.25">
      <c r="A278" s="4" t="s">
        <v>128</v>
      </c>
      <c r="B278" s="5" t="s">
        <v>94</v>
      </c>
      <c r="C278" s="4" t="s">
        <v>95</v>
      </c>
      <c r="D278" s="5" t="s">
        <v>162</v>
      </c>
      <c r="E278" s="4" t="s">
        <v>25</v>
      </c>
      <c r="F278" s="4" t="s">
        <v>26</v>
      </c>
      <c r="G278" s="4" t="s">
        <v>13</v>
      </c>
      <c r="H278" s="6">
        <v>0.5</v>
      </c>
      <c r="I278" s="7">
        <v>22000</v>
      </c>
      <c r="J278" s="7">
        <f t="shared" si="4"/>
        <v>11000</v>
      </c>
      <c r="K278" s="8" t="s">
        <v>12</v>
      </c>
    </row>
    <row r="279" spans="1:11" x14ac:dyDescent="0.25">
      <c r="A279" s="4" t="s">
        <v>128</v>
      </c>
      <c r="B279" s="5" t="s">
        <v>94</v>
      </c>
      <c r="C279" s="4" t="s">
        <v>95</v>
      </c>
      <c r="D279" s="5" t="s">
        <v>162</v>
      </c>
      <c r="E279" s="4" t="s">
        <v>50</v>
      </c>
      <c r="F279" s="4" t="s">
        <v>51</v>
      </c>
      <c r="G279" s="4" t="s">
        <v>13</v>
      </c>
      <c r="H279" s="6">
        <v>28</v>
      </c>
      <c r="I279" s="7">
        <v>18000</v>
      </c>
      <c r="J279" s="7">
        <f t="shared" si="4"/>
        <v>504000</v>
      </c>
      <c r="K279" s="8" t="s">
        <v>12</v>
      </c>
    </row>
    <row r="280" spans="1:11" x14ac:dyDescent="0.25">
      <c r="A280" s="4" t="s">
        <v>128</v>
      </c>
      <c r="B280" s="5" t="s">
        <v>94</v>
      </c>
      <c r="C280" s="4" t="s">
        <v>95</v>
      </c>
      <c r="D280" s="5" t="s">
        <v>162</v>
      </c>
      <c r="E280" s="4" t="s">
        <v>78</v>
      </c>
      <c r="F280" s="4" t="s">
        <v>79</v>
      </c>
      <c r="G280" s="4" t="s">
        <v>13</v>
      </c>
      <c r="H280" s="6">
        <v>0.5</v>
      </c>
      <c r="I280" s="7">
        <v>30000</v>
      </c>
      <c r="J280" s="7">
        <f t="shared" si="4"/>
        <v>15000</v>
      </c>
      <c r="K280" s="8" t="s">
        <v>12</v>
      </c>
    </row>
    <row r="281" spans="1:11" x14ac:dyDescent="0.25">
      <c r="A281" s="4" t="s">
        <v>128</v>
      </c>
      <c r="B281" s="5" t="s">
        <v>94</v>
      </c>
      <c r="C281" s="4" t="s">
        <v>95</v>
      </c>
      <c r="D281" s="5" t="s">
        <v>162</v>
      </c>
      <c r="E281" s="4" t="s">
        <v>72</v>
      </c>
      <c r="F281" s="4" t="s">
        <v>73</v>
      </c>
      <c r="G281" s="4" t="s">
        <v>13</v>
      </c>
      <c r="H281" s="6">
        <v>3</v>
      </c>
      <c r="I281" s="7">
        <v>18000</v>
      </c>
      <c r="J281" s="7">
        <f t="shared" si="4"/>
        <v>54000</v>
      </c>
      <c r="K281" s="8" t="s">
        <v>12</v>
      </c>
    </row>
    <row r="282" spans="1:11" x14ac:dyDescent="0.25">
      <c r="A282" s="4" t="s">
        <v>128</v>
      </c>
      <c r="B282" s="5" t="s">
        <v>94</v>
      </c>
      <c r="C282" s="4" t="s">
        <v>95</v>
      </c>
      <c r="D282" s="5" t="s">
        <v>162</v>
      </c>
      <c r="E282" s="4" t="s">
        <v>74</v>
      </c>
      <c r="F282" s="4" t="s">
        <v>75</v>
      </c>
      <c r="G282" s="4" t="s">
        <v>13</v>
      </c>
      <c r="H282" s="6">
        <v>2.2999999999999998</v>
      </c>
      <c r="I282" s="7">
        <v>22000</v>
      </c>
      <c r="J282" s="7">
        <f t="shared" si="4"/>
        <v>50599.999999999993</v>
      </c>
      <c r="K282" s="8" t="s">
        <v>12</v>
      </c>
    </row>
    <row r="283" spans="1:11" x14ac:dyDescent="0.25">
      <c r="A283" s="4" t="s">
        <v>128</v>
      </c>
      <c r="B283" s="5" t="s">
        <v>94</v>
      </c>
      <c r="C283" s="4" t="s">
        <v>95</v>
      </c>
      <c r="D283" s="5" t="s">
        <v>162</v>
      </c>
      <c r="E283" s="4" t="s">
        <v>36</v>
      </c>
      <c r="F283" s="4" t="s">
        <v>37</v>
      </c>
      <c r="G283" s="4" t="s">
        <v>13</v>
      </c>
      <c r="H283" s="6">
        <v>2</v>
      </c>
      <c r="I283" s="7">
        <v>145000</v>
      </c>
      <c r="J283" s="7">
        <f t="shared" si="4"/>
        <v>290000</v>
      </c>
      <c r="K283" s="8" t="s">
        <v>12</v>
      </c>
    </row>
    <row r="284" spans="1:11" x14ac:dyDescent="0.25">
      <c r="A284" s="4" t="s">
        <v>128</v>
      </c>
      <c r="B284" s="5" t="s">
        <v>94</v>
      </c>
      <c r="C284" s="4" t="s">
        <v>95</v>
      </c>
      <c r="D284" s="5" t="s">
        <v>162</v>
      </c>
      <c r="E284" s="4" t="s">
        <v>38</v>
      </c>
      <c r="F284" s="4" t="s">
        <v>39</v>
      </c>
      <c r="G284" s="4" t="s">
        <v>13</v>
      </c>
      <c r="H284" s="6">
        <v>5</v>
      </c>
      <c r="I284" s="7">
        <v>47000</v>
      </c>
      <c r="J284" s="7">
        <f t="shared" si="4"/>
        <v>235000</v>
      </c>
      <c r="K284" s="8" t="s">
        <v>12</v>
      </c>
    </row>
    <row r="285" spans="1:11" x14ac:dyDescent="0.25">
      <c r="A285" s="4" t="s">
        <v>128</v>
      </c>
      <c r="B285" s="5" t="s">
        <v>94</v>
      </c>
      <c r="C285" s="4" t="s">
        <v>95</v>
      </c>
      <c r="D285" s="5" t="s">
        <v>162</v>
      </c>
      <c r="E285" s="4" t="s">
        <v>42</v>
      </c>
      <c r="F285" s="4" t="s">
        <v>43</v>
      </c>
      <c r="G285" s="4" t="s">
        <v>13</v>
      </c>
      <c r="H285" s="6">
        <v>5</v>
      </c>
      <c r="I285" s="7">
        <v>45000</v>
      </c>
      <c r="J285" s="7">
        <f t="shared" si="4"/>
        <v>225000</v>
      </c>
      <c r="K285" s="8" t="s">
        <v>12</v>
      </c>
    </row>
    <row r="286" spans="1:11" x14ac:dyDescent="0.25">
      <c r="A286" s="4" t="s">
        <v>128</v>
      </c>
      <c r="B286" s="5" t="s">
        <v>94</v>
      </c>
      <c r="C286" s="4" t="s">
        <v>95</v>
      </c>
      <c r="D286" s="5" t="s">
        <v>162</v>
      </c>
      <c r="E286" s="4" t="s">
        <v>20</v>
      </c>
      <c r="F286" s="4" t="s">
        <v>21</v>
      </c>
      <c r="G286" s="4" t="s">
        <v>13</v>
      </c>
      <c r="H286" s="6">
        <v>1</v>
      </c>
      <c r="I286" s="7">
        <v>45000</v>
      </c>
      <c r="J286" s="7">
        <f t="shared" si="4"/>
        <v>45000</v>
      </c>
      <c r="K286" s="8" t="s">
        <v>12</v>
      </c>
    </row>
    <row r="287" spans="1:11" x14ac:dyDescent="0.25">
      <c r="A287" s="4" t="s">
        <v>128</v>
      </c>
      <c r="B287" s="5" t="s">
        <v>94</v>
      </c>
      <c r="C287" s="4" t="s">
        <v>95</v>
      </c>
      <c r="D287" s="5" t="s">
        <v>162</v>
      </c>
      <c r="E287" s="4" t="s">
        <v>29</v>
      </c>
      <c r="F287" s="4" t="s">
        <v>30</v>
      </c>
      <c r="G287" s="4" t="s">
        <v>13</v>
      </c>
      <c r="H287" s="6">
        <v>1</v>
      </c>
      <c r="I287" s="7">
        <v>145000</v>
      </c>
      <c r="J287" s="7">
        <f t="shared" si="4"/>
        <v>145000</v>
      </c>
      <c r="K287" s="8" t="s">
        <v>12</v>
      </c>
    </row>
    <row r="288" spans="1:11" x14ac:dyDescent="0.25">
      <c r="A288" s="4" t="s">
        <v>128</v>
      </c>
      <c r="B288" s="5" t="s">
        <v>94</v>
      </c>
      <c r="C288" s="4" t="s">
        <v>95</v>
      </c>
      <c r="D288" s="5" t="s">
        <v>162</v>
      </c>
      <c r="E288" s="4" t="s">
        <v>27</v>
      </c>
      <c r="F288" s="4" t="s">
        <v>28</v>
      </c>
      <c r="G288" s="4" t="s">
        <v>13</v>
      </c>
      <c r="H288" s="6">
        <v>4.8</v>
      </c>
      <c r="I288" s="7">
        <v>21000</v>
      </c>
      <c r="J288" s="7">
        <f t="shared" si="4"/>
        <v>100800</v>
      </c>
      <c r="K288" s="8" t="s">
        <v>12</v>
      </c>
    </row>
    <row r="289" spans="1:11" x14ac:dyDescent="0.25">
      <c r="A289" s="4" t="s">
        <v>128</v>
      </c>
      <c r="B289" s="5" t="s">
        <v>94</v>
      </c>
      <c r="C289" s="4" t="s">
        <v>95</v>
      </c>
      <c r="D289" s="5" t="s">
        <v>162</v>
      </c>
      <c r="E289" s="4" t="s">
        <v>76</v>
      </c>
      <c r="F289" s="4" t="s">
        <v>77</v>
      </c>
      <c r="G289" s="4" t="s">
        <v>13</v>
      </c>
      <c r="H289" s="6">
        <v>3.5</v>
      </c>
      <c r="I289" s="7">
        <v>38000</v>
      </c>
      <c r="J289" s="7">
        <f t="shared" si="4"/>
        <v>133000</v>
      </c>
      <c r="K289" s="8" t="s">
        <v>12</v>
      </c>
    </row>
    <row r="290" spans="1:11" x14ac:dyDescent="0.25">
      <c r="A290" s="4" t="s">
        <v>128</v>
      </c>
      <c r="B290" s="5" t="s">
        <v>94</v>
      </c>
      <c r="C290" s="4" t="s">
        <v>95</v>
      </c>
      <c r="D290" s="5" t="s">
        <v>162</v>
      </c>
      <c r="E290" s="4" t="s">
        <v>14</v>
      </c>
      <c r="F290" s="4" t="s">
        <v>15</v>
      </c>
      <c r="G290" s="4" t="s">
        <v>13</v>
      </c>
      <c r="H290" s="6">
        <v>1.9</v>
      </c>
      <c r="I290" s="7">
        <v>50000</v>
      </c>
      <c r="J290" s="7">
        <f t="shared" si="4"/>
        <v>95000</v>
      </c>
      <c r="K290" s="8" t="s">
        <v>12</v>
      </c>
    </row>
    <row r="291" spans="1:11" x14ac:dyDescent="0.25">
      <c r="A291" s="4" t="s">
        <v>128</v>
      </c>
      <c r="B291" s="5" t="s">
        <v>94</v>
      </c>
      <c r="C291" s="4" t="s">
        <v>95</v>
      </c>
      <c r="D291" s="5" t="s">
        <v>162</v>
      </c>
      <c r="E291" s="4" t="s">
        <v>48</v>
      </c>
      <c r="F291" s="4" t="s">
        <v>49</v>
      </c>
      <c r="G291" s="4" t="s">
        <v>13</v>
      </c>
      <c r="H291" s="6">
        <v>11</v>
      </c>
      <c r="I291" s="7">
        <v>62000</v>
      </c>
      <c r="J291" s="7">
        <f t="shared" si="4"/>
        <v>682000</v>
      </c>
      <c r="K291" s="8" t="s">
        <v>12</v>
      </c>
    </row>
    <row r="292" spans="1:11" x14ac:dyDescent="0.25">
      <c r="A292" s="4" t="s">
        <v>128</v>
      </c>
      <c r="B292" s="5" t="s">
        <v>94</v>
      </c>
      <c r="C292" s="4" t="s">
        <v>95</v>
      </c>
      <c r="D292" s="5" t="s">
        <v>163</v>
      </c>
      <c r="E292" s="4" t="s">
        <v>40</v>
      </c>
      <c r="F292" s="4" t="s">
        <v>41</v>
      </c>
      <c r="G292" s="4" t="s">
        <v>13</v>
      </c>
      <c r="H292" s="6">
        <v>2</v>
      </c>
      <c r="I292" s="7">
        <v>80000</v>
      </c>
      <c r="J292" s="7">
        <f t="shared" si="4"/>
        <v>160000</v>
      </c>
      <c r="K292" s="8" t="s">
        <v>12</v>
      </c>
    </row>
    <row r="293" spans="1:11" ht="28.5" x14ac:dyDescent="0.25">
      <c r="A293" s="4" t="s">
        <v>128</v>
      </c>
      <c r="B293" s="5" t="s">
        <v>94</v>
      </c>
      <c r="C293" s="4" t="s">
        <v>95</v>
      </c>
      <c r="D293" s="5" t="s">
        <v>163</v>
      </c>
      <c r="E293" s="4" t="s">
        <v>44</v>
      </c>
      <c r="F293" s="4" t="s">
        <v>45</v>
      </c>
      <c r="G293" s="4" t="s">
        <v>13</v>
      </c>
      <c r="H293" s="6">
        <v>2</v>
      </c>
      <c r="I293" s="7">
        <v>95000</v>
      </c>
      <c r="J293" s="7">
        <f t="shared" si="4"/>
        <v>190000</v>
      </c>
      <c r="K293" s="8" t="s">
        <v>12</v>
      </c>
    </row>
    <row r="294" spans="1:11" x14ac:dyDescent="0.25">
      <c r="A294" s="4" t="s">
        <v>130</v>
      </c>
      <c r="B294" s="5" t="s">
        <v>94</v>
      </c>
      <c r="C294" s="4" t="s">
        <v>95</v>
      </c>
      <c r="D294" s="5" t="s">
        <v>164</v>
      </c>
      <c r="E294" s="4" t="s">
        <v>31</v>
      </c>
      <c r="F294" s="4" t="s">
        <v>32</v>
      </c>
      <c r="G294" s="4" t="s">
        <v>33</v>
      </c>
      <c r="H294" s="6">
        <v>6</v>
      </c>
      <c r="I294" s="7">
        <v>8500</v>
      </c>
      <c r="J294" s="7">
        <f t="shared" si="4"/>
        <v>51000</v>
      </c>
      <c r="K294" s="8" t="s">
        <v>12</v>
      </c>
    </row>
    <row r="295" spans="1:11" x14ac:dyDescent="0.25">
      <c r="A295" s="4" t="s">
        <v>130</v>
      </c>
      <c r="B295" s="5" t="s">
        <v>94</v>
      </c>
      <c r="C295" s="4" t="s">
        <v>95</v>
      </c>
      <c r="D295" s="5" t="s">
        <v>164</v>
      </c>
      <c r="E295" s="4" t="s">
        <v>34</v>
      </c>
      <c r="F295" s="4" t="s">
        <v>35</v>
      </c>
      <c r="G295" s="4" t="s">
        <v>13</v>
      </c>
      <c r="H295" s="6">
        <v>1</v>
      </c>
      <c r="I295" s="7">
        <v>30000</v>
      </c>
      <c r="J295" s="7">
        <f t="shared" si="4"/>
        <v>30000</v>
      </c>
      <c r="K295" s="8" t="s">
        <v>12</v>
      </c>
    </row>
    <row r="296" spans="1:11" x14ac:dyDescent="0.25">
      <c r="A296" s="4" t="s">
        <v>130</v>
      </c>
      <c r="B296" s="5" t="s">
        <v>94</v>
      </c>
      <c r="C296" s="4" t="s">
        <v>95</v>
      </c>
      <c r="D296" s="5" t="s">
        <v>164</v>
      </c>
      <c r="E296" s="4" t="s">
        <v>62</v>
      </c>
      <c r="F296" s="4" t="s">
        <v>63</v>
      </c>
      <c r="G296" s="4" t="s">
        <v>13</v>
      </c>
      <c r="H296" s="6">
        <v>0.9</v>
      </c>
      <c r="I296" s="7">
        <v>45000</v>
      </c>
      <c r="J296" s="7">
        <f t="shared" si="4"/>
        <v>40500</v>
      </c>
      <c r="K296" s="8" t="s">
        <v>12</v>
      </c>
    </row>
    <row r="297" spans="1:11" x14ac:dyDescent="0.25">
      <c r="A297" s="4" t="s">
        <v>130</v>
      </c>
      <c r="B297" s="5" t="s">
        <v>94</v>
      </c>
      <c r="C297" s="4" t="s">
        <v>95</v>
      </c>
      <c r="D297" s="5" t="s">
        <v>164</v>
      </c>
      <c r="E297" s="4" t="s">
        <v>66</v>
      </c>
      <c r="F297" s="4" t="s">
        <v>67</v>
      </c>
      <c r="G297" s="4" t="s">
        <v>13</v>
      </c>
      <c r="H297" s="6">
        <v>10</v>
      </c>
      <c r="I297" s="7">
        <v>18000</v>
      </c>
      <c r="J297" s="7">
        <f t="shared" si="4"/>
        <v>180000</v>
      </c>
      <c r="K297" s="8" t="s">
        <v>12</v>
      </c>
    </row>
    <row r="298" spans="1:11" x14ac:dyDescent="0.25">
      <c r="A298" s="4" t="s">
        <v>130</v>
      </c>
      <c r="B298" s="5" t="s">
        <v>94</v>
      </c>
      <c r="C298" s="4" t="s">
        <v>95</v>
      </c>
      <c r="D298" s="5" t="s">
        <v>164</v>
      </c>
      <c r="E298" s="4" t="s">
        <v>68</v>
      </c>
      <c r="F298" s="4" t="s">
        <v>69</v>
      </c>
      <c r="G298" s="4" t="s">
        <v>13</v>
      </c>
      <c r="H298" s="6">
        <v>1</v>
      </c>
      <c r="I298" s="7">
        <v>13000</v>
      </c>
      <c r="J298" s="7">
        <f t="shared" si="4"/>
        <v>13000</v>
      </c>
      <c r="K298" s="8" t="s">
        <v>12</v>
      </c>
    </row>
    <row r="299" spans="1:11" x14ac:dyDescent="0.25">
      <c r="A299" s="4" t="s">
        <v>130</v>
      </c>
      <c r="B299" s="5" t="s">
        <v>94</v>
      </c>
      <c r="C299" s="4" t="s">
        <v>95</v>
      </c>
      <c r="D299" s="5" t="s">
        <v>164</v>
      </c>
      <c r="E299" s="4" t="s">
        <v>16</v>
      </c>
      <c r="F299" s="4" t="s">
        <v>17</v>
      </c>
      <c r="G299" s="4" t="s">
        <v>13</v>
      </c>
      <c r="H299" s="6">
        <v>1.9</v>
      </c>
      <c r="I299" s="7">
        <v>47000</v>
      </c>
      <c r="J299" s="7">
        <f t="shared" si="4"/>
        <v>89300</v>
      </c>
      <c r="K299" s="8" t="s">
        <v>12</v>
      </c>
    </row>
    <row r="300" spans="1:11" x14ac:dyDescent="0.25">
      <c r="A300" s="4" t="s">
        <v>130</v>
      </c>
      <c r="B300" s="5" t="s">
        <v>94</v>
      </c>
      <c r="C300" s="4" t="s">
        <v>95</v>
      </c>
      <c r="D300" s="5" t="s">
        <v>164</v>
      </c>
      <c r="E300" s="4" t="s">
        <v>50</v>
      </c>
      <c r="F300" s="4" t="s">
        <v>51</v>
      </c>
      <c r="G300" s="4" t="s">
        <v>13</v>
      </c>
      <c r="H300" s="6">
        <v>15.3</v>
      </c>
      <c r="I300" s="7">
        <v>18000</v>
      </c>
      <c r="J300" s="7">
        <f t="shared" si="4"/>
        <v>275400</v>
      </c>
      <c r="K300" s="8" t="s">
        <v>12</v>
      </c>
    </row>
    <row r="301" spans="1:11" x14ac:dyDescent="0.25">
      <c r="A301" s="4" t="s">
        <v>130</v>
      </c>
      <c r="B301" s="5" t="s">
        <v>94</v>
      </c>
      <c r="C301" s="4" t="s">
        <v>95</v>
      </c>
      <c r="D301" s="5" t="s">
        <v>164</v>
      </c>
      <c r="E301" s="4" t="s">
        <v>78</v>
      </c>
      <c r="F301" s="4" t="s">
        <v>79</v>
      </c>
      <c r="G301" s="4" t="s">
        <v>13</v>
      </c>
      <c r="H301" s="6">
        <v>0.5</v>
      </c>
      <c r="I301" s="7">
        <v>30000</v>
      </c>
      <c r="J301" s="7">
        <f t="shared" si="4"/>
        <v>15000</v>
      </c>
      <c r="K301" s="8" t="s">
        <v>12</v>
      </c>
    </row>
    <row r="302" spans="1:11" x14ac:dyDescent="0.25">
      <c r="A302" s="4" t="s">
        <v>130</v>
      </c>
      <c r="B302" s="5" t="s">
        <v>94</v>
      </c>
      <c r="C302" s="4" t="s">
        <v>95</v>
      </c>
      <c r="D302" s="5" t="s">
        <v>164</v>
      </c>
      <c r="E302" s="4" t="s">
        <v>18</v>
      </c>
      <c r="F302" s="4" t="s">
        <v>19</v>
      </c>
      <c r="G302" s="4" t="s">
        <v>13</v>
      </c>
      <c r="H302" s="6">
        <v>1</v>
      </c>
      <c r="I302" s="7">
        <v>55000</v>
      </c>
      <c r="J302" s="7">
        <f t="shared" si="4"/>
        <v>55000</v>
      </c>
      <c r="K302" s="8" t="s">
        <v>12</v>
      </c>
    </row>
    <row r="303" spans="1:11" x14ac:dyDescent="0.25">
      <c r="A303" s="4" t="s">
        <v>130</v>
      </c>
      <c r="B303" s="5" t="s">
        <v>94</v>
      </c>
      <c r="C303" s="4" t="s">
        <v>95</v>
      </c>
      <c r="D303" s="5" t="s">
        <v>164</v>
      </c>
      <c r="E303" s="4" t="s">
        <v>70</v>
      </c>
      <c r="F303" s="4" t="s">
        <v>71</v>
      </c>
      <c r="G303" s="4" t="s">
        <v>13</v>
      </c>
      <c r="H303" s="6">
        <v>2</v>
      </c>
      <c r="I303" s="7">
        <v>30000</v>
      </c>
      <c r="J303" s="7">
        <f t="shared" si="4"/>
        <v>60000</v>
      </c>
      <c r="K303" s="8" t="s">
        <v>12</v>
      </c>
    </row>
    <row r="304" spans="1:11" x14ac:dyDescent="0.25">
      <c r="A304" s="4" t="s">
        <v>130</v>
      </c>
      <c r="B304" s="5" t="s">
        <v>94</v>
      </c>
      <c r="C304" s="4" t="s">
        <v>95</v>
      </c>
      <c r="D304" s="5" t="s">
        <v>164</v>
      </c>
      <c r="E304" s="4" t="s">
        <v>74</v>
      </c>
      <c r="F304" s="4" t="s">
        <v>75</v>
      </c>
      <c r="G304" s="4" t="s">
        <v>13</v>
      </c>
      <c r="H304" s="6">
        <v>2.4</v>
      </c>
      <c r="I304" s="7">
        <v>22000</v>
      </c>
      <c r="J304" s="7">
        <f t="shared" si="4"/>
        <v>52800</v>
      </c>
      <c r="K304" s="8" t="s">
        <v>12</v>
      </c>
    </row>
    <row r="305" spans="1:11" x14ac:dyDescent="0.25">
      <c r="A305" s="4" t="s">
        <v>130</v>
      </c>
      <c r="B305" s="5" t="s">
        <v>94</v>
      </c>
      <c r="C305" s="4" t="s">
        <v>95</v>
      </c>
      <c r="D305" s="5" t="s">
        <v>164</v>
      </c>
      <c r="E305" s="4" t="s">
        <v>36</v>
      </c>
      <c r="F305" s="4" t="s">
        <v>37</v>
      </c>
      <c r="G305" s="4" t="s">
        <v>13</v>
      </c>
      <c r="H305" s="6">
        <v>2</v>
      </c>
      <c r="I305" s="7">
        <v>145000</v>
      </c>
      <c r="J305" s="7">
        <f t="shared" si="4"/>
        <v>290000</v>
      </c>
      <c r="K305" s="8" t="s">
        <v>12</v>
      </c>
    </row>
    <row r="306" spans="1:11" x14ac:dyDescent="0.25">
      <c r="A306" s="4" t="s">
        <v>130</v>
      </c>
      <c r="B306" s="5" t="s">
        <v>94</v>
      </c>
      <c r="C306" s="4" t="s">
        <v>95</v>
      </c>
      <c r="D306" s="5" t="s">
        <v>164</v>
      </c>
      <c r="E306" s="4" t="s">
        <v>38</v>
      </c>
      <c r="F306" s="4" t="s">
        <v>39</v>
      </c>
      <c r="G306" s="4" t="s">
        <v>13</v>
      </c>
      <c r="H306" s="6">
        <v>5</v>
      </c>
      <c r="I306" s="7">
        <v>47000</v>
      </c>
      <c r="J306" s="7">
        <f t="shared" si="4"/>
        <v>235000</v>
      </c>
      <c r="K306" s="8" t="s">
        <v>12</v>
      </c>
    </row>
    <row r="307" spans="1:11" x14ac:dyDescent="0.25">
      <c r="A307" s="4" t="s">
        <v>130</v>
      </c>
      <c r="B307" s="5" t="s">
        <v>94</v>
      </c>
      <c r="C307" s="4" t="s">
        <v>95</v>
      </c>
      <c r="D307" s="5" t="s">
        <v>164</v>
      </c>
      <c r="E307" s="4" t="s">
        <v>42</v>
      </c>
      <c r="F307" s="4" t="s">
        <v>43</v>
      </c>
      <c r="G307" s="4" t="s">
        <v>13</v>
      </c>
      <c r="H307" s="6">
        <v>5</v>
      </c>
      <c r="I307" s="7">
        <v>45000</v>
      </c>
      <c r="J307" s="7">
        <f t="shared" si="4"/>
        <v>225000</v>
      </c>
      <c r="K307" s="8" t="s">
        <v>12</v>
      </c>
    </row>
    <row r="308" spans="1:11" ht="28.5" x14ac:dyDescent="0.25">
      <c r="A308" s="4" t="s">
        <v>130</v>
      </c>
      <c r="B308" s="5" t="s">
        <v>94</v>
      </c>
      <c r="C308" s="4" t="s">
        <v>95</v>
      </c>
      <c r="D308" s="5" t="s">
        <v>164</v>
      </c>
      <c r="E308" s="4" t="s">
        <v>44</v>
      </c>
      <c r="F308" s="4" t="s">
        <v>45</v>
      </c>
      <c r="G308" s="4" t="s">
        <v>13</v>
      </c>
      <c r="H308" s="6">
        <v>6</v>
      </c>
      <c r="I308" s="7">
        <v>95000</v>
      </c>
      <c r="J308" s="7">
        <f t="shared" si="4"/>
        <v>570000</v>
      </c>
      <c r="K308" s="8" t="s">
        <v>12</v>
      </c>
    </row>
    <row r="309" spans="1:11" x14ac:dyDescent="0.25">
      <c r="A309" s="4" t="s">
        <v>130</v>
      </c>
      <c r="B309" s="5" t="s">
        <v>94</v>
      </c>
      <c r="C309" s="4" t="s">
        <v>95</v>
      </c>
      <c r="D309" s="5" t="s">
        <v>164</v>
      </c>
      <c r="E309" s="4" t="s">
        <v>20</v>
      </c>
      <c r="F309" s="4" t="s">
        <v>21</v>
      </c>
      <c r="G309" s="4" t="s">
        <v>13</v>
      </c>
      <c r="H309" s="6">
        <v>0.7</v>
      </c>
      <c r="I309" s="7">
        <v>45000</v>
      </c>
      <c r="J309" s="7">
        <f t="shared" si="4"/>
        <v>31499.999999999996</v>
      </c>
      <c r="K309" s="8" t="s">
        <v>12</v>
      </c>
    </row>
    <row r="310" spans="1:11" x14ac:dyDescent="0.25">
      <c r="A310" s="4" t="s">
        <v>130</v>
      </c>
      <c r="B310" s="5" t="s">
        <v>94</v>
      </c>
      <c r="C310" s="4" t="s">
        <v>95</v>
      </c>
      <c r="D310" s="5" t="s">
        <v>164</v>
      </c>
      <c r="E310" s="4" t="s">
        <v>46</v>
      </c>
      <c r="F310" s="4" t="s">
        <v>47</v>
      </c>
      <c r="G310" s="4" t="s">
        <v>13</v>
      </c>
      <c r="H310" s="6">
        <v>0.2</v>
      </c>
      <c r="I310" s="7">
        <v>70000</v>
      </c>
      <c r="J310" s="7">
        <f t="shared" si="4"/>
        <v>14000</v>
      </c>
      <c r="K310" s="8" t="s">
        <v>12</v>
      </c>
    </row>
    <row r="311" spans="1:11" x14ac:dyDescent="0.25">
      <c r="A311" s="4" t="s">
        <v>130</v>
      </c>
      <c r="B311" s="5" t="s">
        <v>94</v>
      </c>
      <c r="C311" s="4" t="s">
        <v>95</v>
      </c>
      <c r="D311" s="5" t="s">
        <v>164</v>
      </c>
      <c r="E311" s="4" t="s">
        <v>29</v>
      </c>
      <c r="F311" s="4" t="s">
        <v>30</v>
      </c>
      <c r="G311" s="4" t="s">
        <v>13</v>
      </c>
      <c r="H311" s="6">
        <v>0.8</v>
      </c>
      <c r="I311" s="7">
        <v>145000</v>
      </c>
      <c r="J311" s="7">
        <f t="shared" si="4"/>
        <v>116000</v>
      </c>
      <c r="K311" s="8" t="s">
        <v>12</v>
      </c>
    </row>
    <row r="312" spans="1:11" x14ac:dyDescent="0.25">
      <c r="A312" s="4" t="s">
        <v>130</v>
      </c>
      <c r="B312" s="5" t="s">
        <v>94</v>
      </c>
      <c r="C312" s="4" t="s">
        <v>95</v>
      </c>
      <c r="D312" s="5" t="s">
        <v>164</v>
      </c>
      <c r="E312" s="4" t="s">
        <v>76</v>
      </c>
      <c r="F312" s="4" t="s">
        <v>77</v>
      </c>
      <c r="G312" s="4" t="s">
        <v>13</v>
      </c>
      <c r="H312" s="6">
        <v>5.7</v>
      </c>
      <c r="I312" s="7">
        <v>38000</v>
      </c>
      <c r="J312" s="7">
        <f t="shared" si="4"/>
        <v>216600</v>
      </c>
      <c r="K312" s="8" t="s">
        <v>12</v>
      </c>
    </row>
    <row r="313" spans="1:11" x14ac:dyDescent="0.25">
      <c r="A313" s="4" t="s">
        <v>130</v>
      </c>
      <c r="B313" s="5" t="s">
        <v>94</v>
      </c>
      <c r="C313" s="4" t="s">
        <v>95</v>
      </c>
      <c r="D313" s="5" t="s">
        <v>164</v>
      </c>
      <c r="E313" s="4" t="s">
        <v>14</v>
      </c>
      <c r="F313" s="4" t="s">
        <v>15</v>
      </c>
      <c r="G313" s="4" t="s">
        <v>13</v>
      </c>
      <c r="H313" s="6">
        <v>1.8</v>
      </c>
      <c r="I313" s="7">
        <v>50000</v>
      </c>
      <c r="J313" s="7">
        <f t="shared" si="4"/>
        <v>90000</v>
      </c>
      <c r="K313" s="8" t="s">
        <v>12</v>
      </c>
    </row>
    <row r="314" spans="1:11" x14ac:dyDescent="0.25">
      <c r="A314" s="4" t="s">
        <v>130</v>
      </c>
      <c r="B314" s="5" t="s">
        <v>94</v>
      </c>
      <c r="C314" s="4" t="s">
        <v>95</v>
      </c>
      <c r="D314" s="5" t="s">
        <v>164</v>
      </c>
      <c r="E314" s="4" t="s">
        <v>48</v>
      </c>
      <c r="F314" s="4" t="s">
        <v>49</v>
      </c>
      <c r="G314" s="4" t="s">
        <v>13</v>
      </c>
      <c r="H314" s="6">
        <v>10</v>
      </c>
      <c r="I314" s="7">
        <v>62000</v>
      </c>
      <c r="J314" s="7">
        <f t="shared" si="4"/>
        <v>620000</v>
      </c>
      <c r="K314" s="8" t="s">
        <v>12</v>
      </c>
    </row>
  </sheetData>
  <autoFilter ref="A14:K77" xr:uid="{00000000-0001-0000-0000-000000000000}"/>
  <mergeCells count="7">
    <mergeCell ref="A12:K12"/>
    <mergeCell ref="A2:C2"/>
    <mergeCell ref="D2:K2"/>
    <mergeCell ref="A4:K4"/>
    <mergeCell ref="A6:K6"/>
    <mergeCell ref="A8:K8"/>
    <mergeCell ref="A10:K10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E2F1-61CA-4777-9E2D-1290807F4F6B}">
  <dimension ref="A1:K307"/>
  <sheetViews>
    <sheetView showGridLines="0" workbookViewId="0">
      <selection activeCell="K17" sqref="K17"/>
    </sheetView>
  </sheetViews>
  <sheetFormatPr defaultRowHeight="15" x14ac:dyDescent="0.25"/>
  <cols>
    <col min="1" max="1" width="17.42578125" customWidth="1"/>
    <col min="2" max="2" width="20.5703125" customWidth="1"/>
    <col min="3" max="3" width="22.42578125" customWidth="1"/>
    <col min="4" max="4" width="29" customWidth="1"/>
    <col min="5" max="5" width="12" customWidth="1"/>
    <col min="6" max="6" width="20.85546875" customWidth="1"/>
    <col min="7" max="7" width="11" customWidth="1"/>
    <col min="8" max="8" width="17.140625" customWidth="1"/>
    <col min="9" max="9" width="18.28515625" customWidth="1"/>
    <col min="10" max="10" width="14.7109375" customWidth="1"/>
    <col min="11" max="11" width="25.85546875" customWidth="1"/>
  </cols>
  <sheetData>
    <row r="1" spans="1:11" ht="9.6" customHeight="1" x14ac:dyDescent="0.25"/>
    <row r="2" spans="1:11" ht="102.95" customHeight="1" x14ac:dyDescent="0.25">
      <c r="A2" s="13"/>
      <c r="B2" s="11"/>
      <c r="C2" s="12"/>
      <c r="D2" s="14" t="s">
        <v>0</v>
      </c>
      <c r="E2" s="11"/>
      <c r="F2" s="11"/>
      <c r="G2" s="11"/>
      <c r="H2" s="11"/>
      <c r="I2" s="11"/>
      <c r="J2" s="11"/>
      <c r="K2" s="12"/>
    </row>
    <row r="3" spans="1:11" ht="1.1499999999999999" customHeight="1" x14ac:dyDescent="0.25"/>
    <row r="4" spans="1:11" ht="24.75" customHeight="1" x14ac:dyDescent="0.25">
      <c r="A4" s="15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11" ht="2.1" customHeight="1" x14ac:dyDescent="0.25"/>
    <row r="6" spans="1:11" ht="22.5" customHeight="1" x14ac:dyDescent="0.25">
      <c r="A6" s="16" t="s">
        <v>97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 spans="1:11" ht="3" customHeight="1" x14ac:dyDescent="0.25"/>
    <row r="8" spans="1:11" ht="24.95" customHeight="1" x14ac:dyDescent="0.25">
      <c r="A8" s="10" t="s">
        <v>91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 spans="1:11" ht="4.1500000000000004" customHeight="1" x14ac:dyDescent="0.25"/>
    <row r="10" spans="1:11" ht="23.25" customHeight="1" x14ac:dyDescent="0.25">
      <c r="A10" s="10" t="s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spans="1:11" ht="3.95" customHeight="1" x14ac:dyDescent="0.25"/>
    <row r="12" spans="1:11" ht="23.85" customHeight="1" x14ac:dyDescent="0.25">
      <c r="A12" s="10" t="s">
        <v>3</v>
      </c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 spans="1:11" ht="24.75" customHeight="1" x14ac:dyDescent="0.25">
      <c r="J13" s="9">
        <f>SUBTOTAL(9,J15:J307)</f>
        <v>39547160</v>
      </c>
    </row>
    <row r="14" spans="1:11" ht="16.5" x14ac:dyDescent="0.25">
      <c r="A14" s="1" t="s">
        <v>5</v>
      </c>
      <c r="B14" s="1" t="s">
        <v>22</v>
      </c>
      <c r="C14" s="1" t="s">
        <v>23</v>
      </c>
      <c r="D14" s="1" t="s">
        <v>4</v>
      </c>
      <c r="E14" s="2" t="s">
        <v>6</v>
      </c>
      <c r="F14" s="2" t="s">
        <v>7</v>
      </c>
      <c r="G14" s="1" t="s">
        <v>8</v>
      </c>
      <c r="H14" s="3" t="s">
        <v>24</v>
      </c>
      <c r="I14" s="1" t="s">
        <v>9</v>
      </c>
      <c r="J14" s="1" t="s">
        <v>10</v>
      </c>
      <c r="K14" s="1" t="s">
        <v>11</v>
      </c>
    </row>
    <row r="15" spans="1:11" x14ac:dyDescent="0.25">
      <c r="A15" s="4" t="s">
        <v>98</v>
      </c>
      <c r="B15" s="5" t="s">
        <v>85</v>
      </c>
      <c r="C15" s="4" t="s">
        <v>86</v>
      </c>
      <c r="D15" s="5" t="s">
        <v>165</v>
      </c>
      <c r="E15" s="4" t="s">
        <v>31</v>
      </c>
      <c r="F15" s="4" t="s">
        <v>32</v>
      </c>
      <c r="G15" s="4" t="s">
        <v>33</v>
      </c>
      <c r="H15" s="6">
        <v>8</v>
      </c>
      <c r="I15" s="7">
        <v>8500</v>
      </c>
      <c r="J15" s="7">
        <f>H15*I15</f>
        <v>68000</v>
      </c>
      <c r="K15" s="8" t="s">
        <v>12</v>
      </c>
    </row>
    <row r="16" spans="1:11" x14ac:dyDescent="0.25">
      <c r="A16" s="4" t="s">
        <v>98</v>
      </c>
      <c r="B16" s="5" t="s">
        <v>85</v>
      </c>
      <c r="C16" s="4" t="s">
        <v>86</v>
      </c>
      <c r="D16" s="5" t="s">
        <v>165</v>
      </c>
      <c r="E16" s="4" t="s">
        <v>34</v>
      </c>
      <c r="F16" s="4" t="s">
        <v>35</v>
      </c>
      <c r="G16" s="4" t="s">
        <v>13</v>
      </c>
      <c r="H16" s="6">
        <v>0.6</v>
      </c>
      <c r="I16" s="7">
        <v>30000</v>
      </c>
      <c r="J16" s="7">
        <f t="shared" ref="J16:J79" si="0">H16*I16</f>
        <v>18000</v>
      </c>
      <c r="K16" s="8" t="s">
        <v>12</v>
      </c>
    </row>
    <row r="17" spans="1:11" x14ac:dyDescent="0.25">
      <c r="A17" s="4" t="s">
        <v>98</v>
      </c>
      <c r="B17" s="5" t="s">
        <v>85</v>
      </c>
      <c r="C17" s="4" t="s">
        <v>86</v>
      </c>
      <c r="D17" s="5" t="s">
        <v>165</v>
      </c>
      <c r="E17" s="4" t="s">
        <v>62</v>
      </c>
      <c r="F17" s="4" t="s">
        <v>63</v>
      </c>
      <c r="G17" s="4" t="s">
        <v>13</v>
      </c>
      <c r="H17" s="6">
        <v>1.5</v>
      </c>
      <c r="I17" s="7">
        <v>45000</v>
      </c>
      <c r="J17" s="7">
        <f t="shared" si="0"/>
        <v>67500</v>
      </c>
      <c r="K17" s="8" t="s">
        <v>12</v>
      </c>
    </row>
    <row r="18" spans="1:11" x14ac:dyDescent="0.25">
      <c r="A18" s="4" t="s">
        <v>98</v>
      </c>
      <c r="B18" s="5" t="s">
        <v>85</v>
      </c>
      <c r="C18" s="4" t="s">
        <v>86</v>
      </c>
      <c r="D18" s="5" t="s">
        <v>165</v>
      </c>
      <c r="E18" s="4" t="s">
        <v>64</v>
      </c>
      <c r="F18" s="4" t="s">
        <v>65</v>
      </c>
      <c r="G18" s="4" t="s">
        <v>13</v>
      </c>
      <c r="H18" s="6">
        <v>1</v>
      </c>
      <c r="I18" s="7">
        <v>50000</v>
      </c>
      <c r="J18" s="7">
        <f t="shared" si="0"/>
        <v>50000</v>
      </c>
      <c r="K18" s="8" t="s">
        <v>12</v>
      </c>
    </row>
    <row r="19" spans="1:11" x14ac:dyDescent="0.25">
      <c r="A19" s="4" t="s">
        <v>98</v>
      </c>
      <c r="B19" s="5" t="s">
        <v>85</v>
      </c>
      <c r="C19" s="4" t="s">
        <v>86</v>
      </c>
      <c r="D19" s="5" t="s">
        <v>165</v>
      </c>
      <c r="E19" s="4" t="s">
        <v>66</v>
      </c>
      <c r="F19" s="4" t="s">
        <v>67</v>
      </c>
      <c r="G19" s="4" t="s">
        <v>13</v>
      </c>
      <c r="H19" s="6">
        <v>12</v>
      </c>
      <c r="I19" s="7">
        <v>18000</v>
      </c>
      <c r="J19" s="7">
        <f t="shared" si="0"/>
        <v>216000</v>
      </c>
      <c r="K19" s="8" t="s">
        <v>12</v>
      </c>
    </row>
    <row r="20" spans="1:11" x14ac:dyDescent="0.25">
      <c r="A20" s="4" t="s">
        <v>98</v>
      </c>
      <c r="B20" s="5" t="s">
        <v>85</v>
      </c>
      <c r="C20" s="4" t="s">
        <v>86</v>
      </c>
      <c r="D20" s="5" t="s">
        <v>165</v>
      </c>
      <c r="E20" s="4" t="s">
        <v>58</v>
      </c>
      <c r="F20" s="4" t="s">
        <v>59</v>
      </c>
      <c r="G20" s="4" t="s">
        <v>13</v>
      </c>
      <c r="H20" s="6">
        <v>0.3</v>
      </c>
      <c r="I20" s="7">
        <v>95000</v>
      </c>
      <c r="J20" s="7">
        <f t="shared" si="0"/>
        <v>28500</v>
      </c>
      <c r="K20" s="8" t="s">
        <v>12</v>
      </c>
    </row>
    <row r="21" spans="1:11" x14ac:dyDescent="0.25">
      <c r="A21" s="4" t="s">
        <v>98</v>
      </c>
      <c r="B21" s="5" t="s">
        <v>85</v>
      </c>
      <c r="C21" s="4" t="s">
        <v>86</v>
      </c>
      <c r="D21" s="5" t="s">
        <v>165</v>
      </c>
      <c r="E21" s="4" t="s">
        <v>68</v>
      </c>
      <c r="F21" s="4" t="s">
        <v>69</v>
      </c>
      <c r="G21" s="4" t="s">
        <v>13</v>
      </c>
      <c r="H21" s="6">
        <v>2</v>
      </c>
      <c r="I21" s="7">
        <v>13000</v>
      </c>
      <c r="J21" s="7">
        <f t="shared" si="0"/>
        <v>26000</v>
      </c>
      <c r="K21" s="8" t="s">
        <v>12</v>
      </c>
    </row>
    <row r="22" spans="1:11" x14ac:dyDescent="0.25">
      <c r="A22" s="4" t="s">
        <v>98</v>
      </c>
      <c r="B22" s="5" t="s">
        <v>85</v>
      </c>
      <c r="C22" s="4" t="s">
        <v>86</v>
      </c>
      <c r="D22" s="5" t="s">
        <v>165</v>
      </c>
      <c r="E22" s="4" t="s">
        <v>16</v>
      </c>
      <c r="F22" s="4" t="s">
        <v>17</v>
      </c>
      <c r="G22" s="4" t="s">
        <v>13</v>
      </c>
      <c r="H22" s="6">
        <v>1.4</v>
      </c>
      <c r="I22" s="7">
        <v>47000</v>
      </c>
      <c r="J22" s="7">
        <f t="shared" si="0"/>
        <v>65800</v>
      </c>
      <c r="K22" s="8" t="s">
        <v>12</v>
      </c>
    </row>
    <row r="23" spans="1:11" x14ac:dyDescent="0.25">
      <c r="A23" s="4" t="s">
        <v>98</v>
      </c>
      <c r="B23" s="5" t="s">
        <v>85</v>
      </c>
      <c r="C23" s="4" t="s">
        <v>86</v>
      </c>
      <c r="D23" s="5" t="s">
        <v>165</v>
      </c>
      <c r="E23" s="4" t="s">
        <v>50</v>
      </c>
      <c r="F23" s="4" t="s">
        <v>51</v>
      </c>
      <c r="G23" s="4" t="s">
        <v>13</v>
      </c>
      <c r="H23" s="6">
        <v>22</v>
      </c>
      <c r="I23" s="7">
        <v>18000</v>
      </c>
      <c r="J23" s="7">
        <f t="shared" si="0"/>
        <v>396000</v>
      </c>
      <c r="K23" s="8" t="s">
        <v>12</v>
      </c>
    </row>
    <row r="24" spans="1:11" x14ac:dyDescent="0.25">
      <c r="A24" s="4" t="s">
        <v>98</v>
      </c>
      <c r="B24" s="5" t="s">
        <v>85</v>
      </c>
      <c r="C24" s="4" t="s">
        <v>86</v>
      </c>
      <c r="D24" s="5" t="s">
        <v>165</v>
      </c>
      <c r="E24" s="4" t="s">
        <v>80</v>
      </c>
      <c r="F24" s="4" t="s">
        <v>81</v>
      </c>
      <c r="G24" s="4" t="s">
        <v>82</v>
      </c>
      <c r="H24" s="6">
        <v>1</v>
      </c>
      <c r="I24" s="7">
        <v>80000</v>
      </c>
      <c r="J24" s="7">
        <f t="shared" si="0"/>
        <v>80000</v>
      </c>
      <c r="K24" s="8" t="s">
        <v>12</v>
      </c>
    </row>
    <row r="25" spans="1:11" x14ac:dyDescent="0.25">
      <c r="A25" s="4" t="s">
        <v>98</v>
      </c>
      <c r="B25" s="5" t="s">
        <v>85</v>
      </c>
      <c r="C25" s="4" t="s">
        <v>86</v>
      </c>
      <c r="D25" s="5" t="s">
        <v>165</v>
      </c>
      <c r="E25" s="4" t="s">
        <v>52</v>
      </c>
      <c r="F25" s="4" t="s">
        <v>53</v>
      </c>
      <c r="G25" s="4" t="s">
        <v>13</v>
      </c>
      <c r="H25" s="6">
        <v>0.3</v>
      </c>
      <c r="I25" s="7">
        <v>65000</v>
      </c>
      <c r="J25" s="7">
        <f t="shared" si="0"/>
        <v>19500</v>
      </c>
      <c r="K25" s="8" t="s">
        <v>12</v>
      </c>
    </row>
    <row r="26" spans="1:11" x14ac:dyDescent="0.25">
      <c r="A26" s="4" t="s">
        <v>98</v>
      </c>
      <c r="B26" s="5" t="s">
        <v>85</v>
      </c>
      <c r="C26" s="4" t="s">
        <v>86</v>
      </c>
      <c r="D26" s="5" t="s">
        <v>165</v>
      </c>
      <c r="E26" s="4" t="s">
        <v>70</v>
      </c>
      <c r="F26" s="4" t="s">
        <v>71</v>
      </c>
      <c r="G26" s="4" t="s">
        <v>13</v>
      </c>
      <c r="H26" s="6">
        <v>2</v>
      </c>
      <c r="I26" s="7">
        <v>30000</v>
      </c>
      <c r="J26" s="7">
        <f t="shared" si="0"/>
        <v>60000</v>
      </c>
      <c r="K26" s="8" t="s">
        <v>12</v>
      </c>
    </row>
    <row r="27" spans="1:11" x14ac:dyDescent="0.25">
      <c r="A27" s="4" t="s">
        <v>98</v>
      </c>
      <c r="B27" s="5" t="s">
        <v>85</v>
      </c>
      <c r="C27" s="4" t="s">
        <v>86</v>
      </c>
      <c r="D27" s="5" t="s">
        <v>165</v>
      </c>
      <c r="E27" s="4" t="s">
        <v>74</v>
      </c>
      <c r="F27" s="4" t="s">
        <v>75</v>
      </c>
      <c r="G27" s="4" t="s">
        <v>13</v>
      </c>
      <c r="H27" s="6">
        <v>4</v>
      </c>
      <c r="I27" s="7">
        <v>22000</v>
      </c>
      <c r="J27" s="7">
        <f t="shared" si="0"/>
        <v>88000</v>
      </c>
      <c r="K27" s="8" t="s">
        <v>12</v>
      </c>
    </row>
    <row r="28" spans="1:11" x14ac:dyDescent="0.25">
      <c r="A28" s="4" t="s">
        <v>98</v>
      </c>
      <c r="B28" s="5" t="s">
        <v>85</v>
      </c>
      <c r="C28" s="4" t="s">
        <v>86</v>
      </c>
      <c r="D28" s="5" t="s">
        <v>165</v>
      </c>
      <c r="E28" s="4" t="s">
        <v>36</v>
      </c>
      <c r="F28" s="4" t="s">
        <v>37</v>
      </c>
      <c r="G28" s="4" t="s">
        <v>13</v>
      </c>
      <c r="H28" s="6">
        <v>3</v>
      </c>
      <c r="I28" s="7">
        <v>145000</v>
      </c>
      <c r="J28" s="7">
        <f t="shared" si="0"/>
        <v>435000</v>
      </c>
      <c r="K28" s="8" t="s">
        <v>12</v>
      </c>
    </row>
    <row r="29" spans="1:11" x14ac:dyDescent="0.25">
      <c r="A29" s="4" t="s">
        <v>98</v>
      </c>
      <c r="B29" s="5" t="s">
        <v>85</v>
      </c>
      <c r="C29" s="4" t="s">
        <v>86</v>
      </c>
      <c r="D29" s="5" t="s">
        <v>165</v>
      </c>
      <c r="E29" s="4" t="s">
        <v>38</v>
      </c>
      <c r="F29" s="4" t="s">
        <v>39</v>
      </c>
      <c r="G29" s="4" t="s">
        <v>13</v>
      </c>
      <c r="H29" s="6">
        <v>3</v>
      </c>
      <c r="I29" s="7">
        <v>47000</v>
      </c>
      <c r="J29" s="7">
        <f t="shared" si="0"/>
        <v>141000</v>
      </c>
      <c r="K29" s="8" t="s">
        <v>12</v>
      </c>
    </row>
    <row r="30" spans="1:11" x14ac:dyDescent="0.25">
      <c r="A30" s="4" t="s">
        <v>98</v>
      </c>
      <c r="B30" s="5" t="s">
        <v>85</v>
      </c>
      <c r="C30" s="4" t="s">
        <v>86</v>
      </c>
      <c r="D30" s="5" t="s">
        <v>165</v>
      </c>
      <c r="E30" s="4" t="s">
        <v>40</v>
      </c>
      <c r="F30" s="4" t="s">
        <v>41</v>
      </c>
      <c r="G30" s="4" t="s">
        <v>13</v>
      </c>
      <c r="H30" s="6">
        <v>2</v>
      </c>
      <c r="I30" s="7">
        <v>80000</v>
      </c>
      <c r="J30" s="7">
        <f t="shared" si="0"/>
        <v>160000</v>
      </c>
      <c r="K30" s="8" t="s">
        <v>12</v>
      </c>
    </row>
    <row r="31" spans="1:11" ht="28.5" x14ac:dyDescent="0.25">
      <c r="A31" s="4" t="s">
        <v>98</v>
      </c>
      <c r="B31" s="5" t="s">
        <v>85</v>
      </c>
      <c r="C31" s="4" t="s">
        <v>86</v>
      </c>
      <c r="D31" s="5" t="s">
        <v>165</v>
      </c>
      <c r="E31" s="4" t="s">
        <v>87</v>
      </c>
      <c r="F31" s="4" t="s">
        <v>88</v>
      </c>
      <c r="G31" s="4" t="s">
        <v>89</v>
      </c>
      <c r="H31" s="6">
        <v>24</v>
      </c>
      <c r="I31" s="7">
        <v>11000</v>
      </c>
      <c r="J31" s="7">
        <f t="shared" si="0"/>
        <v>264000</v>
      </c>
      <c r="K31" s="8" t="s">
        <v>12</v>
      </c>
    </row>
    <row r="32" spans="1:11" ht="28.5" x14ac:dyDescent="0.25">
      <c r="A32" s="4" t="s">
        <v>98</v>
      </c>
      <c r="B32" s="5" t="s">
        <v>85</v>
      </c>
      <c r="C32" s="4" t="s">
        <v>86</v>
      </c>
      <c r="D32" s="5" t="s">
        <v>165</v>
      </c>
      <c r="E32" s="4" t="s">
        <v>44</v>
      </c>
      <c r="F32" s="4" t="s">
        <v>45</v>
      </c>
      <c r="G32" s="4" t="s">
        <v>13</v>
      </c>
      <c r="H32" s="6">
        <v>5</v>
      </c>
      <c r="I32" s="7">
        <v>95000</v>
      </c>
      <c r="J32" s="7">
        <f t="shared" si="0"/>
        <v>475000</v>
      </c>
      <c r="K32" s="8" t="s">
        <v>12</v>
      </c>
    </row>
    <row r="33" spans="1:11" x14ac:dyDescent="0.25">
      <c r="A33" s="4" t="s">
        <v>98</v>
      </c>
      <c r="B33" s="5" t="s">
        <v>85</v>
      </c>
      <c r="C33" s="4" t="s">
        <v>86</v>
      </c>
      <c r="D33" s="5" t="s">
        <v>165</v>
      </c>
      <c r="E33" s="4" t="s">
        <v>46</v>
      </c>
      <c r="F33" s="4" t="s">
        <v>47</v>
      </c>
      <c r="G33" s="4" t="s">
        <v>13</v>
      </c>
      <c r="H33" s="6">
        <v>0.2</v>
      </c>
      <c r="I33" s="7">
        <v>70000</v>
      </c>
      <c r="J33" s="7">
        <f t="shared" si="0"/>
        <v>14000</v>
      </c>
      <c r="K33" s="8" t="s">
        <v>12</v>
      </c>
    </row>
    <row r="34" spans="1:11" x14ac:dyDescent="0.25">
      <c r="A34" s="4" t="s">
        <v>98</v>
      </c>
      <c r="B34" s="5" t="s">
        <v>85</v>
      </c>
      <c r="C34" s="4" t="s">
        <v>86</v>
      </c>
      <c r="D34" s="5" t="s">
        <v>165</v>
      </c>
      <c r="E34" s="4" t="s">
        <v>27</v>
      </c>
      <c r="F34" s="4" t="s">
        <v>28</v>
      </c>
      <c r="G34" s="4" t="s">
        <v>13</v>
      </c>
      <c r="H34" s="6">
        <v>7</v>
      </c>
      <c r="I34" s="7">
        <v>21000</v>
      </c>
      <c r="J34" s="7">
        <f t="shared" si="0"/>
        <v>147000</v>
      </c>
      <c r="K34" s="8" t="s">
        <v>12</v>
      </c>
    </row>
    <row r="35" spans="1:11" x14ac:dyDescent="0.25">
      <c r="A35" s="4" t="s">
        <v>98</v>
      </c>
      <c r="B35" s="5" t="s">
        <v>85</v>
      </c>
      <c r="C35" s="4" t="s">
        <v>86</v>
      </c>
      <c r="D35" s="5" t="s">
        <v>165</v>
      </c>
      <c r="E35" s="4" t="s">
        <v>76</v>
      </c>
      <c r="F35" s="4" t="s">
        <v>77</v>
      </c>
      <c r="G35" s="4" t="s">
        <v>13</v>
      </c>
      <c r="H35" s="6">
        <v>5</v>
      </c>
      <c r="I35" s="7">
        <v>38000</v>
      </c>
      <c r="J35" s="7">
        <f t="shared" si="0"/>
        <v>190000</v>
      </c>
      <c r="K35" s="8" t="s">
        <v>12</v>
      </c>
    </row>
    <row r="36" spans="1:11" x14ac:dyDescent="0.25">
      <c r="A36" s="4" t="s">
        <v>98</v>
      </c>
      <c r="B36" s="5" t="s">
        <v>85</v>
      </c>
      <c r="C36" s="4" t="s">
        <v>86</v>
      </c>
      <c r="D36" s="5" t="s">
        <v>165</v>
      </c>
      <c r="E36" s="4" t="s">
        <v>14</v>
      </c>
      <c r="F36" s="4" t="s">
        <v>15</v>
      </c>
      <c r="G36" s="4" t="s">
        <v>13</v>
      </c>
      <c r="H36" s="6">
        <v>2</v>
      </c>
      <c r="I36" s="7">
        <v>50000</v>
      </c>
      <c r="J36" s="7">
        <f t="shared" si="0"/>
        <v>100000</v>
      </c>
      <c r="K36" s="8" t="s">
        <v>12</v>
      </c>
    </row>
    <row r="37" spans="1:11" x14ac:dyDescent="0.25">
      <c r="A37" s="4" t="s">
        <v>98</v>
      </c>
      <c r="B37" s="5" t="s">
        <v>85</v>
      </c>
      <c r="C37" s="4" t="s">
        <v>86</v>
      </c>
      <c r="D37" s="5" t="s">
        <v>165</v>
      </c>
      <c r="E37" s="4" t="s">
        <v>48</v>
      </c>
      <c r="F37" s="4" t="s">
        <v>49</v>
      </c>
      <c r="G37" s="4" t="s">
        <v>13</v>
      </c>
      <c r="H37" s="6">
        <v>8</v>
      </c>
      <c r="I37" s="7">
        <v>62000</v>
      </c>
      <c r="J37" s="7">
        <f t="shared" si="0"/>
        <v>496000</v>
      </c>
      <c r="K37" s="8" t="s">
        <v>12</v>
      </c>
    </row>
    <row r="38" spans="1:11" x14ac:dyDescent="0.25">
      <c r="A38" s="4" t="s">
        <v>100</v>
      </c>
      <c r="B38" s="5" t="s">
        <v>85</v>
      </c>
      <c r="C38" s="4" t="s">
        <v>86</v>
      </c>
      <c r="D38" s="5" t="s">
        <v>166</v>
      </c>
      <c r="E38" s="4" t="s">
        <v>31</v>
      </c>
      <c r="F38" s="4" t="s">
        <v>32</v>
      </c>
      <c r="G38" s="4" t="s">
        <v>33</v>
      </c>
      <c r="H38" s="6">
        <v>8</v>
      </c>
      <c r="I38" s="7">
        <v>8500</v>
      </c>
      <c r="J38" s="7">
        <f t="shared" si="0"/>
        <v>68000</v>
      </c>
      <c r="K38" s="8" t="s">
        <v>12</v>
      </c>
    </row>
    <row r="39" spans="1:11" x14ac:dyDescent="0.25">
      <c r="A39" s="4" t="s">
        <v>100</v>
      </c>
      <c r="B39" s="5" t="s">
        <v>85</v>
      </c>
      <c r="C39" s="4" t="s">
        <v>86</v>
      </c>
      <c r="D39" s="5" t="s">
        <v>166</v>
      </c>
      <c r="E39" s="4" t="s">
        <v>34</v>
      </c>
      <c r="F39" s="4" t="s">
        <v>35</v>
      </c>
      <c r="G39" s="4" t="s">
        <v>13</v>
      </c>
      <c r="H39" s="6">
        <v>1.5</v>
      </c>
      <c r="I39" s="7">
        <v>30000</v>
      </c>
      <c r="J39" s="7">
        <f t="shared" si="0"/>
        <v>45000</v>
      </c>
      <c r="K39" s="8" t="s">
        <v>12</v>
      </c>
    </row>
    <row r="40" spans="1:11" x14ac:dyDescent="0.25">
      <c r="A40" s="4" t="s">
        <v>100</v>
      </c>
      <c r="B40" s="5" t="s">
        <v>85</v>
      </c>
      <c r="C40" s="4" t="s">
        <v>86</v>
      </c>
      <c r="D40" s="5" t="s">
        <v>166</v>
      </c>
      <c r="E40" s="4" t="s">
        <v>62</v>
      </c>
      <c r="F40" s="4" t="s">
        <v>63</v>
      </c>
      <c r="G40" s="4" t="s">
        <v>13</v>
      </c>
      <c r="H40" s="6">
        <v>1.5</v>
      </c>
      <c r="I40" s="7">
        <v>45000</v>
      </c>
      <c r="J40" s="7">
        <f t="shared" si="0"/>
        <v>67500</v>
      </c>
      <c r="K40" s="8" t="s">
        <v>12</v>
      </c>
    </row>
    <row r="41" spans="1:11" x14ac:dyDescent="0.25">
      <c r="A41" s="4" t="s">
        <v>100</v>
      </c>
      <c r="B41" s="5" t="s">
        <v>85</v>
      </c>
      <c r="C41" s="4" t="s">
        <v>86</v>
      </c>
      <c r="D41" s="5" t="s">
        <v>166</v>
      </c>
      <c r="E41" s="4" t="s">
        <v>64</v>
      </c>
      <c r="F41" s="4" t="s">
        <v>65</v>
      </c>
      <c r="G41" s="4" t="s">
        <v>13</v>
      </c>
      <c r="H41" s="6">
        <v>1</v>
      </c>
      <c r="I41" s="7">
        <v>50000</v>
      </c>
      <c r="J41" s="7">
        <f t="shared" si="0"/>
        <v>50000</v>
      </c>
      <c r="K41" s="8" t="s">
        <v>12</v>
      </c>
    </row>
    <row r="42" spans="1:11" x14ac:dyDescent="0.25">
      <c r="A42" s="4" t="s">
        <v>100</v>
      </c>
      <c r="B42" s="5" t="s">
        <v>85</v>
      </c>
      <c r="C42" s="4" t="s">
        <v>86</v>
      </c>
      <c r="D42" s="5" t="s">
        <v>166</v>
      </c>
      <c r="E42" s="4" t="s">
        <v>66</v>
      </c>
      <c r="F42" s="4" t="s">
        <v>67</v>
      </c>
      <c r="G42" s="4" t="s">
        <v>13</v>
      </c>
      <c r="H42" s="6">
        <v>12</v>
      </c>
      <c r="I42" s="7">
        <v>18000</v>
      </c>
      <c r="J42" s="7">
        <f t="shared" si="0"/>
        <v>216000</v>
      </c>
      <c r="K42" s="8" t="s">
        <v>12</v>
      </c>
    </row>
    <row r="43" spans="1:11" x14ac:dyDescent="0.25">
      <c r="A43" s="4" t="s">
        <v>100</v>
      </c>
      <c r="B43" s="5" t="s">
        <v>85</v>
      </c>
      <c r="C43" s="4" t="s">
        <v>86</v>
      </c>
      <c r="D43" s="5" t="s">
        <v>166</v>
      </c>
      <c r="E43" s="4" t="s">
        <v>54</v>
      </c>
      <c r="F43" s="4" t="s">
        <v>55</v>
      </c>
      <c r="G43" s="4" t="s">
        <v>13</v>
      </c>
      <c r="H43" s="6">
        <v>0.4</v>
      </c>
      <c r="I43" s="7">
        <v>75000</v>
      </c>
      <c r="J43" s="7">
        <f t="shared" si="0"/>
        <v>30000</v>
      </c>
      <c r="K43" s="8" t="s">
        <v>12</v>
      </c>
    </row>
    <row r="44" spans="1:11" x14ac:dyDescent="0.25">
      <c r="A44" s="4" t="s">
        <v>100</v>
      </c>
      <c r="B44" s="5" t="s">
        <v>85</v>
      </c>
      <c r="C44" s="4" t="s">
        <v>86</v>
      </c>
      <c r="D44" s="5" t="s">
        <v>166</v>
      </c>
      <c r="E44" s="4" t="s">
        <v>56</v>
      </c>
      <c r="F44" s="4" t="s">
        <v>57</v>
      </c>
      <c r="G44" s="4" t="s">
        <v>13</v>
      </c>
      <c r="H44" s="6">
        <v>0.5</v>
      </c>
      <c r="I44" s="7">
        <v>34000</v>
      </c>
      <c r="J44" s="7">
        <f t="shared" si="0"/>
        <v>17000</v>
      </c>
      <c r="K44" s="8" t="s">
        <v>12</v>
      </c>
    </row>
    <row r="45" spans="1:11" x14ac:dyDescent="0.25">
      <c r="A45" s="4" t="s">
        <v>100</v>
      </c>
      <c r="B45" s="5" t="s">
        <v>85</v>
      </c>
      <c r="C45" s="4" t="s">
        <v>86</v>
      </c>
      <c r="D45" s="5" t="s">
        <v>166</v>
      </c>
      <c r="E45" s="4" t="s">
        <v>16</v>
      </c>
      <c r="F45" s="4" t="s">
        <v>17</v>
      </c>
      <c r="G45" s="4" t="s">
        <v>13</v>
      </c>
      <c r="H45" s="6">
        <v>2</v>
      </c>
      <c r="I45" s="7">
        <v>47000</v>
      </c>
      <c r="J45" s="7">
        <f t="shared" si="0"/>
        <v>94000</v>
      </c>
      <c r="K45" s="8" t="s">
        <v>12</v>
      </c>
    </row>
    <row r="46" spans="1:11" x14ac:dyDescent="0.25">
      <c r="A46" s="4" t="s">
        <v>100</v>
      </c>
      <c r="B46" s="5" t="s">
        <v>85</v>
      </c>
      <c r="C46" s="4" t="s">
        <v>86</v>
      </c>
      <c r="D46" s="5" t="s">
        <v>166</v>
      </c>
      <c r="E46" s="4" t="s">
        <v>50</v>
      </c>
      <c r="F46" s="4" t="s">
        <v>51</v>
      </c>
      <c r="G46" s="4" t="s">
        <v>13</v>
      </c>
      <c r="H46" s="6">
        <v>21</v>
      </c>
      <c r="I46" s="7">
        <v>18000</v>
      </c>
      <c r="J46" s="7">
        <f t="shared" si="0"/>
        <v>378000</v>
      </c>
      <c r="K46" s="8" t="s">
        <v>12</v>
      </c>
    </row>
    <row r="47" spans="1:11" x14ac:dyDescent="0.25">
      <c r="A47" s="4" t="s">
        <v>100</v>
      </c>
      <c r="B47" s="5" t="s">
        <v>85</v>
      </c>
      <c r="C47" s="4" t="s">
        <v>86</v>
      </c>
      <c r="D47" s="5" t="s">
        <v>166</v>
      </c>
      <c r="E47" s="4" t="s">
        <v>78</v>
      </c>
      <c r="F47" s="4" t="s">
        <v>79</v>
      </c>
      <c r="G47" s="4" t="s">
        <v>13</v>
      </c>
      <c r="H47" s="6">
        <v>0.5</v>
      </c>
      <c r="I47" s="7">
        <v>30000</v>
      </c>
      <c r="J47" s="7">
        <f t="shared" si="0"/>
        <v>15000</v>
      </c>
      <c r="K47" s="8" t="s">
        <v>12</v>
      </c>
    </row>
    <row r="48" spans="1:11" x14ac:dyDescent="0.25">
      <c r="A48" s="4" t="s">
        <v>100</v>
      </c>
      <c r="B48" s="5" t="s">
        <v>85</v>
      </c>
      <c r="C48" s="4" t="s">
        <v>86</v>
      </c>
      <c r="D48" s="5" t="s">
        <v>166</v>
      </c>
      <c r="E48" s="4" t="s">
        <v>18</v>
      </c>
      <c r="F48" s="4" t="s">
        <v>19</v>
      </c>
      <c r="G48" s="4" t="s">
        <v>13</v>
      </c>
      <c r="H48" s="6">
        <v>1.5</v>
      </c>
      <c r="I48" s="7">
        <v>55000</v>
      </c>
      <c r="J48" s="7">
        <f t="shared" si="0"/>
        <v>82500</v>
      </c>
      <c r="K48" s="8" t="s">
        <v>12</v>
      </c>
    </row>
    <row r="49" spans="1:11" x14ac:dyDescent="0.25">
      <c r="A49" s="4" t="s">
        <v>100</v>
      </c>
      <c r="B49" s="5" t="s">
        <v>85</v>
      </c>
      <c r="C49" s="4" t="s">
        <v>86</v>
      </c>
      <c r="D49" s="5" t="s">
        <v>166</v>
      </c>
      <c r="E49" s="4" t="s">
        <v>80</v>
      </c>
      <c r="F49" s="4" t="s">
        <v>81</v>
      </c>
      <c r="G49" s="4" t="s">
        <v>82</v>
      </c>
      <c r="H49" s="6">
        <v>1</v>
      </c>
      <c r="I49" s="7">
        <v>80000</v>
      </c>
      <c r="J49" s="7">
        <f t="shared" si="0"/>
        <v>80000</v>
      </c>
      <c r="K49" s="8" t="s">
        <v>12</v>
      </c>
    </row>
    <row r="50" spans="1:11" x14ac:dyDescent="0.25">
      <c r="A50" s="4" t="s">
        <v>100</v>
      </c>
      <c r="B50" s="5" t="s">
        <v>85</v>
      </c>
      <c r="C50" s="4" t="s">
        <v>86</v>
      </c>
      <c r="D50" s="5" t="s">
        <v>166</v>
      </c>
      <c r="E50" s="4" t="s">
        <v>70</v>
      </c>
      <c r="F50" s="4" t="s">
        <v>71</v>
      </c>
      <c r="G50" s="4" t="s">
        <v>13</v>
      </c>
      <c r="H50" s="6">
        <v>2.5</v>
      </c>
      <c r="I50" s="7">
        <v>30000</v>
      </c>
      <c r="J50" s="7">
        <f t="shared" si="0"/>
        <v>75000</v>
      </c>
      <c r="K50" s="8" t="s">
        <v>12</v>
      </c>
    </row>
    <row r="51" spans="1:11" x14ac:dyDescent="0.25">
      <c r="A51" s="4" t="s">
        <v>100</v>
      </c>
      <c r="B51" s="5" t="s">
        <v>85</v>
      </c>
      <c r="C51" s="4" t="s">
        <v>86</v>
      </c>
      <c r="D51" s="5" t="s">
        <v>166</v>
      </c>
      <c r="E51" s="4" t="s">
        <v>74</v>
      </c>
      <c r="F51" s="4" t="s">
        <v>75</v>
      </c>
      <c r="G51" s="4" t="s">
        <v>13</v>
      </c>
      <c r="H51" s="6">
        <v>4.2</v>
      </c>
      <c r="I51" s="7">
        <v>22000</v>
      </c>
      <c r="J51" s="7">
        <f t="shared" si="0"/>
        <v>92400</v>
      </c>
      <c r="K51" s="8" t="s">
        <v>12</v>
      </c>
    </row>
    <row r="52" spans="1:11" x14ac:dyDescent="0.25">
      <c r="A52" s="4" t="s">
        <v>100</v>
      </c>
      <c r="B52" s="5" t="s">
        <v>85</v>
      </c>
      <c r="C52" s="4" t="s">
        <v>86</v>
      </c>
      <c r="D52" s="5" t="s">
        <v>166</v>
      </c>
      <c r="E52" s="4" t="s">
        <v>36</v>
      </c>
      <c r="F52" s="4" t="s">
        <v>37</v>
      </c>
      <c r="G52" s="4" t="s">
        <v>13</v>
      </c>
      <c r="H52" s="6">
        <v>3</v>
      </c>
      <c r="I52" s="7">
        <v>145000</v>
      </c>
      <c r="J52" s="7">
        <f t="shared" si="0"/>
        <v>435000</v>
      </c>
      <c r="K52" s="8" t="s">
        <v>12</v>
      </c>
    </row>
    <row r="53" spans="1:11" x14ac:dyDescent="0.25">
      <c r="A53" s="4" t="s">
        <v>100</v>
      </c>
      <c r="B53" s="5" t="s">
        <v>85</v>
      </c>
      <c r="C53" s="4" t="s">
        <v>86</v>
      </c>
      <c r="D53" s="5" t="s">
        <v>166</v>
      </c>
      <c r="E53" s="4" t="s">
        <v>38</v>
      </c>
      <c r="F53" s="4" t="s">
        <v>39</v>
      </c>
      <c r="G53" s="4" t="s">
        <v>13</v>
      </c>
      <c r="H53" s="6">
        <v>5</v>
      </c>
      <c r="I53" s="7">
        <v>47000</v>
      </c>
      <c r="J53" s="7">
        <f t="shared" si="0"/>
        <v>235000</v>
      </c>
      <c r="K53" s="8" t="s">
        <v>12</v>
      </c>
    </row>
    <row r="54" spans="1:11" x14ac:dyDescent="0.25">
      <c r="A54" s="4" t="s">
        <v>100</v>
      </c>
      <c r="B54" s="5" t="s">
        <v>85</v>
      </c>
      <c r="C54" s="4" t="s">
        <v>86</v>
      </c>
      <c r="D54" s="5" t="s">
        <v>166</v>
      </c>
      <c r="E54" s="4" t="s">
        <v>40</v>
      </c>
      <c r="F54" s="4" t="s">
        <v>41</v>
      </c>
      <c r="G54" s="4" t="s">
        <v>13</v>
      </c>
      <c r="H54" s="6">
        <v>2</v>
      </c>
      <c r="I54" s="7">
        <v>80000</v>
      </c>
      <c r="J54" s="7">
        <f t="shared" si="0"/>
        <v>160000</v>
      </c>
      <c r="K54" s="8" t="s">
        <v>12</v>
      </c>
    </row>
    <row r="55" spans="1:11" ht="28.5" x14ac:dyDescent="0.25">
      <c r="A55" s="4" t="s">
        <v>100</v>
      </c>
      <c r="B55" s="5" t="s">
        <v>85</v>
      </c>
      <c r="C55" s="4" t="s">
        <v>86</v>
      </c>
      <c r="D55" s="5" t="s">
        <v>166</v>
      </c>
      <c r="E55" s="4" t="s">
        <v>87</v>
      </c>
      <c r="F55" s="4" t="s">
        <v>88</v>
      </c>
      <c r="G55" s="4" t="s">
        <v>89</v>
      </c>
      <c r="H55" s="6">
        <v>30</v>
      </c>
      <c r="I55" s="7">
        <v>11000</v>
      </c>
      <c r="J55" s="7">
        <f t="shared" si="0"/>
        <v>330000</v>
      </c>
      <c r="K55" s="8" t="s">
        <v>12</v>
      </c>
    </row>
    <row r="56" spans="1:11" ht="28.5" x14ac:dyDescent="0.25">
      <c r="A56" s="4" t="s">
        <v>100</v>
      </c>
      <c r="B56" s="5" t="s">
        <v>85</v>
      </c>
      <c r="C56" s="4" t="s">
        <v>86</v>
      </c>
      <c r="D56" s="5" t="s">
        <v>166</v>
      </c>
      <c r="E56" s="4" t="s">
        <v>44</v>
      </c>
      <c r="F56" s="4" t="s">
        <v>45</v>
      </c>
      <c r="G56" s="4" t="s">
        <v>13</v>
      </c>
      <c r="H56" s="6">
        <v>5</v>
      </c>
      <c r="I56" s="7">
        <v>95000</v>
      </c>
      <c r="J56" s="7">
        <f t="shared" si="0"/>
        <v>475000</v>
      </c>
      <c r="K56" s="8" t="s">
        <v>12</v>
      </c>
    </row>
    <row r="57" spans="1:11" x14ac:dyDescent="0.25">
      <c r="A57" s="4" t="s">
        <v>100</v>
      </c>
      <c r="B57" s="5" t="s">
        <v>85</v>
      </c>
      <c r="C57" s="4" t="s">
        <v>86</v>
      </c>
      <c r="D57" s="5" t="s">
        <v>166</v>
      </c>
      <c r="E57" s="4" t="s">
        <v>20</v>
      </c>
      <c r="F57" s="4" t="s">
        <v>21</v>
      </c>
      <c r="G57" s="4" t="s">
        <v>13</v>
      </c>
      <c r="H57" s="6">
        <v>1.5</v>
      </c>
      <c r="I57" s="7">
        <v>45000</v>
      </c>
      <c r="J57" s="7">
        <f t="shared" si="0"/>
        <v>67500</v>
      </c>
      <c r="K57" s="8" t="s">
        <v>12</v>
      </c>
    </row>
    <row r="58" spans="1:11" x14ac:dyDescent="0.25">
      <c r="A58" s="4" t="s">
        <v>100</v>
      </c>
      <c r="B58" s="5" t="s">
        <v>85</v>
      </c>
      <c r="C58" s="4" t="s">
        <v>86</v>
      </c>
      <c r="D58" s="5" t="s">
        <v>166</v>
      </c>
      <c r="E58" s="4" t="s">
        <v>46</v>
      </c>
      <c r="F58" s="4" t="s">
        <v>47</v>
      </c>
      <c r="G58" s="4" t="s">
        <v>13</v>
      </c>
      <c r="H58" s="6">
        <v>0.2</v>
      </c>
      <c r="I58" s="7">
        <v>70000</v>
      </c>
      <c r="J58" s="7">
        <f t="shared" si="0"/>
        <v>14000</v>
      </c>
      <c r="K58" s="8" t="s">
        <v>12</v>
      </c>
    </row>
    <row r="59" spans="1:11" x14ac:dyDescent="0.25">
      <c r="A59" s="4" t="s">
        <v>100</v>
      </c>
      <c r="B59" s="5" t="s">
        <v>85</v>
      </c>
      <c r="C59" s="4" t="s">
        <v>86</v>
      </c>
      <c r="D59" s="5" t="s">
        <v>166</v>
      </c>
      <c r="E59" s="4" t="s">
        <v>29</v>
      </c>
      <c r="F59" s="4" t="s">
        <v>30</v>
      </c>
      <c r="G59" s="4" t="s">
        <v>13</v>
      </c>
      <c r="H59" s="6">
        <v>1.5</v>
      </c>
      <c r="I59" s="7">
        <v>145000</v>
      </c>
      <c r="J59" s="7">
        <f t="shared" si="0"/>
        <v>217500</v>
      </c>
      <c r="K59" s="8" t="s">
        <v>12</v>
      </c>
    </row>
    <row r="60" spans="1:11" x14ac:dyDescent="0.25">
      <c r="A60" s="4" t="s">
        <v>100</v>
      </c>
      <c r="B60" s="5" t="s">
        <v>85</v>
      </c>
      <c r="C60" s="4" t="s">
        <v>86</v>
      </c>
      <c r="D60" s="5" t="s">
        <v>166</v>
      </c>
      <c r="E60" s="4" t="s">
        <v>27</v>
      </c>
      <c r="F60" s="4" t="s">
        <v>28</v>
      </c>
      <c r="G60" s="4" t="s">
        <v>13</v>
      </c>
      <c r="H60" s="6">
        <v>7</v>
      </c>
      <c r="I60" s="7">
        <v>21000</v>
      </c>
      <c r="J60" s="7">
        <f t="shared" si="0"/>
        <v>147000</v>
      </c>
      <c r="K60" s="8" t="s">
        <v>12</v>
      </c>
    </row>
    <row r="61" spans="1:11" x14ac:dyDescent="0.25">
      <c r="A61" s="4" t="s">
        <v>100</v>
      </c>
      <c r="B61" s="5" t="s">
        <v>85</v>
      </c>
      <c r="C61" s="4" t="s">
        <v>86</v>
      </c>
      <c r="D61" s="5" t="s">
        <v>166</v>
      </c>
      <c r="E61" s="4" t="s">
        <v>76</v>
      </c>
      <c r="F61" s="4" t="s">
        <v>77</v>
      </c>
      <c r="G61" s="4" t="s">
        <v>13</v>
      </c>
      <c r="H61" s="6">
        <v>4</v>
      </c>
      <c r="I61" s="7">
        <v>38000</v>
      </c>
      <c r="J61" s="7">
        <f t="shared" si="0"/>
        <v>152000</v>
      </c>
      <c r="K61" s="8" t="s">
        <v>12</v>
      </c>
    </row>
    <row r="62" spans="1:11" x14ac:dyDescent="0.25">
      <c r="A62" s="4" t="s">
        <v>100</v>
      </c>
      <c r="B62" s="5" t="s">
        <v>85</v>
      </c>
      <c r="C62" s="4" t="s">
        <v>86</v>
      </c>
      <c r="D62" s="5" t="s">
        <v>166</v>
      </c>
      <c r="E62" s="4" t="s">
        <v>14</v>
      </c>
      <c r="F62" s="4" t="s">
        <v>15</v>
      </c>
      <c r="G62" s="4" t="s">
        <v>13</v>
      </c>
      <c r="H62" s="6">
        <v>2</v>
      </c>
      <c r="I62" s="7">
        <v>50000</v>
      </c>
      <c r="J62" s="7">
        <f t="shared" si="0"/>
        <v>100000</v>
      </c>
      <c r="K62" s="8" t="s">
        <v>12</v>
      </c>
    </row>
    <row r="63" spans="1:11" x14ac:dyDescent="0.25">
      <c r="A63" s="4" t="s">
        <v>100</v>
      </c>
      <c r="B63" s="5" t="s">
        <v>85</v>
      </c>
      <c r="C63" s="4" t="s">
        <v>86</v>
      </c>
      <c r="D63" s="5" t="s">
        <v>166</v>
      </c>
      <c r="E63" s="4" t="s">
        <v>48</v>
      </c>
      <c r="F63" s="4" t="s">
        <v>49</v>
      </c>
      <c r="G63" s="4" t="s">
        <v>13</v>
      </c>
      <c r="H63" s="6">
        <v>8</v>
      </c>
      <c r="I63" s="7">
        <v>62000</v>
      </c>
      <c r="J63" s="7">
        <f t="shared" si="0"/>
        <v>496000</v>
      </c>
      <c r="K63" s="8" t="s">
        <v>12</v>
      </c>
    </row>
    <row r="64" spans="1:11" x14ac:dyDescent="0.25">
      <c r="A64" s="4" t="s">
        <v>104</v>
      </c>
      <c r="B64" s="5" t="s">
        <v>85</v>
      </c>
      <c r="C64" s="4" t="s">
        <v>86</v>
      </c>
      <c r="D64" s="5" t="s">
        <v>167</v>
      </c>
      <c r="E64" s="4" t="s">
        <v>31</v>
      </c>
      <c r="F64" s="4" t="s">
        <v>32</v>
      </c>
      <c r="G64" s="4" t="s">
        <v>33</v>
      </c>
      <c r="H64" s="6">
        <v>5</v>
      </c>
      <c r="I64" s="7">
        <v>8500</v>
      </c>
      <c r="J64" s="7">
        <f t="shared" si="0"/>
        <v>42500</v>
      </c>
      <c r="K64" s="8" t="s">
        <v>12</v>
      </c>
    </row>
    <row r="65" spans="1:11" x14ac:dyDescent="0.25">
      <c r="A65" s="4" t="s">
        <v>104</v>
      </c>
      <c r="B65" s="5" t="s">
        <v>85</v>
      </c>
      <c r="C65" s="4" t="s">
        <v>86</v>
      </c>
      <c r="D65" s="5" t="s">
        <v>167</v>
      </c>
      <c r="E65" s="4" t="s">
        <v>62</v>
      </c>
      <c r="F65" s="4" t="s">
        <v>63</v>
      </c>
      <c r="G65" s="4" t="s">
        <v>13</v>
      </c>
      <c r="H65" s="6">
        <v>1.7</v>
      </c>
      <c r="I65" s="7">
        <v>45000</v>
      </c>
      <c r="J65" s="7">
        <f t="shared" si="0"/>
        <v>76500</v>
      </c>
      <c r="K65" s="8" t="s">
        <v>12</v>
      </c>
    </row>
    <row r="66" spans="1:11" x14ac:dyDescent="0.25">
      <c r="A66" s="4" t="s">
        <v>104</v>
      </c>
      <c r="B66" s="5" t="s">
        <v>85</v>
      </c>
      <c r="C66" s="4" t="s">
        <v>86</v>
      </c>
      <c r="D66" s="5" t="s">
        <v>167</v>
      </c>
      <c r="E66" s="4" t="s">
        <v>64</v>
      </c>
      <c r="F66" s="4" t="s">
        <v>65</v>
      </c>
      <c r="G66" s="4" t="s">
        <v>13</v>
      </c>
      <c r="H66" s="6">
        <v>1</v>
      </c>
      <c r="I66" s="7">
        <v>50000</v>
      </c>
      <c r="J66" s="7">
        <f t="shared" si="0"/>
        <v>50000</v>
      </c>
      <c r="K66" s="8" t="s">
        <v>12</v>
      </c>
    </row>
    <row r="67" spans="1:11" x14ac:dyDescent="0.25">
      <c r="A67" s="4" t="s">
        <v>104</v>
      </c>
      <c r="B67" s="5" t="s">
        <v>85</v>
      </c>
      <c r="C67" s="4" t="s">
        <v>86</v>
      </c>
      <c r="D67" s="5" t="s">
        <v>167</v>
      </c>
      <c r="E67" s="4" t="s">
        <v>66</v>
      </c>
      <c r="F67" s="4" t="s">
        <v>67</v>
      </c>
      <c r="G67" s="4" t="s">
        <v>13</v>
      </c>
      <c r="H67" s="6">
        <v>11.2</v>
      </c>
      <c r="I67" s="7">
        <v>18000</v>
      </c>
      <c r="J67" s="7">
        <f t="shared" si="0"/>
        <v>201600</v>
      </c>
      <c r="K67" s="8" t="s">
        <v>12</v>
      </c>
    </row>
    <row r="68" spans="1:11" x14ac:dyDescent="0.25">
      <c r="A68" s="4" t="s">
        <v>104</v>
      </c>
      <c r="B68" s="5" t="s">
        <v>85</v>
      </c>
      <c r="C68" s="4" t="s">
        <v>86</v>
      </c>
      <c r="D68" s="5" t="s">
        <v>167</v>
      </c>
      <c r="E68" s="4" t="s">
        <v>16</v>
      </c>
      <c r="F68" s="4" t="s">
        <v>17</v>
      </c>
      <c r="G68" s="4" t="s">
        <v>13</v>
      </c>
      <c r="H68" s="6">
        <v>1.9</v>
      </c>
      <c r="I68" s="7">
        <v>47000</v>
      </c>
      <c r="J68" s="7">
        <f t="shared" si="0"/>
        <v>89300</v>
      </c>
      <c r="K68" s="8" t="s">
        <v>12</v>
      </c>
    </row>
    <row r="69" spans="1:11" x14ac:dyDescent="0.25">
      <c r="A69" s="4" t="s">
        <v>104</v>
      </c>
      <c r="B69" s="5" t="s">
        <v>85</v>
      </c>
      <c r="C69" s="4" t="s">
        <v>86</v>
      </c>
      <c r="D69" s="5" t="s">
        <v>167</v>
      </c>
      <c r="E69" s="4" t="s">
        <v>50</v>
      </c>
      <c r="F69" s="4" t="s">
        <v>51</v>
      </c>
      <c r="G69" s="4" t="s">
        <v>13</v>
      </c>
      <c r="H69" s="6">
        <v>23.5</v>
      </c>
      <c r="I69" s="7">
        <v>18000</v>
      </c>
      <c r="J69" s="7">
        <f t="shared" si="0"/>
        <v>423000</v>
      </c>
      <c r="K69" s="8" t="s">
        <v>12</v>
      </c>
    </row>
    <row r="70" spans="1:11" x14ac:dyDescent="0.25">
      <c r="A70" s="4" t="s">
        <v>104</v>
      </c>
      <c r="B70" s="5" t="s">
        <v>85</v>
      </c>
      <c r="C70" s="4" t="s">
        <v>86</v>
      </c>
      <c r="D70" s="5" t="s">
        <v>167</v>
      </c>
      <c r="E70" s="4" t="s">
        <v>78</v>
      </c>
      <c r="F70" s="4" t="s">
        <v>79</v>
      </c>
      <c r="G70" s="4" t="s">
        <v>13</v>
      </c>
      <c r="H70" s="6">
        <v>0.5</v>
      </c>
      <c r="I70" s="7">
        <v>30000</v>
      </c>
      <c r="J70" s="7">
        <f t="shared" si="0"/>
        <v>15000</v>
      </c>
      <c r="K70" s="8" t="s">
        <v>12</v>
      </c>
    </row>
    <row r="71" spans="1:11" x14ac:dyDescent="0.25">
      <c r="A71" s="4" t="s">
        <v>104</v>
      </c>
      <c r="B71" s="5" t="s">
        <v>85</v>
      </c>
      <c r="C71" s="4" t="s">
        <v>86</v>
      </c>
      <c r="D71" s="5" t="s">
        <v>167</v>
      </c>
      <c r="E71" s="4" t="s">
        <v>18</v>
      </c>
      <c r="F71" s="4" t="s">
        <v>19</v>
      </c>
      <c r="G71" s="4" t="s">
        <v>13</v>
      </c>
      <c r="H71" s="6">
        <v>1.5</v>
      </c>
      <c r="I71" s="7">
        <v>55000</v>
      </c>
      <c r="J71" s="7">
        <f t="shared" si="0"/>
        <v>82500</v>
      </c>
      <c r="K71" s="8" t="s">
        <v>12</v>
      </c>
    </row>
    <row r="72" spans="1:11" x14ac:dyDescent="0.25">
      <c r="A72" s="4" t="s">
        <v>104</v>
      </c>
      <c r="B72" s="5" t="s">
        <v>85</v>
      </c>
      <c r="C72" s="4" t="s">
        <v>86</v>
      </c>
      <c r="D72" s="5" t="s">
        <v>167</v>
      </c>
      <c r="E72" s="4" t="s">
        <v>80</v>
      </c>
      <c r="F72" s="4" t="s">
        <v>81</v>
      </c>
      <c r="G72" s="4" t="s">
        <v>82</v>
      </c>
      <c r="H72" s="6">
        <v>1</v>
      </c>
      <c r="I72" s="7">
        <v>80000</v>
      </c>
      <c r="J72" s="7">
        <f t="shared" si="0"/>
        <v>80000</v>
      </c>
      <c r="K72" s="8" t="s">
        <v>12</v>
      </c>
    </row>
    <row r="73" spans="1:11" x14ac:dyDescent="0.25">
      <c r="A73" s="4" t="s">
        <v>104</v>
      </c>
      <c r="B73" s="5" t="s">
        <v>85</v>
      </c>
      <c r="C73" s="4" t="s">
        <v>86</v>
      </c>
      <c r="D73" s="5" t="s">
        <v>167</v>
      </c>
      <c r="E73" s="4" t="s">
        <v>52</v>
      </c>
      <c r="F73" s="4" t="s">
        <v>53</v>
      </c>
      <c r="G73" s="4" t="s">
        <v>13</v>
      </c>
      <c r="H73" s="6">
        <v>0.3</v>
      </c>
      <c r="I73" s="7">
        <v>65000</v>
      </c>
      <c r="J73" s="7">
        <f t="shared" si="0"/>
        <v>19500</v>
      </c>
      <c r="K73" s="8" t="s">
        <v>12</v>
      </c>
    </row>
    <row r="74" spans="1:11" x14ac:dyDescent="0.25">
      <c r="A74" s="4" t="s">
        <v>104</v>
      </c>
      <c r="B74" s="5" t="s">
        <v>85</v>
      </c>
      <c r="C74" s="4" t="s">
        <v>86</v>
      </c>
      <c r="D74" s="5" t="s">
        <v>167</v>
      </c>
      <c r="E74" s="4" t="s">
        <v>70</v>
      </c>
      <c r="F74" s="4" t="s">
        <v>71</v>
      </c>
      <c r="G74" s="4" t="s">
        <v>13</v>
      </c>
      <c r="H74" s="6">
        <v>2.2000000000000002</v>
      </c>
      <c r="I74" s="7">
        <v>30000</v>
      </c>
      <c r="J74" s="7">
        <f t="shared" si="0"/>
        <v>66000</v>
      </c>
      <c r="K74" s="8" t="s">
        <v>12</v>
      </c>
    </row>
    <row r="75" spans="1:11" x14ac:dyDescent="0.25">
      <c r="A75" s="4" t="s">
        <v>104</v>
      </c>
      <c r="B75" s="5" t="s">
        <v>85</v>
      </c>
      <c r="C75" s="4" t="s">
        <v>86</v>
      </c>
      <c r="D75" s="5" t="s">
        <v>167</v>
      </c>
      <c r="E75" s="4" t="s">
        <v>74</v>
      </c>
      <c r="F75" s="4" t="s">
        <v>75</v>
      </c>
      <c r="G75" s="4" t="s">
        <v>13</v>
      </c>
      <c r="H75" s="6">
        <v>5</v>
      </c>
      <c r="I75" s="7">
        <v>22000</v>
      </c>
      <c r="J75" s="7">
        <f t="shared" si="0"/>
        <v>110000</v>
      </c>
      <c r="K75" s="8" t="s">
        <v>12</v>
      </c>
    </row>
    <row r="76" spans="1:11" x14ac:dyDescent="0.25">
      <c r="A76" s="4" t="s">
        <v>104</v>
      </c>
      <c r="B76" s="5" t="s">
        <v>85</v>
      </c>
      <c r="C76" s="4" t="s">
        <v>86</v>
      </c>
      <c r="D76" s="5" t="s">
        <v>167</v>
      </c>
      <c r="E76" s="4" t="s">
        <v>36</v>
      </c>
      <c r="F76" s="4" t="s">
        <v>37</v>
      </c>
      <c r="G76" s="4" t="s">
        <v>13</v>
      </c>
      <c r="H76" s="6">
        <v>3</v>
      </c>
      <c r="I76" s="7">
        <v>145000</v>
      </c>
      <c r="J76" s="7">
        <f t="shared" si="0"/>
        <v>435000</v>
      </c>
      <c r="K76" s="8" t="s">
        <v>12</v>
      </c>
    </row>
    <row r="77" spans="1:11" x14ac:dyDescent="0.25">
      <c r="A77" s="4" t="s">
        <v>104</v>
      </c>
      <c r="B77" s="5" t="s">
        <v>85</v>
      </c>
      <c r="C77" s="4" t="s">
        <v>86</v>
      </c>
      <c r="D77" s="5" t="s">
        <v>167</v>
      </c>
      <c r="E77" s="4" t="s">
        <v>38</v>
      </c>
      <c r="F77" s="4" t="s">
        <v>39</v>
      </c>
      <c r="G77" s="4" t="s">
        <v>13</v>
      </c>
      <c r="H77" s="6">
        <v>5</v>
      </c>
      <c r="I77" s="7">
        <v>47000</v>
      </c>
      <c r="J77" s="7">
        <f t="shared" si="0"/>
        <v>235000</v>
      </c>
      <c r="K77" s="8" t="s">
        <v>12</v>
      </c>
    </row>
    <row r="78" spans="1:11" ht="28.5" x14ac:dyDescent="0.25">
      <c r="A78" s="4" t="s">
        <v>104</v>
      </c>
      <c r="B78" s="5" t="s">
        <v>85</v>
      </c>
      <c r="C78" s="4" t="s">
        <v>86</v>
      </c>
      <c r="D78" s="5" t="s">
        <v>167</v>
      </c>
      <c r="E78" s="4" t="s">
        <v>87</v>
      </c>
      <c r="F78" s="4" t="s">
        <v>88</v>
      </c>
      <c r="G78" s="4" t="s">
        <v>89</v>
      </c>
      <c r="H78" s="6">
        <v>30</v>
      </c>
      <c r="I78" s="7">
        <v>11000</v>
      </c>
      <c r="J78" s="7">
        <f t="shared" si="0"/>
        <v>330000</v>
      </c>
      <c r="K78" s="8" t="s">
        <v>12</v>
      </c>
    </row>
    <row r="79" spans="1:11" ht="28.5" x14ac:dyDescent="0.25">
      <c r="A79" s="4" t="s">
        <v>104</v>
      </c>
      <c r="B79" s="5" t="s">
        <v>85</v>
      </c>
      <c r="C79" s="4" t="s">
        <v>86</v>
      </c>
      <c r="D79" s="5" t="s">
        <v>167</v>
      </c>
      <c r="E79" s="4" t="s">
        <v>44</v>
      </c>
      <c r="F79" s="4" t="s">
        <v>45</v>
      </c>
      <c r="G79" s="4" t="s">
        <v>13</v>
      </c>
      <c r="H79" s="6">
        <v>5.2</v>
      </c>
      <c r="I79" s="7">
        <v>95000</v>
      </c>
      <c r="J79" s="7">
        <f t="shared" si="0"/>
        <v>494000</v>
      </c>
      <c r="K79" s="8" t="s">
        <v>12</v>
      </c>
    </row>
    <row r="80" spans="1:11" x14ac:dyDescent="0.25">
      <c r="A80" s="4" t="s">
        <v>104</v>
      </c>
      <c r="B80" s="5" t="s">
        <v>85</v>
      </c>
      <c r="C80" s="4" t="s">
        <v>86</v>
      </c>
      <c r="D80" s="5" t="s">
        <v>167</v>
      </c>
      <c r="E80" s="4" t="s">
        <v>20</v>
      </c>
      <c r="F80" s="4" t="s">
        <v>21</v>
      </c>
      <c r="G80" s="4" t="s">
        <v>13</v>
      </c>
      <c r="H80" s="6">
        <v>1.5</v>
      </c>
      <c r="I80" s="7">
        <v>45000</v>
      </c>
      <c r="J80" s="7">
        <f t="shared" ref="J80:J143" si="1">H80*I80</f>
        <v>67500</v>
      </c>
      <c r="K80" s="8" t="s">
        <v>12</v>
      </c>
    </row>
    <row r="81" spans="1:11" x14ac:dyDescent="0.25">
      <c r="A81" s="4" t="s">
        <v>104</v>
      </c>
      <c r="B81" s="5" t="s">
        <v>85</v>
      </c>
      <c r="C81" s="4" t="s">
        <v>86</v>
      </c>
      <c r="D81" s="5" t="s">
        <v>167</v>
      </c>
      <c r="E81" s="4" t="s">
        <v>46</v>
      </c>
      <c r="F81" s="4" t="s">
        <v>47</v>
      </c>
      <c r="G81" s="4" t="s">
        <v>13</v>
      </c>
      <c r="H81" s="6">
        <v>0.2</v>
      </c>
      <c r="I81" s="7">
        <v>70000</v>
      </c>
      <c r="J81" s="7">
        <f t="shared" si="1"/>
        <v>14000</v>
      </c>
      <c r="K81" s="8" t="s">
        <v>12</v>
      </c>
    </row>
    <row r="82" spans="1:11" x14ac:dyDescent="0.25">
      <c r="A82" s="4" t="s">
        <v>104</v>
      </c>
      <c r="B82" s="5" t="s">
        <v>85</v>
      </c>
      <c r="C82" s="4" t="s">
        <v>86</v>
      </c>
      <c r="D82" s="5" t="s">
        <v>167</v>
      </c>
      <c r="E82" s="4" t="s">
        <v>29</v>
      </c>
      <c r="F82" s="4" t="s">
        <v>30</v>
      </c>
      <c r="G82" s="4" t="s">
        <v>13</v>
      </c>
      <c r="H82" s="6">
        <v>1.3</v>
      </c>
      <c r="I82" s="7">
        <v>145000</v>
      </c>
      <c r="J82" s="7">
        <f t="shared" si="1"/>
        <v>188500</v>
      </c>
      <c r="K82" s="8" t="s">
        <v>12</v>
      </c>
    </row>
    <row r="83" spans="1:11" x14ac:dyDescent="0.25">
      <c r="A83" s="4" t="s">
        <v>104</v>
      </c>
      <c r="B83" s="5" t="s">
        <v>85</v>
      </c>
      <c r="C83" s="4" t="s">
        <v>86</v>
      </c>
      <c r="D83" s="5" t="s">
        <v>167</v>
      </c>
      <c r="E83" s="4" t="s">
        <v>27</v>
      </c>
      <c r="F83" s="4" t="s">
        <v>28</v>
      </c>
      <c r="G83" s="4" t="s">
        <v>13</v>
      </c>
      <c r="H83" s="6">
        <v>4.9000000000000004</v>
      </c>
      <c r="I83" s="7">
        <v>21000</v>
      </c>
      <c r="J83" s="7">
        <f t="shared" si="1"/>
        <v>102900.00000000001</v>
      </c>
      <c r="K83" s="8" t="s">
        <v>12</v>
      </c>
    </row>
    <row r="84" spans="1:11" x14ac:dyDescent="0.25">
      <c r="A84" s="4" t="s">
        <v>104</v>
      </c>
      <c r="B84" s="5" t="s">
        <v>85</v>
      </c>
      <c r="C84" s="4" t="s">
        <v>86</v>
      </c>
      <c r="D84" s="5" t="s">
        <v>167</v>
      </c>
      <c r="E84" s="4" t="s">
        <v>76</v>
      </c>
      <c r="F84" s="4" t="s">
        <v>77</v>
      </c>
      <c r="G84" s="4" t="s">
        <v>13</v>
      </c>
      <c r="H84" s="6">
        <v>4.8</v>
      </c>
      <c r="I84" s="7">
        <v>38000</v>
      </c>
      <c r="J84" s="7">
        <f t="shared" si="1"/>
        <v>182400</v>
      </c>
      <c r="K84" s="8" t="s">
        <v>12</v>
      </c>
    </row>
    <row r="85" spans="1:11" x14ac:dyDescent="0.25">
      <c r="A85" s="4" t="s">
        <v>104</v>
      </c>
      <c r="B85" s="5" t="s">
        <v>85</v>
      </c>
      <c r="C85" s="4" t="s">
        <v>86</v>
      </c>
      <c r="D85" s="5" t="s">
        <v>167</v>
      </c>
      <c r="E85" s="4" t="s">
        <v>14</v>
      </c>
      <c r="F85" s="4" t="s">
        <v>15</v>
      </c>
      <c r="G85" s="4" t="s">
        <v>13</v>
      </c>
      <c r="H85" s="6">
        <v>2</v>
      </c>
      <c r="I85" s="7">
        <v>50000</v>
      </c>
      <c r="J85" s="7">
        <f t="shared" si="1"/>
        <v>100000</v>
      </c>
      <c r="K85" s="8" t="s">
        <v>12</v>
      </c>
    </row>
    <row r="86" spans="1:11" x14ac:dyDescent="0.25">
      <c r="A86" s="4" t="s">
        <v>104</v>
      </c>
      <c r="B86" s="5" t="s">
        <v>85</v>
      </c>
      <c r="C86" s="4" t="s">
        <v>86</v>
      </c>
      <c r="D86" s="5" t="s">
        <v>167</v>
      </c>
      <c r="E86" s="4" t="s">
        <v>48</v>
      </c>
      <c r="F86" s="4" t="s">
        <v>49</v>
      </c>
      <c r="G86" s="4" t="s">
        <v>13</v>
      </c>
      <c r="H86" s="6">
        <v>8.3000000000000007</v>
      </c>
      <c r="I86" s="7">
        <v>62000</v>
      </c>
      <c r="J86" s="7">
        <f t="shared" si="1"/>
        <v>514600.00000000006</v>
      </c>
      <c r="K86" s="8" t="s">
        <v>12</v>
      </c>
    </row>
    <row r="87" spans="1:11" x14ac:dyDescent="0.25">
      <c r="A87" s="4" t="s">
        <v>106</v>
      </c>
      <c r="B87" s="5" t="s">
        <v>85</v>
      </c>
      <c r="C87" s="4" t="s">
        <v>86</v>
      </c>
      <c r="D87" s="5" t="s">
        <v>168</v>
      </c>
      <c r="E87" s="4" t="s">
        <v>31</v>
      </c>
      <c r="F87" s="4" t="s">
        <v>32</v>
      </c>
      <c r="G87" s="4" t="s">
        <v>33</v>
      </c>
      <c r="H87" s="6">
        <v>5</v>
      </c>
      <c r="I87" s="7">
        <v>8500</v>
      </c>
      <c r="J87" s="7">
        <f t="shared" si="1"/>
        <v>42500</v>
      </c>
      <c r="K87" s="8" t="s">
        <v>12</v>
      </c>
    </row>
    <row r="88" spans="1:11" x14ac:dyDescent="0.25">
      <c r="A88" s="4" t="s">
        <v>106</v>
      </c>
      <c r="B88" s="5" t="s">
        <v>85</v>
      </c>
      <c r="C88" s="4" t="s">
        <v>86</v>
      </c>
      <c r="D88" s="5" t="s">
        <v>168</v>
      </c>
      <c r="E88" s="4" t="s">
        <v>62</v>
      </c>
      <c r="F88" s="4" t="s">
        <v>63</v>
      </c>
      <c r="G88" s="4" t="s">
        <v>13</v>
      </c>
      <c r="H88" s="6">
        <v>1.5</v>
      </c>
      <c r="I88" s="7">
        <v>45000</v>
      </c>
      <c r="J88" s="7">
        <f t="shared" si="1"/>
        <v>67500</v>
      </c>
      <c r="K88" s="8" t="s">
        <v>12</v>
      </c>
    </row>
    <row r="89" spans="1:11" x14ac:dyDescent="0.25">
      <c r="A89" s="4" t="s">
        <v>106</v>
      </c>
      <c r="B89" s="5" t="s">
        <v>85</v>
      </c>
      <c r="C89" s="4" t="s">
        <v>86</v>
      </c>
      <c r="D89" s="5" t="s">
        <v>168</v>
      </c>
      <c r="E89" s="4" t="s">
        <v>64</v>
      </c>
      <c r="F89" s="4" t="s">
        <v>65</v>
      </c>
      <c r="G89" s="4" t="s">
        <v>13</v>
      </c>
      <c r="H89" s="6">
        <v>1</v>
      </c>
      <c r="I89" s="7">
        <v>50000</v>
      </c>
      <c r="J89" s="7">
        <f t="shared" si="1"/>
        <v>50000</v>
      </c>
      <c r="K89" s="8" t="s">
        <v>12</v>
      </c>
    </row>
    <row r="90" spans="1:11" x14ac:dyDescent="0.25">
      <c r="A90" s="4" t="s">
        <v>106</v>
      </c>
      <c r="B90" s="5" t="s">
        <v>85</v>
      </c>
      <c r="C90" s="4" t="s">
        <v>86</v>
      </c>
      <c r="D90" s="5" t="s">
        <v>168</v>
      </c>
      <c r="E90" s="4" t="s">
        <v>66</v>
      </c>
      <c r="F90" s="4" t="s">
        <v>67</v>
      </c>
      <c r="G90" s="4" t="s">
        <v>13</v>
      </c>
      <c r="H90" s="6">
        <v>12</v>
      </c>
      <c r="I90" s="7">
        <v>18000</v>
      </c>
      <c r="J90" s="7">
        <f t="shared" si="1"/>
        <v>216000</v>
      </c>
      <c r="K90" s="8" t="s">
        <v>12</v>
      </c>
    </row>
    <row r="91" spans="1:11" x14ac:dyDescent="0.25">
      <c r="A91" s="4" t="s">
        <v>106</v>
      </c>
      <c r="B91" s="5" t="s">
        <v>85</v>
      </c>
      <c r="C91" s="4" t="s">
        <v>86</v>
      </c>
      <c r="D91" s="5" t="s">
        <v>168</v>
      </c>
      <c r="E91" s="4" t="s">
        <v>54</v>
      </c>
      <c r="F91" s="4" t="s">
        <v>55</v>
      </c>
      <c r="G91" s="4" t="s">
        <v>13</v>
      </c>
      <c r="H91" s="6">
        <v>0.28999999999999998</v>
      </c>
      <c r="I91" s="7">
        <v>75000</v>
      </c>
      <c r="J91" s="7">
        <f t="shared" si="1"/>
        <v>21750</v>
      </c>
      <c r="K91" s="8" t="s">
        <v>12</v>
      </c>
    </row>
    <row r="92" spans="1:11" x14ac:dyDescent="0.25">
      <c r="A92" s="4" t="s">
        <v>106</v>
      </c>
      <c r="B92" s="5" t="s">
        <v>85</v>
      </c>
      <c r="C92" s="4" t="s">
        <v>86</v>
      </c>
      <c r="D92" s="5" t="s">
        <v>168</v>
      </c>
      <c r="E92" s="4" t="s">
        <v>56</v>
      </c>
      <c r="F92" s="4" t="s">
        <v>57</v>
      </c>
      <c r="G92" s="4" t="s">
        <v>13</v>
      </c>
      <c r="H92" s="6">
        <v>0.5</v>
      </c>
      <c r="I92" s="7">
        <v>34000</v>
      </c>
      <c r="J92" s="7">
        <f t="shared" si="1"/>
        <v>17000</v>
      </c>
      <c r="K92" s="8" t="s">
        <v>12</v>
      </c>
    </row>
    <row r="93" spans="1:11" x14ac:dyDescent="0.25">
      <c r="A93" s="4" t="s">
        <v>106</v>
      </c>
      <c r="B93" s="5" t="s">
        <v>85</v>
      </c>
      <c r="C93" s="4" t="s">
        <v>86</v>
      </c>
      <c r="D93" s="5" t="s">
        <v>168</v>
      </c>
      <c r="E93" s="4" t="s">
        <v>58</v>
      </c>
      <c r="F93" s="4" t="s">
        <v>59</v>
      </c>
      <c r="G93" s="4" t="s">
        <v>13</v>
      </c>
      <c r="H93" s="6">
        <v>0.37</v>
      </c>
      <c r="I93" s="7">
        <v>95000</v>
      </c>
      <c r="J93" s="7">
        <f t="shared" si="1"/>
        <v>35150</v>
      </c>
      <c r="K93" s="8" t="s">
        <v>12</v>
      </c>
    </row>
    <row r="94" spans="1:11" x14ac:dyDescent="0.25">
      <c r="A94" s="4" t="s">
        <v>106</v>
      </c>
      <c r="B94" s="5" t="s">
        <v>85</v>
      </c>
      <c r="C94" s="4" t="s">
        <v>86</v>
      </c>
      <c r="D94" s="5" t="s">
        <v>168</v>
      </c>
      <c r="E94" s="4" t="s">
        <v>16</v>
      </c>
      <c r="F94" s="4" t="s">
        <v>17</v>
      </c>
      <c r="G94" s="4" t="s">
        <v>13</v>
      </c>
      <c r="H94" s="6">
        <v>1.4</v>
      </c>
      <c r="I94" s="7">
        <v>47000</v>
      </c>
      <c r="J94" s="7">
        <f t="shared" si="1"/>
        <v>65800</v>
      </c>
      <c r="K94" s="8" t="s">
        <v>12</v>
      </c>
    </row>
    <row r="95" spans="1:11" x14ac:dyDescent="0.25">
      <c r="A95" s="4" t="s">
        <v>106</v>
      </c>
      <c r="B95" s="5" t="s">
        <v>85</v>
      </c>
      <c r="C95" s="4" t="s">
        <v>86</v>
      </c>
      <c r="D95" s="5" t="s">
        <v>168</v>
      </c>
      <c r="E95" s="4" t="s">
        <v>50</v>
      </c>
      <c r="F95" s="4" t="s">
        <v>51</v>
      </c>
      <c r="G95" s="4" t="s">
        <v>13</v>
      </c>
      <c r="H95" s="6">
        <v>19.2</v>
      </c>
      <c r="I95" s="7">
        <v>18000</v>
      </c>
      <c r="J95" s="7">
        <f t="shared" si="1"/>
        <v>345600</v>
      </c>
      <c r="K95" s="8" t="s">
        <v>12</v>
      </c>
    </row>
    <row r="96" spans="1:11" x14ac:dyDescent="0.25">
      <c r="A96" s="4" t="s">
        <v>106</v>
      </c>
      <c r="B96" s="5" t="s">
        <v>85</v>
      </c>
      <c r="C96" s="4" t="s">
        <v>86</v>
      </c>
      <c r="D96" s="5" t="s">
        <v>168</v>
      </c>
      <c r="E96" s="4" t="s">
        <v>78</v>
      </c>
      <c r="F96" s="4" t="s">
        <v>79</v>
      </c>
      <c r="G96" s="4" t="s">
        <v>13</v>
      </c>
      <c r="H96" s="6">
        <v>0.5</v>
      </c>
      <c r="I96" s="7">
        <v>30000</v>
      </c>
      <c r="J96" s="7">
        <f t="shared" si="1"/>
        <v>15000</v>
      </c>
      <c r="K96" s="8" t="s">
        <v>12</v>
      </c>
    </row>
    <row r="97" spans="1:11" x14ac:dyDescent="0.25">
      <c r="A97" s="4" t="s">
        <v>106</v>
      </c>
      <c r="B97" s="5" t="s">
        <v>85</v>
      </c>
      <c r="C97" s="4" t="s">
        <v>86</v>
      </c>
      <c r="D97" s="5" t="s">
        <v>168</v>
      </c>
      <c r="E97" s="4" t="s">
        <v>18</v>
      </c>
      <c r="F97" s="4" t="s">
        <v>19</v>
      </c>
      <c r="G97" s="4" t="s">
        <v>13</v>
      </c>
      <c r="H97" s="6">
        <v>1.5</v>
      </c>
      <c r="I97" s="7">
        <v>55000</v>
      </c>
      <c r="J97" s="7">
        <f t="shared" si="1"/>
        <v>82500</v>
      </c>
      <c r="K97" s="8" t="s">
        <v>12</v>
      </c>
    </row>
    <row r="98" spans="1:11" x14ac:dyDescent="0.25">
      <c r="A98" s="4" t="s">
        <v>106</v>
      </c>
      <c r="B98" s="5" t="s">
        <v>85</v>
      </c>
      <c r="C98" s="4" t="s">
        <v>86</v>
      </c>
      <c r="D98" s="5" t="s">
        <v>168</v>
      </c>
      <c r="E98" s="4" t="s">
        <v>80</v>
      </c>
      <c r="F98" s="4" t="s">
        <v>81</v>
      </c>
      <c r="G98" s="4" t="s">
        <v>82</v>
      </c>
      <c r="H98" s="6">
        <v>1</v>
      </c>
      <c r="I98" s="7">
        <v>80000</v>
      </c>
      <c r="J98" s="7">
        <f t="shared" si="1"/>
        <v>80000</v>
      </c>
      <c r="K98" s="8" t="s">
        <v>12</v>
      </c>
    </row>
    <row r="99" spans="1:11" x14ac:dyDescent="0.25">
      <c r="A99" s="4" t="s">
        <v>106</v>
      </c>
      <c r="B99" s="5" t="s">
        <v>85</v>
      </c>
      <c r="C99" s="4" t="s">
        <v>86</v>
      </c>
      <c r="D99" s="5" t="s">
        <v>168</v>
      </c>
      <c r="E99" s="4" t="s">
        <v>72</v>
      </c>
      <c r="F99" s="4" t="s">
        <v>73</v>
      </c>
      <c r="G99" s="4" t="s">
        <v>13</v>
      </c>
      <c r="H99" s="6">
        <v>2.2000000000000002</v>
      </c>
      <c r="I99" s="7">
        <v>18000</v>
      </c>
      <c r="J99" s="7">
        <f t="shared" si="1"/>
        <v>39600</v>
      </c>
      <c r="K99" s="8" t="s">
        <v>12</v>
      </c>
    </row>
    <row r="100" spans="1:11" x14ac:dyDescent="0.25">
      <c r="A100" s="4" t="s">
        <v>106</v>
      </c>
      <c r="B100" s="5" t="s">
        <v>85</v>
      </c>
      <c r="C100" s="4" t="s">
        <v>86</v>
      </c>
      <c r="D100" s="5" t="s">
        <v>168</v>
      </c>
      <c r="E100" s="4" t="s">
        <v>74</v>
      </c>
      <c r="F100" s="4" t="s">
        <v>75</v>
      </c>
      <c r="G100" s="4" t="s">
        <v>13</v>
      </c>
      <c r="H100" s="6">
        <v>5.0999999999999996</v>
      </c>
      <c r="I100" s="7">
        <v>22000</v>
      </c>
      <c r="J100" s="7">
        <f t="shared" si="1"/>
        <v>112199.99999999999</v>
      </c>
      <c r="K100" s="8" t="s">
        <v>12</v>
      </c>
    </row>
    <row r="101" spans="1:11" x14ac:dyDescent="0.25">
      <c r="A101" s="4" t="s">
        <v>106</v>
      </c>
      <c r="B101" s="5" t="s">
        <v>85</v>
      </c>
      <c r="C101" s="4" t="s">
        <v>86</v>
      </c>
      <c r="D101" s="5" t="s">
        <v>168</v>
      </c>
      <c r="E101" s="4" t="s">
        <v>36</v>
      </c>
      <c r="F101" s="4" t="s">
        <v>37</v>
      </c>
      <c r="G101" s="4" t="s">
        <v>13</v>
      </c>
      <c r="H101" s="6">
        <v>3</v>
      </c>
      <c r="I101" s="7">
        <v>145000</v>
      </c>
      <c r="J101" s="7">
        <f t="shared" si="1"/>
        <v>435000</v>
      </c>
      <c r="K101" s="8" t="s">
        <v>12</v>
      </c>
    </row>
    <row r="102" spans="1:11" x14ac:dyDescent="0.25">
      <c r="A102" s="4" t="s">
        <v>106</v>
      </c>
      <c r="B102" s="5" t="s">
        <v>85</v>
      </c>
      <c r="C102" s="4" t="s">
        <v>86</v>
      </c>
      <c r="D102" s="5" t="s">
        <v>168</v>
      </c>
      <c r="E102" s="4" t="s">
        <v>38</v>
      </c>
      <c r="F102" s="4" t="s">
        <v>39</v>
      </c>
      <c r="G102" s="4" t="s">
        <v>13</v>
      </c>
      <c r="H102" s="6">
        <v>5</v>
      </c>
      <c r="I102" s="7">
        <v>47000</v>
      </c>
      <c r="J102" s="7">
        <f t="shared" si="1"/>
        <v>235000</v>
      </c>
      <c r="K102" s="8" t="s">
        <v>12</v>
      </c>
    </row>
    <row r="103" spans="1:11" ht="28.5" x14ac:dyDescent="0.25">
      <c r="A103" s="4" t="s">
        <v>106</v>
      </c>
      <c r="B103" s="5" t="s">
        <v>85</v>
      </c>
      <c r="C103" s="4" t="s">
        <v>86</v>
      </c>
      <c r="D103" s="5" t="s">
        <v>168</v>
      </c>
      <c r="E103" s="4" t="s">
        <v>87</v>
      </c>
      <c r="F103" s="4" t="s">
        <v>88</v>
      </c>
      <c r="G103" s="4" t="s">
        <v>89</v>
      </c>
      <c r="H103" s="6">
        <v>30</v>
      </c>
      <c r="I103" s="7">
        <v>11000</v>
      </c>
      <c r="J103" s="7">
        <f t="shared" si="1"/>
        <v>330000</v>
      </c>
      <c r="K103" s="8" t="s">
        <v>12</v>
      </c>
    </row>
    <row r="104" spans="1:11" ht="28.5" x14ac:dyDescent="0.25">
      <c r="A104" s="4" t="s">
        <v>106</v>
      </c>
      <c r="B104" s="5" t="s">
        <v>85</v>
      </c>
      <c r="C104" s="4" t="s">
        <v>86</v>
      </c>
      <c r="D104" s="5" t="s">
        <v>168</v>
      </c>
      <c r="E104" s="4" t="s">
        <v>44</v>
      </c>
      <c r="F104" s="4" t="s">
        <v>45</v>
      </c>
      <c r="G104" s="4" t="s">
        <v>13</v>
      </c>
      <c r="H104" s="6">
        <v>5</v>
      </c>
      <c r="I104" s="7">
        <v>95000</v>
      </c>
      <c r="J104" s="7">
        <f t="shared" si="1"/>
        <v>475000</v>
      </c>
      <c r="K104" s="8" t="s">
        <v>12</v>
      </c>
    </row>
    <row r="105" spans="1:11" x14ac:dyDescent="0.25">
      <c r="A105" s="4" t="s">
        <v>106</v>
      </c>
      <c r="B105" s="5" t="s">
        <v>85</v>
      </c>
      <c r="C105" s="4" t="s">
        <v>86</v>
      </c>
      <c r="D105" s="5" t="s">
        <v>168</v>
      </c>
      <c r="E105" s="4" t="s">
        <v>20</v>
      </c>
      <c r="F105" s="4" t="s">
        <v>21</v>
      </c>
      <c r="G105" s="4" t="s">
        <v>13</v>
      </c>
      <c r="H105" s="6">
        <v>1.6</v>
      </c>
      <c r="I105" s="7">
        <v>45000</v>
      </c>
      <c r="J105" s="7">
        <f t="shared" si="1"/>
        <v>72000</v>
      </c>
      <c r="K105" s="8" t="s">
        <v>12</v>
      </c>
    </row>
    <row r="106" spans="1:11" x14ac:dyDescent="0.25">
      <c r="A106" s="4" t="s">
        <v>106</v>
      </c>
      <c r="B106" s="5" t="s">
        <v>85</v>
      </c>
      <c r="C106" s="4" t="s">
        <v>86</v>
      </c>
      <c r="D106" s="5" t="s">
        <v>168</v>
      </c>
      <c r="E106" s="4" t="s">
        <v>46</v>
      </c>
      <c r="F106" s="4" t="s">
        <v>47</v>
      </c>
      <c r="G106" s="4" t="s">
        <v>13</v>
      </c>
      <c r="H106" s="6">
        <v>0.3</v>
      </c>
      <c r="I106" s="7">
        <v>70000</v>
      </c>
      <c r="J106" s="7">
        <f t="shared" si="1"/>
        <v>21000</v>
      </c>
      <c r="K106" s="8" t="s">
        <v>12</v>
      </c>
    </row>
    <row r="107" spans="1:11" x14ac:dyDescent="0.25">
      <c r="A107" s="4" t="s">
        <v>106</v>
      </c>
      <c r="B107" s="5" t="s">
        <v>85</v>
      </c>
      <c r="C107" s="4" t="s">
        <v>86</v>
      </c>
      <c r="D107" s="5" t="s">
        <v>168</v>
      </c>
      <c r="E107" s="4" t="s">
        <v>29</v>
      </c>
      <c r="F107" s="4" t="s">
        <v>30</v>
      </c>
      <c r="G107" s="4" t="s">
        <v>13</v>
      </c>
      <c r="H107" s="6">
        <v>1.5</v>
      </c>
      <c r="I107" s="7">
        <v>145000</v>
      </c>
      <c r="J107" s="7">
        <f t="shared" si="1"/>
        <v>217500</v>
      </c>
      <c r="K107" s="8" t="s">
        <v>12</v>
      </c>
    </row>
    <row r="108" spans="1:11" x14ac:dyDescent="0.25">
      <c r="A108" s="4" t="s">
        <v>106</v>
      </c>
      <c r="B108" s="5" t="s">
        <v>85</v>
      </c>
      <c r="C108" s="4" t="s">
        <v>86</v>
      </c>
      <c r="D108" s="5" t="s">
        <v>168</v>
      </c>
      <c r="E108" s="4" t="s">
        <v>27</v>
      </c>
      <c r="F108" s="4" t="s">
        <v>28</v>
      </c>
      <c r="G108" s="4" t="s">
        <v>13</v>
      </c>
      <c r="H108" s="6">
        <v>5</v>
      </c>
      <c r="I108" s="7">
        <v>21000</v>
      </c>
      <c r="J108" s="7">
        <f t="shared" si="1"/>
        <v>105000</v>
      </c>
      <c r="K108" s="8" t="s">
        <v>12</v>
      </c>
    </row>
    <row r="109" spans="1:11" x14ac:dyDescent="0.25">
      <c r="A109" s="4" t="s">
        <v>106</v>
      </c>
      <c r="B109" s="5" t="s">
        <v>85</v>
      </c>
      <c r="C109" s="4" t="s">
        <v>86</v>
      </c>
      <c r="D109" s="5" t="s">
        <v>168</v>
      </c>
      <c r="E109" s="4" t="s">
        <v>76</v>
      </c>
      <c r="F109" s="4" t="s">
        <v>77</v>
      </c>
      <c r="G109" s="4" t="s">
        <v>13</v>
      </c>
      <c r="H109" s="6">
        <v>4.97</v>
      </c>
      <c r="I109" s="7">
        <v>38000</v>
      </c>
      <c r="J109" s="7">
        <f t="shared" si="1"/>
        <v>188860</v>
      </c>
      <c r="K109" s="8" t="s">
        <v>12</v>
      </c>
    </row>
    <row r="110" spans="1:11" x14ac:dyDescent="0.25">
      <c r="A110" s="4" t="s">
        <v>106</v>
      </c>
      <c r="B110" s="5" t="s">
        <v>85</v>
      </c>
      <c r="C110" s="4" t="s">
        <v>86</v>
      </c>
      <c r="D110" s="5" t="s">
        <v>168</v>
      </c>
      <c r="E110" s="4" t="s">
        <v>14</v>
      </c>
      <c r="F110" s="4" t="s">
        <v>15</v>
      </c>
      <c r="G110" s="4" t="s">
        <v>13</v>
      </c>
      <c r="H110" s="6">
        <v>2</v>
      </c>
      <c r="I110" s="7">
        <v>50000</v>
      </c>
      <c r="J110" s="7">
        <f t="shared" si="1"/>
        <v>100000</v>
      </c>
      <c r="K110" s="8" t="s">
        <v>12</v>
      </c>
    </row>
    <row r="111" spans="1:11" x14ac:dyDescent="0.25">
      <c r="A111" s="4" t="s">
        <v>106</v>
      </c>
      <c r="B111" s="5" t="s">
        <v>85</v>
      </c>
      <c r="C111" s="4" t="s">
        <v>86</v>
      </c>
      <c r="D111" s="5" t="s">
        <v>168</v>
      </c>
      <c r="E111" s="4" t="s">
        <v>48</v>
      </c>
      <c r="F111" s="4" t="s">
        <v>49</v>
      </c>
      <c r="G111" s="4" t="s">
        <v>13</v>
      </c>
      <c r="H111" s="6">
        <v>9.3000000000000007</v>
      </c>
      <c r="I111" s="7">
        <v>62000</v>
      </c>
      <c r="J111" s="7">
        <f t="shared" si="1"/>
        <v>576600</v>
      </c>
      <c r="K111" s="8" t="s">
        <v>12</v>
      </c>
    </row>
    <row r="112" spans="1:11" x14ac:dyDescent="0.25">
      <c r="A112" s="4" t="s">
        <v>108</v>
      </c>
      <c r="B112" s="5" t="s">
        <v>85</v>
      </c>
      <c r="C112" s="4" t="s">
        <v>86</v>
      </c>
      <c r="D112" s="5" t="s">
        <v>169</v>
      </c>
      <c r="E112" s="4" t="s">
        <v>31</v>
      </c>
      <c r="F112" s="4" t="s">
        <v>32</v>
      </c>
      <c r="G112" s="4" t="s">
        <v>33</v>
      </c>
      <c r="H112" s="6">
        <v>3</v>
      </c>
      <c r="I112" s="7">
        <v>8500</v>
      </c>
      <c r="J112" s="7">
        <f t="shared" si="1"/>
        <v>25500</v>
      </c>
      <c r="K112" s="8" t="s">
        <v>12</v>
      </c>
    </row>
    <row r="113" spans="1:11" x14ac:dyDescent="0.25">
      <c r="A113" s="4" t="s">
        <v>108</v>
      </c>
      <c r="B113" s="5" t="s">
        <v>85</v>
      </c>
      <c r="C113" s="4" t="s">
        <v>86</v>
      </c>
      <c r="D113" s="5" t="s">
        <v>169</v>
      </c>
      <c r="E113" s="4" t="s">
        <v>62</v>
      </c>
      <c r="F113" s="4" t="s">
        <v>63</v>
      </c>
      <c r="G113" s="4" t="s">
        <v>13</v>
      </c>
      <c r="H113" s="6">
        <v>1</v>
      </c>
      <c r="I113" s="7">
        <v>45000</v>
      </c>
      <c r="J113" s="7">
        <f t="shared" si="1"/>
        <v>45000</v>
      </c>
      <c r="K113" s="8" t="s">
        <v>12</v>
      </c>
    </row>
    <row r="114" spans="1:11" x14ac:dyDescent="0.25">
      <c r="A114" s="4" t="s">
        <v>108</v>
      </c>
      <c r="B114" s="5" t="s">
        <v>85</v>
      </c>
      <c r="C114" s="4" t="s">
        <v>86</v>
      </c>
      <c r="D114" s="5" t="s">
        <v>169</v>
      </c>
      <c r="E114" s="4" t="s">
        <v>66</v>
      </c>
      <c r="F114" s="4" t="s">
        <v>67</v>
      </c>
      <c r="G114" s="4" t="s">
        <v>13</v>
      </c>
      <c r="H114" s="6">
        <v>8.1999999999999993</v>
      </c>
      <c r="I114" s="7">
        <v>18000</v>
      </c>
      <c r="J114" s="7">
        <f t="shared" si="1"/>
        <v>147600</v>
      </c>
      <c r="K114" s="8" t="s">
        <v>12</v>
      </c>
    </row>
    <row r="115" spans="1:11" x14ac:dyDescent="0.25">
      <c r="A115" s="4" t="s">
        <v>108</v>
      </c>
      <c r="B115" s="5" t="s">
        <v>85</v>
      </c>
      <c r="C115" s="4" t="s">
        <v>86</v>
      </c>
      <c r="D115" s="5" t="s">
        <v>169</v>
      </c>
      <c r="E115" s="4" t="s">
        <v>54</v>
      </c>
      <c r="F115" s="4" t="s">
        <v>55</v>
      </c>
      <c r="G115" s="4" t="s">
        <v>13</v>
      </c>
      <c r="H115" s="6">
        <v>0.6</v>
      </c>
      <c r="I115" s="7">
        <v>75000</v>
      </c>
      <c r="J115" s="7">
        <f t="shared" si="1"/>
        <v>45000</v>
      </c>
      <c r="K115" s="8" t="s">
        <v>12</v>
      </c>
    </row>
    <row r="116" spans="1:11" x14ac:dyDescent="0.25">
      <c r="A116" s="4" t="s">
        <v>108</v>
      </c>
      <c r="B116" s="5" t="s">
        <v>85</v>
      </c>
      <c r="C116" s="4" t="s">
        <v>86</v>
      </c>
      <c r="D116" s="5" t="s">
        <v>169</v>
      </c>
      <c r="E116" s="4" t="s">
        <v>50</v>
      </c>
      <c r="F116" s="4" t="s">
        <v>51</v>
      </c>
      <c r="G116" s="4" t="s">
        <v>13</v>
      </c>
      <c r="H116" s="6">
        <v>1.6</v>
      </c>
      <c r="I116" s="7">
        <v>18000</v>
      </c>
      <c r="J116" s="7">
        <f t="shared" si="1"/>
        <v>28800</v>
      </c>
      <c r="K116" s="8" t="s">
        <v>12</v>
      </c>
    </row>
    <row r="117" spans="1:11" x14ac:dyDescent="0.25">
      <c r="A117" s="4" t="s">
        <v>108</v>
      </c>
      <c r="B117" s="5" t="s">
        <v>85</v>
      </c>
      <c r="C117" s="4" t="s">
        <v>86</v>
      </c>
      <c r="D117" s="5" t="s">
        <v>169</v>
      </c>
      <c r="E117" s="4" t="s">
        <v>18</v>
      </c>
      <c r="F117" s="4" t="s">
        <v>19</v>
      </c>
      <c r="G117" s="4" t="s">
        <v>13</v>
      </c>
      <c r="H117" s="6">
        <v>1</v>
      </c>
      <c r="I117" s="7">
        <v>55000</v>
      </c>
      <c r="J117" s="7">
        <f t="shared" si="1"/>
        <v>55000</v>
      </c>
      <c r="K117" s="8" t="s">
        <v>12</v>
      </c>
    </row>
    <row r="118" spans="1:11" x14ac:dyDescent="0.25">
      <c r="A118" s="4" t="s">
        <v>108</v>
      </c>
      <c r="B118" s="5" t="s">
        <v>85</v>
      </c>
      <c r="C118" s="4" t="s">
        <v>86</v>
      </c>
      <c r="D118" s="5" t="s">
        <v>169</v>
      </c>
      <c r="E118" s="4" t="s">
        <v>80</v>
      </c>
      <c r="F118" s="4" t="s">
        <v>81</v>
      </c>
      <c r="G118" s="4" t="s">
        <v>82</v>
      </c>
      <c r="H118" s="6">
        <v>1</v>
      </c>
      <c r="I118" s="7">
        <v>80000</v>
      </c>
      <c r="J118" s="7">
        <f t="shared" si="1"/>
        <v>80000</v>
      </c>
      <c r="K118" s="8" t="s">
        <v>12</v>
      </c>
    </row>
    <row r="119" spans="1:11" x14ac:dyDescent="0.25">
      <c r="A119" s="4" t="s">
        <v>108</v>
      </c>
      <c r="B119" s="5" t="s">
        <v>85</v>
      </c>
      <c r="C119" s="4" t="s">
        <v>86</v>
      </c>
      <c r="D119" s="5" t="s">
        <v>169</v>
      </c>
      <c r="E119" s="4" t="s">
        <v>72</v>
      </c>
      <c r="F119" s="4" t="s">
        <v>73</v>
      </c>
      <c r="G119" s="4" t="s">
        <v>13</v>
      </c>
      <c r="H119" s="6">
        <v>1.2</v>
      </c>
      <c r="I119" s="7">
        <v>18000</v>
      </c>
      <c r="J119" s="7">
        <f t="shared" si="1"/>
        <v>21600</v>
      </c>
      <c r="K119" s="8" t="s">
        <v>12</v>
      </c>
    </row>
    <row r="120" spans="1:11" x14ac:dyDescent="0.25">
      <c r="A120" s="4" t="s">
        <v>108</v>
      </c>
      <c r="B120" s="5" t="s">
        <v>85</v>
      </c>
      <c r="C120" s="4" t="s">
        <v>86</v>
      </c>
      <c r="D120" s="5" t="s">
        <v>169</v>
      </c>
      <c r="E120" s="4" t="s">
        <v>74</v>
      </c>
      <c r="F120" s="4" t="s">
        <v>75</v>
      </c>
      <c r="G120" s="4" t="s">
        <v>13</v>
      </c>
      <c r="H120" s="6">
        <v>4</v>
      </c>
      <c r="I120" s="7">
        <v>22000</v>
      </c>
      <c r="J120" s="7">
        <f t="shared" si="1"/>
        <v>88000</v>
      </c>
      <c r="K120" s="8" t="s">
        <v>12</v>
      </c>
    </row>
    <row r="121" spans="1:11" x14ac:dyDescent="0.25">
      <c r="A121" s="4" t="s">
        <v>108</v>
      </c>
      <c r="B121" s="5" t="s">
        <v>85</v>
      </c>
      <c r="C121" s="4" t="s">
        <v>86</v>
      </c>
      <c r="D121" s="5" t="s">
        <v>169</v>
      </c>
      <c r="E121" s="4" t="s">
        <v>20</v>
      </c>
      <c r="F121" s="4" t="s">
        <v>21</v>
      </c>
      <c r="G121" s="4" t="s">
        <v>13</v>
      </c>
      <c r="H121" s="6">
        <v>1</v>
      </c>
      <c r="I121" s="7">
        <v>45000</v>
      </c>
      <c r="J121" s="7">
        <f t="shared" si="1"/>
        <v>45000</v>
      </c>
      <c r="K121" s="8" t="s">
        <v>12</v>
      </c>
    </row>
    <row r="122" spans="1:11" x14ac:dyDescent="0.25">
      <c r="A122" s="4" t="s">
        <v>108</v>
      </c>
      <c r="B122" s="5" t="s">
        <v>85</v>
      </c>
      <c r="C122" s="4" t="s">
        <v>86</v>
      </c>
      <c r="D122" s="5" t="s">
        <v>169</v>
      </c>
      <c r="E122" s="4" t="s">
        <v>46</v>
      </c>
      <c r="F122" s="4" t="s">
        <v>47</v>
      </c>
      <c r="G122" s="4" t="s">
        <v>13</v>
      </c>
      <c r="H122" s="6">
        <v>0.3</v>
      </c>
      <c r="I122" s="7">
        <v>70000</v>
      </c>
      <c r="J122" s="7">
        <f t="shared" si="1"/>
        <v>21000</v>
      </c>
      <c r="K122" s="8" t="s">
        <v>12</v>
      </c>
    </row>
    <row r="123" spans="1:11" x14ac:dyDescent="0.25">
      <c r="A123" s="4" t="s">
        <v>108</v>
      </c>
      <c r="B123" s="5" t="s">
        <v>85</v>
      </c>
      <c r="C123" s="4" t="s">
        <v>86</v>
      </c>
      <c r="D123" s="5" t="s">
        <v>169</v>
      </c>
      <c r="E123" s="4" t="s">
        <v>29</v>
      </c>
      <c r="F123" s="4" t="s">
        <v>30</v>
      </c>
      <c r="G123" s="4" t="s">
        <v>13</v>
      </c>
      <c r="H123" s="6">
        <v>1</v>
      </c>
      <c r="I123" s="7">
        <v>145000</v>
      </c>
      <c r="J123" s="7">
        <f t="shared" si="1"/>
        <v>145000</v>
      </c>
      <c r="K123" s="8" t="s">
        <v>12</v>
      </c>
    </row>
    <row r="124" spans="1:11" x14ac:dyDescent="0.25">
      <c r="A124" s="4" t="s">
        <v>108</v>
      </c>
      <c r="B124" s="5" t="s">
        <v>85</v>
      </c>
      <c r="C124" s="4" t="s">
        <v>86</v>
      </c>
      <c r="D124" s="5" t="s">
        <v>169</v>
      </c>
      <c r="E124" s="4" t="s">
        <v>27</v>
      </c>
      <c r="F124" s="4" t="s">
        <v>28</v>
      </c>
      <c r="G124" s="4" t="s">
        <v>13</v>
      </c>
      <c r="H124" s="6">
        <v>3</v>
      </c>
      <c r="I124" s="7">
        <v>21000</v>
      </c>
      <c r="J124" s="7">
        <f t="shared" si="1"/>
        <v>63000</v>
      </c>
      <c r="K124" s="8" t="s">
        <v>12</v>
      </c>
    </row>
    <row r="125" spans="1:11" x14ac:dyDescent="0.25">
      <c r="A125" s="4" t="s">
        <v>108</v>
      </c>
      <c r="B125" s="5" t="s">
        <v>85</v>
      </c>
      <c r="C125" s="4" t="s">
        <v>86</v>
      </c>
      <c r="D125" s="5" t="s">
        <v>169</v>
      </c>
      <c r="E125" s="4" t="s">
        <v>76</v>
      </c>
      <c r="F125" s="4" t="s">
        <v>77</v>
      </c>
      <c r="G125" s="4" t="s">
        <v>13</v>
      </c>
      <c r="H125" s="6">
        <v>2</v>
      </c>
      <c r="I125" s="7">
        <v>38000</v>
      </c>
      <c r="J125" s="7">
        <f t="shared" si="1"/>
        <v>76000</v>
      </c>
      <c r="K125" s="8" t="s">
        <v>12</v>
      </c>
    </row>
    <row r="126" spans="1:11" x14ac:dyDescent="0.25">
      <c r="A126" s="4" t="s">
        <v>108</v>
      </c>
      <c r="B126" s="5" t="s">
        <v>85</v>
      </c>
      <c r="C126" s="4" t="s">
        <v>86</v>
      </c>
      <c r="D126" s="5" t="s">
        <v>169</v>
      </c>
      <c r="E126" s="4" t="s">
        <v>14</v>
      </c>
      <c r="F126" s="4" t="s">
        <v>15</v>
      </c>
      <c r="G126" s="4" t="s">
        <v>13</v>
      </c>
      <c r="H126" s="6">
        <v>1.5</v>
      </c>
      <c r="I126" s="7">
        <v>50000</v>
      </c>
      <c r="J126" s="7">
        <f t="shared" si="1"/>
        <v>75000</v>
      </c>
      <c r="K126" s="8" t="s">
        <v>12</v>
      </c>
    </row>
    <row r="127" spans="1:11" x14ac:dyDescent="0.25">
      <c r="A127" s="4" t="s">
        <v>108</v>
      </c>
      <c r="B127" s="5" t="s">
        <v>85</v>
      </c>
      <c r="C127" s="4" t="s">
        <v>86</v>
      </c>
      <c r="D127" s="5" t="s">
        <v>169</v>
      </c>
      <c r="E127" s="4" t="s">
        <v>48</v>
      </c>
      <c r="F127" s="4" t="s">
        <v>49</v>
      </c>
      <c r="G127" s="4" t="s">
        <v>13</v>
      </c>
      <c r="H127" s="6">
        <v>4</v>
      </c>
      <c r="I127" s="7">
        <v>62000</v>
      </c>
      <c r="J127" s="7">
        <f t="shared" si="1"/>
        <v>248000</v>
      </c>
      <c r="K127" s="8" t="s">
        <v>12</v>
      </c>
    </row>
    <row r="128" spans="1:11" x14ac:dyDescent="0.25">
      <c r="A128" s="4" t="s">
        <v>110</v>
      </c>
      <c r="B128" s="5" t="s">
        <v>85</v>
      </c>
      <c r="C128" s="4" t="s">
        <v>86</v>
      </c>
      <c r="D128" s="5" t="s">
        <v>170</v>
      </c>
      <c r="E128" s="4" t="s">
        <v>66</v>
      </c>
      <c r="F128" s="4" t="s">
        <v>67</v>
      </c>
      <c r="G128" s="4" t="s">
        <v>13</v>
      </c>
      <c r="H128" s="6">
        <v>5.5</v>
      </c>
      <c r="I128" s="7">
        <v>18000</v>
      </c>
      <c r="J128" s="7">
        <f t="shared" si="1"/>
        <v>99000</v>
      </c>
      <c r="K128" s="8" t="s">
        <v>12</v>
      </c>
    </row>
    <row r="129" spans="1:11" x14ac:dyDescent="0.25">
      <c r="A129" s="4" t="s">
        <v>110</v>
      </c>
      <c r="B129" s="5" t="s">
        <v>85</v>
      </c>
      <c r="C129" s="4" t="s">
        <v>86</v>
      </c>
      <c r="D129" s="5" t="s">
        <v>170</v>
      </c>
      <c r="E129" s="4" t="s">
        <v>50</v>
      </c>
      <c r="F129" s="4" t="s">
        <v>51</v>
      </c>
      <c r="G129" s="4" t="s">
        <v>13</v>
      </c>
      <c r="H129" s="6">
        <v>17.8</v>
      </c>
      <c r="I129" s="7">
        <v>18000</v>
      </c>
      <c r="J129" s="7">
        <f t="shared" si="1"/>
        <v>320400</v>
      </c>
      <c r="K129" s="8" t="s">
        <v>12</v>
      </c>
    </row>
    <row r="130" spans="1:11" x14ac:dyDescent="0.25">
      <c r="A130" s="4" t="s">
        <v>110</v>
      </c>
      <c r="B130" s="5" t="s">
        <v>85</v>
      </c>
      <c r="C130" s="4" t="s">
        <v>86</v>
      </c>
      <c r="D130" s="5" t="s">
        <v>170</v>
      </c>
      <c r="E130" s="4" t="s">
        <v>18</v>
      </c>
      <c r="F130" s="4" t="s">
        <v>19</v>
      </c>
      <c r="G130" s="4" t="s">
        <v>13</v>
      </c>
      <c r="H130" s="6">
        <v>1</v>
      </c>
      <c r="I130" s="7">
        <v>55000</v>
      </c>
      <c r="J130" s="7">
        <f t="shared" si="1"/>
        <v>55000</v>
      </c>
      <c r="K130" s="8" t="s">
        <v>12</v>
      </c>
    </row>
    <row r="131" spans="1:11" x14ac:dyDescent="0.25">
      <c r="A131" s="4" t="s">
        <v>110</v>
      </c>
      <c r="B131" s="5" t="s">
        <v>85</v>
      </c>
      <c r="C131" s="4" t="s">
        <v>86</v>
      </c>
      <c r="D131" s="5" t="s">
        <v>170</v>
      </c>
      <c r="E131" s="4" t="s">
        <v>80</v>
      </c>
      <c r="F131" s="4" t="s">
        <v>81</v>
      </c>
      <c r="G131" s="4" t="s">
        <v>82</v>
      </c>
      <c r="H131" s="6">
        <v>1</v>
      </c>
      <c r="I131" s="7">
        <v>80000</v>
      </c>
      <c r="J131" s="7">
        <f t="shared" si="1"/>
        <v>80000</v>
      </c>
      <c r="K131" s="8" t="s">
        <v>12</v>
      </c>
    </row>
    <row r="132" spans="1:11" x14ac:dyDescent="0.25">
      <c r="A132" s="4" t="s">
        <v>110</v>
      </c>
      <c r="B132" s="5" t="s">
        <v>85</v>
      </c>
      <c r="C132" s="4" t="s">
        <v>86</v>
      </c>
      <c r="D132" s="5" t="s">
        <v>170</v>
      </c>
      <c r="E132" s="4" t="s">
        <v>52</v>
      </c>
      <c r="F132" s="4" t="s">
        <v>53</v>
      </c>
      <c r="G132" s="4" t="s">
        <v>13</v>
      </c>
      <c r="H132" s="6">
        <v>0.3</v>
      </c>
      <c r="I132" s="7">
        <v>65000</v>
      </c>
      <c r="J132" s="7">
        <f t="shared" si="1"/>
        <v>19500</v>
      </c>
      <c r="K132" s="8" t="s">
        <v>12</v>
      </c>
    </row>
    <row r="133" spans="1:11" ht="28.5" x14ac:dyDescent="0.25">
      <c r="A133" s="4" t="s">
        <v>110</v>
      </c>
      <c r="B133" s="5" t="s">
        <v>85</v>
      </c>
      <c r="C133" s="4" t="s">
        <v>86</v>
      </c>
      <c r="D133" s="5" t="s">
        <v>170</v>
      </c>
      <c r="E133" s="4" t="s">
        <v>44</v>
      </c>
      <c r="F133" s="4" t="s">
        <v>45</v>
      </c>
      <c r="G133" s="4" t="s">
        <v>13</v>
      </c>
      <c r="H133" s="6">
        <v>3</v>
      </c>
      <c r="I133" s="7">
        <v>95000</v>
      </c>
      <c r="J133" s="7">
        <f t="shared" si="1"/>
        <v>285000</v>
      </c>
      <c r="K133" s="8" t="s">
        <v>12</v>
      </c>
    </row>
    <row r="134" spans="1:11" x14ac:dyDescent="0.25">
      <c r="A134" s="4" t="s">
        <v>110</v>
      </c>
      <c r="B134" s="5" t="s">
        <v>85</v>
      </c>
      <c r="C134" s="4" t="s">
        <v>86</v>
      </c>
      <c r="D134" s="5" t="s">
        <v>170</v>
      </c>
      <c r="E134" s="4" t="s">
        <v>20</v>
      </c>
      <c r="F134" s="4" t="s">
        <v>21</v>
      </c>
      <c r="G134" s="4" t="s">
        <v>13</v>
      </c>
      <c r="H134" s="6">
        <v>1</v>
      </c>
      <c r="I134" s="7">
        <v>45000</v>
      </c>
      <c r="J134" s="7">
        <f t="shared" si="1"/>
        <v>45000</v>
      </c>
      <c r="K134" s="8" t="s">
        <v>12</v>
      </c>
    </row>
    <row r="135" spans="1:11" x14ac:dyDescent="0.25">
      <c r="A135" s="4" t="s">
        <v>110</v>
      </c>
      <c r="B135" s="5" t="s">
        <v>85</v>
      </c>
      <c r="C135" s="4" t="s">
        <v>86</v>
      </c>
      <c r="D135" s="5" t="s">
        <v>170</v>
      </c>
      <c r="E135" s="4" t="s">
        <v>46</v>
      </c>
      <c r="F135" s="4" t="s">
        <v>47</v>
      </c>
      <c r="G135" s="4" t="s">
        <v>13</v>
      </c>
      <c r="H135" s="6">
        <v>0.3</v>
      </c>
      <c r="I135" s="7">
        <v>70000</v>
      </c>
      <c r="J135" s="7">
        <f t="shared" si="1"/>
        <v>21000</v>
      </c>
      <c r="K135" s="8" t="s">
        <v>12</v>
      </c>
    </row>
    <row r="136" spans="1:11" x14ac:dyDescent="0.25">
      <c r="A136" s="4" t="s">
        <v>110</v>
      </c>
      <c r="B136" s="5" t="s">
        <v>85</v>
      </c>
      <c r="C136" s="4" t="s">
        <v>86</v>
      </c>
      <c r="D136" s="5" t="s">
        <v>170</v>
      </c>
      <c r="E136" s="4" t="s">
        <v>29</v>
      </c>
      <c r="F136" s="4" t="s">
        <v>30</v>
      </c>
      <c r="G136" s="4" t="s">
        <v>13</v>
      </c>
      <c r="H136" s="6">
        <v>1</v>
      </c>
      <c r="I136" s="7">
        <v>145000</v>
      </c>
      <c r="J136" s="7">
        <f t="shared" si="1"/>
        <v>145000</v>
      </c>
      <c r="K136" s="8" t="s">
        <v>12</v>
      </c>
    </row>
    <row r="137" spans="1:11" x14ac:dyDescent="0.25">
      <c r="A137" s="4" t="s">
        <v>110</v>
      </c>
      <c r="B137" s="5" t="s">
        <v>85</v>
      </c>
      <c r="C137" s="4" t="s">
        <v>86</v>
      </c>
      <c r="D137" s="5" t="s">
        <v>170</v>
      </c>
      <c r="E137" s="4" t="s">
        <v>27</v>
      </c>
      <c r="F137" s="4" t="s">
        <v>28</v>
      </c>
      <c r="G137" s="4" t="s">
        <v>13</v>
      </c>
      <c r="H137" s="6">
        <v>5</v>
      </c>
      <c r="I137" s="7">
        <v>21000</v>
      </c>
      <c r="J137" s="7">
        <f t="shared" si="1"/>
        <v>105000</v>
      </c>
      <c r="K137" s="8" t="s">
        <v>12</v>
      </c>
    </row>
    <row r="138" spans="1:11" x14ac:dyDescent="0.25">
      <c r="A138" s="4" t="s">
        <v>110</v>
      </c>
      <c r="B138" s="5" t="s">
        <v>85</v>
      </c>
      <c r="C138" s="4" t="s">
        <v>86</v>
      </c>
      <c r="D138" s="5" t="s">
        <v>170</v>
      </c>
      <c r="E138" s="4" t="s">
        <v>14</v>
      </c>
      <c r="F138" s="4" t="s">
        <v>15</v>
      </c>
      <c r="G138" s="4" t="s">
        <v>13</v>
      </c>
      <c r="H138" s="6">
        <v>0.5</v>
      </c>
      <c r="I138" s="7">
        <v>50000</v>
      </c>
      <c r="J138" s="7">
        <f t="shared" si="1"/>
        <v>25000</v>
      </c>
      <c r="K138" s="8" t="s">
        <v>12</v>
      </c>
    </row>
    <row r="139" spans="1:11" x14ac:dyDescent="0.25">
      <c r="A139" s="4" t="s">
        <v>110</v>
      </c>
      <c r="B139" s="5" t="s">
        <v>85</v>
      </c>
      <c r="C139" s="4" t="s">
        <v>86</v>
      </c>
      <c r="D139" s="5" t="s">
        <v>170</v>
      </c>
      <c r="E139" s="4" t="s">
        <v>48</v>
      </c>
      <c r="F139" s="4" t="s">
        <v>49</v>
      </c>
      <c r="G139" s="4" t="s">
        <v>13</v>
      </c>
      <c r="H139" s="6">
        <v>3.5</v>
      </c>
      <c r="I139" s="7">
        <v>62000</v>
      </c>
      <c r="J139" s="7">
        <f t="shared" si="1"/>
        <v>217000</v>
      </c>
      <c r="K139" s="8" t="s">
        <v>12</v>
      </c>
    </row>
    <row r="140" spans="1:11" x14ac:dyDescent="0.25">
      <c r="A140" s="4" t="s">
        <v>112</v>
      </c>
      <c r="B140" s="5" t="s">
        <v>85</v>
      </c>
      <c r="C140" s="4" t="s">
        <v>86</v>
      </c>
      <c r="D140" s="5" t="s">
        <v>171</v>
      </c>
      <c r="E140" s="4" t="s">
        <v>66</v>
      </c>
      <c r="F140" s="4" t="s">
        <v>67</v>
      </c>
      <c r="G140" s="4" t="s">
        <v>13</v>
      </c>
      <c r="H140" s="6">
        <v>2.4</v>
      </c>
      <c r="I140" s="7">
        <v>18000</v>
      </c>
      <c r="J140" s="7">
        <f t="shared" si="1"/>
        <v>43200</v>
      </c>
      <c r="K140" s="8" t="s">
        <v>12</v>
      </c>
    </row>
    <row r="141" spans="1:11" x14ac:dyDescent="0.25">
      <c r="A141" s="4" t="s">
        <v>112</v>
      </c>
      <c r="B141" s="5" t="s">
        <v>85</v>
      </c>
      <c r="C141" s="4" t="s">
        <v>86</v>
      </c>
      <c r="D141" s="5" t="s">
        <v>171</v>
      </c>
      <c r="E141" s="4" t="s">
        <v>54</v>
      </c>
      <c r="F141" s="4" t="s">
        <v>55</v>
      </c>
      <c r="G141" s="4" t="s">
        <v>13</v>
      </c>
      <c r="H141" s="6">
        <v>0.3</v>
      </c>
      <c r="I141" s="7">
        <v>75000</v>
      </c>
      <c r="J141" s="7">
        <f t="shared" si="1"/>
        <v>22500</v>
      </c>
      <c r="K141" s="8" t="s">
        <v>12</v>
      </c>
    </row>
    <row r="142" spans="1:11" x14ac:dyDescent="0.25">
      <c r="A142" s="4" t="s">
        <v>112</v>
      </c>
      <c r="B142" s="5" t="s">
        <v>85</v>
      </c>
      <c r="C142" s="4" t="s">
        <v>86</v>
      </c>
      <c r="D142" s="5" t="s">
        <v>171</v>
      </c>
      <c r="E142" s="4" t="s">
        <v>56</v>
      </c>
      <c r="F142" s="4" t="s">
        <v>57</v>
      </c>
      <c r="G142" s="4" t="s">
        <v>13</v>
      </c>
      <c r="H142" s="6">
        <v>0.5</v>
      </c>
      <c r="I142" s="7">
        <v>34000</v>
      </c>
      <c r="J142" s="7">
        <f t="shared" si="1"/>
        <v>17000</v>
      </c>
      <c r="K142" s="8" t="s">
        <v>12</v>
      </c>
    </row>
    <row r="143" spans="1:11" x14ac:dyDescent="0.25">
      <c r="A143" s="4" t="s">
        <v>112</v>
      </c>
      <c r="B143" s="5" t="s">
        <v>85</v>
      </c>
      <c r="C143" s="4" t="s">
        <v>86</v>
      </c>
      <c r="D143" s="5" t="s">
        <v>171</v>
      </c>
      <c r="E143" s="4" t="s">
        <v>80</v>
      </c>
      <c r="F143" s="4" t="s">
        <v>81</v>
      </c>
      <c r="G143" s="4" t="s">
        <v>82</v>
      </c>
      <c r="H143" s="6">
        <v>1</v>
      </c>
      <c r="I143" s="7">
        <v>80000</v>
      </c>
      <c r="J143" s="7">
        <f t="shared" si="1"/>
        <v>80000</v>
      </c>
      <c r="K143" s="8" t="s">
        <v>12</v>
      </c>
    </row>
    <row r="144" spans="1:11" x14ac:dyDescent="0.25">
      <c r="A144" s="4" t="s">
        <v>112</v>
      </c>
      <c r="B144" s="5" t="s">
        <v>85</v>
      </c>
      <c r="C144" s="4" t="s">
        <v>86</v>
      </c>
      <c r="D144" s="5" t="s">
        <v>171</v>
      </c>
      <c r="E144" s="4" t="s">
        <v>36</v>
      </c>
      <c r="F144" s="4" t="s">
        <v>37</v>
      </c>
      <c r="G144" s="4" t="s">
        <v>13</v>
      </c>
      <c r="H144" s="6">
        <v>2</v>
      </c>
      <c r="I144" s="7">
        <v>145000</v>
      </c>
      <c r="J144" s="7">
        <f t="shared" ref="J144:J207" si="2">H144*I144</f>
        <v>290000</v>
      </c>
      <c r="K144" s="8" t="s">
        <v>12</v>
      </c>
    </row>
    <row r="145" spans="1:11" ht="28.5" x14ac:dyDescent="0.25">
      <c r="A145" s="4" t="s">
        <v>112</v>
      </c>
      <c r="B145" s="5" t="s">
        <v>85</v>
      </c>
      <c r="C145" s="4" t="s">
        <v>86</v>
      </c>
      <c r="D145" s="5" t="s">
        <v>171</v>
      </c>
      <c r="E145" s="4" t="s">
        <v>44</v>
      </c>
      <c r="F145" s="4" t="s">
        <v>45</v>
      </c>
      <c r="G145" s="4" t="s">
        <v>13</v>
      </c>
      <c r="H145" s="6">
        <v>3</v>
      </c>
      <c r="I145" s="7">
        <v>95000</v>
      </c>
      <c r="J145" s="7">
        <f t="shared" si="2"/>
        <v>285000</v>
      </c>
      <c r="K145" s="8" t="s">
        <v>12</v>
      </c>
    </row>
    <row r="146" spans="1:11" x14ac:dyDescent="0.25">
      <c r="A146" s="4" t="s">
        <v>112</v>
      </c>
      <c r="B146" s="5" t="s">
        <v>85</v>
      </c>
      <c r="C146" s="4" t="s">
        <v>86</v>
      </c>
      <c r="D146" s="5" t="s">
        <v>171</v>
      </c>
      <c r="E146" s="4" t="s">
        <v>27</v>
      </c>
      <c r="F146" s="4" t="s">
        <v>28</v>
      </c>
      <c r="G146" s="4" t="s">
        <v>13</v>
      </c>
      <c r="H146" s="6">
        <v>3</v>
      </c>
      <c r="I146" s="7">
        <v>21000</v>
      </c>
      <c r="J146" s="7">
        <f t="shared" si="2"/>
        <v>63000</v>
      </c>
      <c r="K146" s="8" t="s">
        <v>12</v>
      </c>
    </row>
    <row r="147" spans="1:11" x14ac:dyDescent="0.25">
      <c r="A147" s="4" t="s">
        <v>112</v>
      </c>
      <c r="B147" s="5" t="s">
        <v>85</v>
      </c>
      <c r="C147" s="4" t="s">
        <v>86</v>
      </c>
      <c r="D147" s="5" t="s">
        <v>171</v>
      </c>
      <c r="E147" s="4" t="s">
        <v>76</v>
      </c>
      <c r="F147" s="4" t="s">
        <v>77</v>
      </c>
      <c r="G147" s="4" t="s">
        <v>13</v>
      </c>
      <c r="H147" s="6">
        <v>1</v>
      </c>
      <c r="I147" s="7">
        <v>38000</v>
      </c>
      <c r="J147" s="7">
        <f t="shared" si="2"/>
        <v>38000</v>
      </c>
      <c r="K147" s="8" t="s">
        <v>12</v>
      </c>
    </row>
    <row r="148" spans="1:11" x14ac:dyDescent="0.25">
      <c r="A148" s="4" t="s">
        <v>112</v>
      </c>
      <c r="B148" s="5" t="s">
        <v>85</v>
      </c>
      <c r="C148" s="4" t="s">
        <v>86</v>
      </c>
      <c r="D148" s="5" t="s">
        <v>171</v>
      </c>
      <c r="E148" s="4" t="s">
        <v>14</v>
      </c>
      <c r="F148" s="4" t="s">
        <v>15</v>
      </c>
      <c r="G148" s="4" t="s">
        <v>13</v>
      </c>
      <c r="H148" s="6">
        <v>1</v>
      </c>
      <c r="I148" s="7">
        <v>50000</v>
      </c>
      <c r="J148" s="7">
        <f t="shared" si="2"/>
        <v>50000</v>
      </c>
      <c r="K148" s="8" t="s">
        <v>12</v>
      </c>
    </row>
    <row r="149" spans="1:11" x14ac:dyDescent="0.25">
      <c r="A149" s="4" t="s">
        <v>114</v>
      </c>
      <c r="B149" s="5" t="s">
        <v>85</v>
      </c>
      <c r="C149" s="4" t="s">
        <v>86</v>
      </c>
      <c r="D149" s="5" t="s">
        <v>172</v>
      </c>
      <c r="E149" s="4" t="s">
        <v>66</v>
      </c>
      <c r="F149" s="4" t="s">
        <v>67</v>
      </c>
      <c r="G149" s="4" t="s">
        <v>13</v>
      </c>
      <c r="H149" s="6">
        <v>3.8</v>
      </c>
      <c r="I149" s="7">
        <v>18000</v>
      </c>
      <c r="J149" s="7">
        <f t="shared" si="2"/>
        <v>68400</v>
      </c>
      <c r="K149" s="8" t="s">
        <v>12</v>
      </c>
    </row>
    <row r="150" spans="1:11" x14ac:dyDescent="0.25">
      <c r="A150" s="4" t="s">
        <v>114</v>
      </c>
      <c r="B150" s="5" t="s">
        <v>85</v>
      </c>
      <c r="C150" s="4" t="s">
        <v>86</v>
      </c>
      <c r="D150" s="5" t="s">
        <v>172</v>
      </c>
      <c r="E150" s="4" t="s">
        <v>25</v>
      </c>
      <c r="F150" s="4" t="s">
        <v>26</v>
      </c>
      <c r="G150" s="4" t="s">
        <v>13</v>
      </c>
      <c r="H150" s="6">
        <v>0.3</v>
      </c>
      <c r="I150" s="7">
        <v>22000</v>
      </c>
      <c r="J150" s="7">
        <f t="shared" si="2"/>
        <v>6600</v>
      </c>
      <c r="K150" s="8" t="s">
        <v>12</v>
      </c>
    </row>
    <row r="151" spans="1:11" x14ac:dyDescent="0.25">
      <c r="A151" s="4" t="s">
        <v>114</v>
      </c>
      <c r="B151" s="5" t="s">
        <v>85</v>
      </c>
      <c r="C151" s="4" t="s">
        <v>86</v>
      </c>
      <c r="D151" s="5" t="s">
        <v>172</v>
      </c>
      <c r="E151" s="4" t="s">
        <v>18</v>
      </c>
      <c r="F151" s="4" t="s">
        <v>19</v>
      </c>
      <c r="G151" s="4" t="s">
        <v>13</v>
      </c>
      <c r="H151" s="6">
        <v>1</v>
      </c>
      <c r="I151" s="7">
        <v>55000</v>
      </c>
      <c r="J151" s="7">
        <f t="shared" si="2"/>
        <v>55000</v>
      </c>
      <c r="K151" s="8" t="s">
        <v>12</v>
      </c>
    </row>
    <row r="152" spans="1:11" x14ac:dyDescent="0.25">
      <c r="A152" s="4" t="s">
        <v>114</v>
      </c>
      <c r="B152" s="5" t="s">
        <v>85</v>
      </c>
      <c r="C152" s="4" t="s">
        <v>86</v>
      </c>
      <c r="D152" s="5" t="s">
        <v>172</v>
      </c>
      <c r="E152" s="4" t="s">
        <v>80</v>
      </c>
      <c r="F152" s="4" t="s">
        <v>81</v>
      </c>
      <c r="G152" s="4" t="s">
        <v>82</v>
      </c>
      <c r="H152" s="6">
        <v>1</v>
      </c>
      <c r="I152" s="7">
        <v>80000</v>
      </c>
      <c r="J152" s="7">
        <f t="shared" si="2"/>
        <v>80000</v>
      </c>
      <c r="K152" s="8" t="s">
        <v>12</v>
      </c>
    </row>
    <row r="153" spans="1:11" x14ac:dyDescent="0.25">
      <c r="A153" s="4" t="s">
        <v>114</v>
      </c>
      <c r="B153" s="5" t="s">
        <v>85</v>
      </c>
      <c r="C153" s="4" t="s">
        <v>86</v>
      </c>
      <c r="D153" s="5" t="s">
        <v>172</v>
      </c>
      <c r="E153" s="4" t="s">
        <v>70</v>
      </c>
      <c r="F153" s="4" t="s">
        <v>71</v>
      </c>
      <c r="G153" s="4" t="s">
        <v>13</v>
      </c>
      <c r="H153" s="6">
        <v>1</v>
      </c>
      <c r="I153" s="7">
        <v>30000</v>
      </c>
      <c r="J153" s="7">
        <f t="shared" si="2"/>
        <v>30000</v>
      </c>
      <c r="K153" s="8" t="s">
        <v>12</v>
      </c>
    </row>
    <row r="154" spans="1:11" x14ac:dyDescent="0.25">
      <c r="A154" s="4" t="s">
        <v>114</v>
      </c>
      <c r="B154" s="5" t="s">
        <v>85</v>
      </c>
      <c r="C154" s="4" t="s">
        <v>86</v>
      </c>
      <c r="D154" s="5" t="s">
        <v>172</v>
      </c>
      <c r="E154" s="4" t="s">
        <v>74</v>
      </c>
      <c r="F154" s="4" t="s">
        <v>75</v>
      </c>
      <c r="G154" s="4" t="s">
        <v>13</v>
      </c>
      <c r="H154" s="6">
        <v>1.7</v>
      </c>
      <c r="I154" s="7">
        <v>22000</v>
      </c>
      <c r="J154" s="7">
        <f t="shared" si="2"/>
        <v>37400</v>
      </c>
      <c r="K154" s="8" t="s">
        <v>12</v>
      </c>
    </row>
    <row r="155" spans="1:11" x14ac:dyDescent="0.25">
      <c r="A155" s="4" t="s">
        <v>114</v>
      </c>
      <c r="B155" s="5" t="s">
        <v>85</v>
      </c>
      <c r="C155" s="4" t="s">
        <v>86</v>
      </c>
      <c r="D155" s="5" t="s">
        <v>172</v>
      </c>
      <c r="E155" s="4" t="s">
        <v>36</v>
      </c>
      <c r="F155" s="4" t="s">
        <v>37</v>
      </c>
      <c r="G155" s="4" t="s">
        <v>13</v>
      </c>
      <c r="H155" s="6">
        <v>2.1</v>
      </c>
      <c r="I155" s="7">
        <v>145000</v>
      </c>
      <c r="J155" s="7">
        <f t="shared" si="2"/>
        <v>304500</v>
      </c>
      <c r="K155" s="8" t="s">
        <v>12</v>
      </c>
    </row>
    <row r="156" spans="1:11" x14ac:dyDescent="0.25">
      <c r="A156" s="4" t="s">
        <v>114</v>
      </c>
      <c r="B156" s="5" t="s">
        <v>85</v>
      </c>
      <c r="C156" s="4" t="s">
        <v>86</v>
      </c>
      <c r="D156" s="5" t="s">
        <v>172</v>
      </c>
      <c r="E156" s="4" t="s">
        <v>42</v>
      </c>
      <c r="F156" s="4" t="s">
        <v>43</v>
      </c>
      <c r="G156" s="4" t="s">
        <v>13</v>
      </c>
      <c r="H156" s="6">
        <v>5</v>
      </c>
      <c r="I156" s="7">
        <v>45000</v>
      </c>
      <c r="J156" s="7">
        <f t="shared" si="2"/>
        <v>225000</v>
      </c>
      <c r="K156" s="8" t="s">
        <v>12</v>
      </c>
    </row>
    <row r="157" spans="1:11" ht="28.5" x14ac:dyDescent="0.25">
      <c r="A157" s="4" t="s">
        <v>114</v>
      </c>
      <c r="B157" s="5" t="s">
        <v>85</v>
      </c>
      <c r="C157" s="4" t="s">
        <v>86</v>
      </c>
      <c r="D157" s="5" t="s">
        <v>172</v>
      </c>
      <c r="E157" s="4" t="s">
        <v>44</v>
      </c>
      <c r="F157" s="4" t="s">
        <v>45</v>
      </c>
      <c r="G157" s="4" t="s">
        <v>13</v>
      </c>
      <c r="H157" s="6">
        <v>3.1</v>
      </c>
      <c r="I157" s="7">
        <v>95000</v>
      </c>
      <c r="J157" s="7">
        <f t="shared" si="2"/>
        <v>294500</v>
      </c>
      <c r="K157" s="8" t="s">
        <v>12</v>
      </c>
    </row>
    <row r="158" spans="1:11" x14ac:dyDescent="0.25">
      <c r="A158" s="4" t="s">
        <v>114</v>
      </c>
      <c r="B158" s="5" t="s">
        <v>85</v>
      </c>
      <c r="C158" s="4" t="s">
        <v>86</v>
      </c>
      <c r="D158" s="5" t="s">
        <v>172</v>
      </c>
      <c r="E158" s="4" t="s">
        <v>20</v>
      </c>
      <c r="F158" s="4" t="s">
        <v>21</v>
      </c>
      <c r="G158" s="4" t="s">
        <v>13</v>
      </c>
      <c r="H158" s="6">
        <v>1</v>
      </c>
      <c r="I158" s="7">
        <v>45000</v>
      </c>
      <c r="J158" s="7">
        <f t="shared" si="2"/>
        <v>45000</v>
      </c>
      <c r="K158" s="8" t="s">
        <v>12</v>
      </c>
    </row>
    <row r="159" spans="1:11" x14ac:dyDescent="0.25">
      <c r="A159" s="4" t="s">
        <v>114</v>
      </c>
      <c r="B159" s="5" t="s">
        <v>85</v>
      </c>
      <c r="C159" s="4" t="s">
        <v>86</v>
      </c>
      <c r="D159" s="5" t="s">
        <v>172</v>
      </c>
      <c r="E159" s="4" t="s">
        <v>29</v>
      </c>
      <c r="F159" s="4" t="s">
        <v>30</v>
      </c>
      <c r="G159" s="4" t="s">
        <v>13</v>
      </c>
      <c r="H159" s="6">
        <v>1</v>
      </c>
      <c r="I159" s="7">
        <v>145000</v>
      </c>
      <c r="J159" s="7">
        <f t="shared" si="2"/>
        <v>145000</v>
      </c>
      <c r="K159" s="8" t="s">
        <v>12</v>
      </c>
    </row>
    <row r="160" spans="1:11" x14ac:dyDescent="0.25">
      <c r="A160" s="4" t="s">
        <v>114</v>
      </c>
      <c r="B160" s="5" t="s">
        <v>85</v>
      </c>
      <c r="C160" s="4" t="s">
        <v>86</v>
      </c>
      <c r="D160" s="5" t="s">
        <v>172</v>
      </c>
      <c r="E160" s="4" t="s">
        <v>27</v>
      </c>
      <c r="F160" s="4" t="s">
        <v>28</v>
      </c>
      <c r="G160" s="4" t="s">
        <v>13</v>
      </c>
      <c r="H160" s="6">
        <v>1.5</v>
      </c>
      <c r="I160" s="7">
        <v>21000</v>
      </c>
      <c r="J160" s="7">
        <f t="shared" si="2"/>
        <v>31500</v>
      </c>
      <c r="K160" s="8" t="s">
        <v>12</v>
      </c>
    </row>
    <row r="161" spans="1:11" x14ac:dyDescent="0.25">
      <c r="A161" s="4" t="s">
        <v>114</v>
      </c>
      <c r="B161" s="5" t="s">
        <v>85</v>
      </c>
      <c r="C161" s="4" t="s">
        <v>86</v>
      </c>
      <c r="D161" s="5" t="s">
        <v>172</v>
      </c>
      <c r="E161" s="4" t="s">
        <v>76</v>
      </c>
      <c r="F161" s="4" t="s">
        <v>77</v>
      </c>
      <c r="G161" s="4" t="s">
        <v>13</v>
      </c>
      <c r="H161" s="6">
        <v>1</v>
      </c>
      <c r="I161" s="7">
        <v>38000</v>
      </c>
      <c r="J161" s="7">
        <f t="shared" si="2"/>
        <v>38000</v>
      </c>
      <c r="K161" s="8" t="s">
        <v>12</v>
      </c>
    </row>
    <row r="162" spans="1:11" x14ac:dyDescent="0.25">
      <c r="A162" s="4" t="s">
        <v>114</v>
      </c>
      <c r="B162" s="5" t="s">
        <v>85</v>
      </c>
      <c r="C162" s="4" t="s">
        <v>86</v>
      </c>
      <c r="D162" s="5" t="s">
        <v>172</v>
      </c>
      <c r="E162" s="4" t="s">
        <v>14</v>
      </c>
      <c r="F162" s="4" t="s">
        <v>15</v>
      </c>
      <c r="G162" s="4" t="s">
        <v>13</v>
      </c>
      <c r="H162" s="6">
        <v>1</v>
      </c>
      <c r="I162" s="7">
        <v>50000</v>
      </c>
      <c r="J162" s="7">
        <f t="shared" si="2"/>
        <v>50000</v>
      </c>
      <c r="K162" s="8" t="s">
        <v>12</v>
      </c>
    </row>
    <row r="163" spans="1:11" x14ac:dyDescent="0.25">
      <c r="A163" s="4" t="s">
        <v>114</v>
      </c>
      <c r="B163" s="5" t="s">
        <v>85</v>
      </c>
      <c r="C163" s="4" t="s">
        <v>86</v>
      </c>
      <c r="D163" s="5" t="s">
        <v>172</v>
      </c>
      <c r="E163" s="4" t="s">
        <v>48</v>
      </c>
      <c r="F163" s="4" t="s">
        <v>49</v>
      </c>
      <c r="G163" s="4" t="s">
        <v>13</v>
      </c>
      <c r="H163" s="6">
        <v>3</v>
      </c>
      <c r="I163" s="7">
        <v>62000</v>
      </c>
      <c r="J163" s="7">
        <f t="shared" si="2"/>
        <v>186000</v>
      </c>
      <c r="K163" s="8" t="s">
        <v>12</v>
      </c>
    </row>
    <row r="164" spans="1:11" x14ac:dyDescent="0.25">
      <c r="A164" s="4" t="s">
        <v>114</v>
      </c>
      <c r="B164" s="5" t="s">
        <v>85</v>
      </c>
      <c r="C164" s="4" t="s">
        <v>86</v>
      </c>
      <c r="D164" s="5" t="s">
        <v>173</v>
      </c>
      <c r="E164" s="4" t="s">
        <v>74</v>
      </c>
      <c r="F164" s="4" t="s">
        <v>75</v>
      </c>
      <c r="G164" s="4" t="s">
        <v>13</v>
      </c>
      <c r="H164" s="6">
        <v>3</v>
      </c>
      <c r="I164" s="7">
        <v>22000</v>
      </c>
      <c r="J164" s="7">
        <f t="shared" si="2"/>
        <v>66000</v>
      </c>
      <c r="K164" s="8" t="s">
        <v>12</v>
      </c>
    </row>
    <row r="165" spans="1:11" x14ac:dyDescent="0.25">
      <c r="A165" s="4" t="s">
        <v>114</v>
      </c>
      <c r="B165" s="5" t="s">
        <v>85</v>
      </c>
      <c r="C165" s="4" t="s">
        <v>86</v>
      </c>
      <c r="D165" s="5" t="s">
        <v>173</v>
      </c>
      <c r="E165" s="4" t="s">
        <v>48</v>
      </c>
      <c r="F165" s="4" t="s">
        <v>49</v>
      </c>
      <c r="G165" s="4" t="s">
        <v>13</v>
      </c>
      <c r="H165" s="6">
        <v>3</v>
      </c>
      <c r="I165" s="7">
        <v>62000</v>
      </c>
      <c r="J165" s="7">
        <f t="shared" si="2"/>
        <v>186000</v>
      </c>
      <c r="K165" s="8" t="s">
        <v>12</v>
      </c>
    </row>
    <row r="166" spans="1:11" x14ac:dyDescent="0.25">
      <c r="A166" s="4" t="s">
        <v>116</v>
      </c>
      <c r="B166" s="5" t="s">
        <v>85</v>
      </c>
      <c r="C166" s="4" t="s">
        <v>86</v>
      </c>
      <c r="D166" s="5" t="s">
        <v>174</v>
      </c>
      <c r="E166" s="4" t="s">
        <v>62</v>
      </c>
      <c r="F166" s="4" t="s">
        <v>63</v>
      </c>
      <c r="G166" s="4" t="s">
        <v>13</v>
      </c>
      <c r="H166" s="6">
        <v>1</v>
      </c>
      <c r="I166" s="7">
        <v>45000</v>
      </c>
      <c r="J166" s="7">
        <f t="shared" si="2"/>
        <v>45000</v>
      </c>
      <c r="K166" s="8" t="s">
        <v>12</v>
      </c>
    </row>
    <row r="167" spans="1:11" x14ac:dyDescent="0.25">
      <c r="A167" s="4" t="s">
        <v>116</v>
      </c>
      <c r="B167" s="5" t="s">
        <v>85</v>
      </c>
      <c r="C167" s="4" t="s">
        <v>86</v>
      </c>
      <c r="D167" s="5" t="s">
        <v>174</v>
      </c>
      <c r="E167" s="4" t="s">
        <v>66</v>
      </c>
      <c r="F167" s="4" t="s">
        <v>67</v>
      </c>
      <c r="G167" s="4" t="s">
        <v>13</v>
      </c>
      <c r="H167" s="6">
        <v>6</v>
      </c>
      <c r="I167" s="7">
        <v>18000</v>
      </c>
      <c r="J167" s="7">
        <f t="shared" si="2"/>
        <v>108000</v>
      </c>
      <c r="K167" s="8" t="s">
        <v>12</v>
      </c>
    </row>
    <row r="168" spans="1:11" x14ac:dyDescent="0.25">
      <c r="A168" s="4" t="s">
        <v>116</v>
      </c>
      <c r="B168" s="5" t="s">
        <v>85</v>
      </c>
      <c r="C168" s="4" t="s">
        <v>86</v>
      </c>
      <c r="D168" s="5" t="s">
        <v>174</v>
      </c>
      <c r="E168" s="4" t="s">
        <v>68</v>
      </c>
      <c r="F168" s="4" t="s">
        <v>69</v>
      </c>
      <c r="G168" s="4" t="s">
        <v>13</v>
      </c>
      <c r="H168" s="6">
        <v>0.8</v>
      </c>
      <c r="I168" s="7">
        <v>13000</v>
      </c>
      <c r="J168" s="7">
        <f t="shared" si="2"/>
        <v>10400</v>
      </c>
      <c r="K168" s="8" t="s">
        <v>12</v>
      </c>
    </row>
    <row r="169" spans="1:11" x14ac:dyDescent="0.25">
      <c r="A169" s="4" t="s">
        <v>116</v>
      </c>
      <c r="B169" s="5" t="s">
        <v>85</v>
      </c>
      <c r="C169" s="4" t="s">
        <v>86</v>
      </c>
      <c r="D169" s="5" t="s">
        <v>174</v>
      </c>
      <c r="E169" s="4" t="s">
        <v>18</v>
      </c>
      <c r="F169" s="4" t="s">
        <v>19</v>
      </c>
      <c r="G169" s="4" t="s">
        <v>13</v>
      </c>
      <c r="H169" s="6">
        <v>0.5</v>
      </c>
      <c r="I169" s="7">
        <v>55000</v>
      </c>
      <c r="J169" s="7">
        <f t="shared" si="2"/>
        <v>27500</v>
      </c>
      <c r="K169" s="8" t="s">
        <v>12</v>
      </c>
    </row>
    <row r="170" spans="1:11" x14ac:dyDescent="0.25">
      <c r="A170" s="4" t="s">
        <v>116</v>
      </c>
      <c r="B170" s="5" t="s">
        <v>85</v>
      </c>
      <c r="C170" s="4" t="s">
        <v>86</v>
      </c>
      <c r="D170" s="5" t="s">
        <v>174</v>
      </c>
      <c r="E170" s="4" t="s">
        <v>80</v>
      </c>
      <c r="F170" s="4" t="s">
        <v>81</v>
      </c>
      <c r="G170" s="4" t="s">
        <v>82</v>
      </c>
      <c r="H170" s="6">
        <v>1</v>
      </c>
      <c r="I170" s="7">
        <v>80000</v>
      </c>
      <c r="J170" s="7">
        <f t="shared" si="2"/>
        <v>80000</v>
      </c>
      <c r="K170" s="8" t="s">
        <v>12</v>
      </c>
    </row>
    <row r="171" spans="1:11" x14ac:dyDescent="0.25">
      <c r="A171" s="4" t="s">
        <v>116</v>
      </c>
      <c r="B171" s="5" t="s">
        <v>85</v>
      </c>
      <c r="C171" s="4" t="s">
        <v>86</v>
      </c>
      <c r="D171" s="5" t="s">
        <v>174</v>
      </c>
      <c r="E171" s="4" t="s">
        <v>52</v>
      </c>
      <c r="F171" s="4" t="s">
        <v>53</v>
      </c>
      <c r="G171" s="4" t="s">
        <v>13</v>
      </c>
      <c r="H171" s="6">
        <v>0.3</v>
      </c>
      <c r="I171" s="7">
        <v>65000</v>
      </c>
      <c r="J171" s="7">
        <f t="shared" si="2"/>
        <v>19500</v>
      </c>
      <c r="K171" s="8" t="s">
        <v>12</v>
      </c>
    </row>
    <row r="172" spans="1:11" x14ac:dyDescent="0.25">
      <c r="A172" s="4" t="s">
        <v>116</v>
      </c>
      <c r="B172" s="5" t="s">
        <v>85</v>
      </c>
      <c r="C172" s="4" t="s">
        <v>86</v>
      </c>
      <c r="D172" s="5" t="s">
        <v>174</v>
      </c>
      <c r="E172" s="4" t="s">
        <v>74</v>
      </c>
      <c r="F172" s="4" t="s">
        <v>75</v>
      </c>
      <c r="G172" s="4" t="s">
        <v>13</v>
      </c>
      <c r="H172" s="6">
        <v>2.5</v>
      </c>
      <c r="I172" s="7">
        <v>22000</v>
      </c>
      <c r="J172" s="7">
        <f t="shared" si="2"/>
        <v>55000</v>
      </c>
      <c r="K172" s="8" t="s">
        <v>12</v>
      </c>
    </row>
    <row r="173" spans="1:11" x14ac:dyDescent="0.25">
      <c r="A173" s="4" t="s">
        <v>116</v>
      </c>
      <c r="B173" s="5" t="s">
        <v>85</v>
      </c>
      <c r="C173" s="4" t="s">
        <v>86</v>
      </c>
      <c r="D173" s="5" t="s">
        <v>174</v>
      </c>
      <c r="E173" s="4" t="s">
        <v>36</v>
      </c>
      <c r="F173" s="4" t="s">
        <v>37</v>
      </c>
      <c r="G173" s="4" t="s">
        <v>13</v>
      </c>
      <c r="H173" s="6">
        <v>2</v>
      </c>
      <c r="I173" s="7">
        <v>145000</v>
      </c>
      <c r="J173" s="7">
        <f t="shared" si="2"/>
        <v>290000</v>
      </c>
      <c r="K173" s="8" t="s">
        <v>12</v>
      </c>
    </row>
    <row r="174" spans="1:11" x14ac:dyDescent="0.25">
      <c r="A174" s="4" t="s">
        <v>116</v>
      </c>
      <c r="B174" s="5" t="s">
        <v>85</v>
      </c>
      <c r="C174" s="4" t="s">
        <v>86</v>
      </c>
      <c r="D174" s="5" t="s">
        <v>174</v>
      </c>
      <c r="E174" s="4" t="s">
        <v>38</v>
      </c>
      <c r="F174" s="4" t="s">
        <v>39</v>
      </c>
      <c r="G174" s="4" t="s">
        <v>13</v>
      </c>
      <c r="H174" s="6">
        <v>3</v>
      </c>
      <c r="I174" s="7">
        <v>47000</v>
      </c>
      <c r="J174" s="7">
        <f t="shared" si="2"/>
        <v>141000</v>
      </c>
      <c r="K174" s="8" t="s">
        <v>12</v>
      </c>
    </row>
    <row r="175" spans="1:11" x14ac:dyDescent="0.25">
      <c r="A175" s="4" t="s">
        <v>116</v>
      </c>
      <c r="B175" s="5" t="s">
        <v>85</v>
      </c>
      <c r="C175" s="4" t="s">
        <v>86</v>
      </c>
      <c r="D175" s="5" t="s">
        <v>174</v>
      </c>
      <c r="E175" s="4" t="s">
        <v>42</v>
      </c>
      <c r="F175" s="4" t="s">
        <v>43</v>
      </c>
      <c r="G175" s="4" t="s">
        <v>13</v>
      </c>
      <c r="H175" s="6">
        <v>2</v>
      </c>
      <c r="I175" s="7">
        <v>45000</v>
      </c>
      <c r="J175" s="7">
        <f t="shared" si="2"/>
        <v>90000</v>
      </c>
      <c r="K175" s="8" t="s">
        <v>12</v>
      </c>
    </row>
    <row r="176" spans="1:11" ht="28.5" x14ac:dyDescent="0.25">
      <c r="A176" s="4" t="s">
        <v>116</v>
      </c>
      <c r="B176" s="5" t="s">
        <v>85</v>
      </c>
      <c r="C176" s="4" t="s">
        <v>86</v>
      </c>
      <c r="D176" s="5" t="s">
        <v>174</v>
      </c>
      <c r="E176" s="4" t="s">
        <v>44</v>
      </c>
      <c r="F176" s="4" t="s">
        <v>45</v>
      </c>
      <c r="G176" s="4" t="s">
        <v>13</v>
      </c>
      <c r="H176" s="6">
        <v>3</v>
      </c>
      <c r="I176" s="7">
        <v>95000</v>
      </c>
      <c r="J176" s="7">
        <f t="shared" si="2"/>
        <v>285000</v>
      </c>
      <c r="K176" s="8" t="s">
        <v>12</v>
      </c>
    </row>
    <row r="177" spans="1:11" x14ac:dyDescent="0.25">
      <c r="A177" s="4" t="s">
        <v>116</v>
      </c>
      <c r="B177" s="5" t="s">
        <v>85</v>
      </c>
      <c r="C177" s="4" t="s">
        <v>86</v>
      </c>
      <c r="D177" s="5" t="s">
        <v>174</v>
      </c>
      <c r="E177" s="4" t="s">
        <v>20</v>
      </c>
      <c r="F177" s="4" t="s">
        <v>21</v>
      </c>
      <c r="G177" s="4" t="s">
        <v>13</v>
      </c>
      <c r="H177" s="6">
        <v>0.5</v>
      </c>
      <c r="I177" s="7">
        <v>45000</v>
      </c>
      <c r="J177" s="7">
        <f t="shared" si="2"/>
        <v>22500</v>
      </c>
      <c r="K177" s="8" t="s">
        <v>12</v>
      </c>
    </row>
    <row r="178" spans="1:11" x14ac:dyDescent="0.25">
      <c r="A178" s="4" t="s">
        <v>116</v>
      </c>
      <c r="B178" s="5" t="s">
        <v>85</v>
      </c>
      <c r="C178" s="4" t="s">
        <v>86</v>
      </c>
      <c r="D178" s="5" t="s">
        <v>174</v>
      </c>
      <c r="E178" s="4" t="s">
        <v>29</v>
      </c>
      <c r="F178" s="4" t="s">
        <v>30</v>
      </c>
      <c r="G178" s="4" t="s">
        <v>13</v>
      </c>
      <c r="H178" s="6">
        <v>1</v>
      </c>
      <c r="I178" s="7">
        <v>145000</v>
      </c>
      <c r="J178" s="7">
        <f t="shared" si="2"/>
        <v>145000</v>
      </c>
      <c r="K178" s="8" t="s">
        <v>12</v>
      </c>
    </row>
    <row r="179" spans="1:11" x14ac:dyDescent="0.25">
      <c r="A179" s="4" t="s">
        <v>116</v>
      </c>
      <c r="B179" s="5" t="s">
        <v>85</v>
      </c>
      <c r="C179" s="4" t="s">
        <v>86</v>
      </c>
      <c r="D179" s="5" t="s">
        <v>174</v>
      </c>
      <c r="E179" s="4" t="s">
        <v>27</v>
      </c>
      <c r="F179" s="4" t="s">
        <v>28</v>
      </c>
      <c r="G179" s="4" t="s">
        <v>13</v>
      </c>
      <c r="H179" s="6">
        <v>5</v>
      </c>
      <c r="I179" s="7">
        <v>21000</v>
      </c>
      <c r="J179" s="7">
        <f t="shared" si="2"/>
        <v>105000</v>
      </c>
      <c r="K179" s="8" t="s">
        <v>12</v>
      </c>
    </row>
    <row r="180" spans="1:11" x14ac:dyDescent="0.25">
      <c r="A180" s="4" t="s">
        <v>116</v>
      </c>
      <c r="B180" s="5" t="s">
        <v>85</v>
      </c>
      <c r="C180" s="4" t="s">
        <v>86</v>
      </c>
      <c r="D180" s="5" t="s">
        <v>174</v>
      </c>
      <c r="E180" s="4" t="s">
        <v>76</v>
      </c>
      <c r="F180" s="4" t="s">
        <v>77</v>
      </c>
      <c r="G180" s="4" t="s">
        <v>13</v>
      </c>
      <c r="H180" s="6">
        <v>2</v>
      </c>
      <c r="I180" s="7">
        <v>38000</v>
      </c>
      <c r="J180" s="7">
        <f t="shared" si="2"/>
        <v>76000</v>
      </c>
      <c r="K180" s="8" t="s">
        <v>12</v>
      </c>
    </row>
    <row r="181" spans="1:11" x14ac:dyDescent="0.25">
      <c r="A181" s="4" t="s">
        <v>116</v>
      </c>
      <c r="B181" s="5" t="s">
        <v>85</v>
      </c>
      <c r="C181" s="4" t="s">
        <v>86</v>
      </c>
      <c r="D181" s="5" t="s">
        <v>174</v>
      </c>
      <c r="E181" s="4" t="s">
        <v>14</v>
      </c>
      <c r="F181" s="4" t="s">
        <v>15</v>
      </c>
      <c r="G181" s="4" t="s">
        <v>13</v>
      </c>
      <c r="H181" s="6">
        <v>1.1000000000000001</v>
      </c>
      <c r="I181" s="7">
        <v>50000</v>
      </c>
      <c r="J181" s="7">
        <f t="shared" si="2"/>
        <v>55000.000000000007</v>
      </c>
      <c r="K181" s="8" t="s">
        <v>12</v>
      </c>
    </row>
    <row r="182" spans="1:11" x14ac:dyDescent="0.25">
      <c r="A182" s="4" t="s">
        <v>116</v>
      </c>
      <c r="B182" s="5" t="s">
        <v>85</v>
      </c>
      <c r="C182" s="4" t="s">
        <v>86</v>
      </c>
      <c r="D182" s="5" t="s">
        <v>174</v>
      </c>
      <c r="E182" s="4" t="s">
        <v>48</v>
      </c>
      <c r="F182" s="4" t="s">
        <v>49</v>
      </c>
      <c r="G182" s="4" t="s">
        <v>13</v>
      </c>
      <c r="H182" s="6">
        <v>4</v>
      </c>
      <c r="I182" s="7">
        <v>62000</v>
      </c>
      <c r="J182" s="7">
        <f t="shared" si="2"/>
        <v>248000</v>
      </c>
      <c r="K182" s="8" t="s">
        <v>12</v>
      </c>
    </row>
    <row r="183" spans="1:11" x14ac:dyDescent="0.25">
      <c r="A183" s="4" t="s">
        <v>118</v>
      </c>
      <c r="B183" s="5" t="s">
        <v>85</v>
      </c>
      <c r="C183" s="4" t="s">
        <v>86</v>
      </c>
      <c r="D183" s="5" t="s">
        <v>175</v>
      </c>
      <c r="E183" s="4" t="s">
        <v>31</v>
      </c>
      <c r="F183" s="4" t="s">
        <v>32</v>
      </c>
      <c r="G183" s="4" t="s">
        <v>33</v>
      </c>
      <c r="H183" s="6">
        <v>5</v>
      </c>
      <c r="I183" s="7">
        <v>8500</v>
      </c>
      <c r="J183" s="7">
        <f t="shared" si="2"/>
        <v>42500</v>
      </c>
      <c r="K183" s="8" t="s">
        <v>12</v>
      </c>
    </row>
    <row r="184" spans="1:11" x14ac:dyDescent="0.25">
      <c r="A184" s="4" t="s">
        <v>118</v>
      </c>
      <c r="B184" s="5" t="s">
        <v>85</v>
      </c>
      <c r="C184" s="4" t="s">
        <v>86</v>
      </c>
      <c r="D184" s="5" t="s">
        <v>175</v>
      </c>
      <c r="E184" s="4" t="s">
        <v>34</v>
      </c>
      <c r="F184" s="4" t="s">
        <v>35</v>
      </c>
      <c r="G184" s="4" t="s">
        <v>13</v>
      </c>
      <c r="H184" s="6">
        <v>1</v>
      </c>
      <c r="I184" s="7">
        <v>30000</v>
      </c>
      <c r="J184" s="7">
        <f t="shared" si="2"/>
        <v>30000</v>
      </c>
      <c r="K184" s="8" t="s">
        <v>12</v>
      </c>
    </row>
    <row r="185" spans="1:11" x14ac:dyDescent="0.25">
      <c r="A185" s="4" t="s">
        <v>118</v>
      </c>
      <c r="B185" s="5" t="s">
        <v>85</v>
      </c>
      <c r="C185" s="4" t="s">
        <v>86</v>
      </c>
      <c r="D185" s="5" t="s">
        <v>175</v>
      </c>
      <c r="E185" s="4" t="s">
        <v>62</v>
      </c>
      <c r="F185" s="4" t="s">
        <v>63</v>
      </c>
      <c r="G185" s="4" t="s">
        <v>13</v>
      </c>
      <c r="H185" s="6">
        <v>1</v>
      </c>
      <c r="I185" s="7">
        <v>45000</v>
      </c>
      <c r="J185" s="7">
        <f t="shared" si="2"/>
        <v>45000</v>
      </c>
      <c r="K185" s="8" t="s">
        <v>12</v>
      </c>
    </row>
    <row r="186" spans="1:11" x14ac:dyDescent="0.25">
      <c r="A186" s="4" t="s">
        <v>118</v>
      </c>
      <c r="B186" s="5" t="s">
        <v>85</v>
      </c>
      <c r="C186" s="4" t="s">
        <v>86</v>
      </c>
      <c r="D186" s="5" t="s">
        <v>175</v>
      </c>
      <c r="E186" s="4" t="s">
        <v>66</v>
      </c>
      <c r="F186" s="4" t="s">
        <v>67</v>
      </c>
      <c r="G186" s="4" t="s">
        <v>13</v>
      </c>
      <c r="H186" s="6">
        <v>12</v>
      </c>
      <c r="I186" s="7">
        <v>18000</v>
      </c>
      <c r="J186" s="7">
        <f t="shared" si="2"/>
        <v>216000</v>
      </c>
      <c r="K186" s="8" t="s">
        <v>12</v>
      </c>
    </row>
    <row r="187" spans="1:11" x14ac:dyDescent="0.25">
      <c r="A187" s="4" t="s">
        <v>118</v>
      </c>
      <c r="B187" s="5" t="s">
        <v>85</v>
      </c>
      <c r="C187" s="4" t="s">
        <v>86</v>
      </c>
      <c r="D187" s="5" t="s">
        <v>175</v>
      </c>
      <c r="E187" s="4" t="s">
        <v>54</v>
      </c>
      <c r="F187" s="4" t="s">
        <v>55</v>
      </c>
      <c r="G187" s="4" t="s">
        <v>13</v>
      </c>
      <c r="H187" s="6">
        <v>0.28000000000000003</v>
      </c>
      <c r="I187" s="7">
        <v>75000</v>
      </c>
      <c r="J187" s="7">
        <f t="shared" si="2"/>
        <v>21000.000000000004</v>
      </c>
      <c r="K187" s="8" t="s">
        <v>12</v>
      </c>
    </row>
    <row r="188" spans="1:11" x14ac:dyDescent="0.25">
      <c r="A188" s="4" t="s">
        <v>118</v>
      </c>
      <c r="B188" s="5" t="s">
        <v>85</v>
      </c>
      <c r="C188" s="4" t="s">
        <v>86</v>
      </c>
      <c r="D188" s="5" t="s">
        <v>175</v>
      </c>
      <c r="E188" s="4" t="s">
        <v>56</v>
      </c>
      <c r="F188" s="4" t="s">
        <v>57</v>
      </c>
      <c r="G188" s="4" t="s">
        <v>13</v>
      </c>
      <c r="H188" s="6">
        <v>0.6</v>
      </c>
      <c r="I188" s="7">
        <v>34000</v>
      </c>
      <c r="J188" s="7">
        <f t="shared" si="2"/>
        <v>20400</v>
      </c>
      <c r="K188" s="8" t="s">
        <v>12</v>
      </c>
    </row>
    <row r="189" spans="1:11" x14ac:dyDescent="0.25">
      <c r="A189" s="4" t="s">
        <v>118</v>
      </c>
      <c r="B189" s="5" t="s">
        <v>85</v>
      </c>
      <c r="C189" s="4" t="s">
        <v>86</v>
      </c>
      <c r="D189" s="5" t="s">
        <v>175</v>
      </c>
      <c r="E189" s="4" t="s">
        <v>68</v>
      </c>
      <c r="F189" s="4" t="s">
        <v>69</v>
      </c>
      <c r="G189" s="4" t="s">
        <v>13</v>
      </c>
      <c r="H189" s="6">
        <v>0.8</v>
      </c>
      <c r="I189" s="7">
        <v>13000</v>
      </c>
      <c r="J189" s="7">
        <f t="shared" si="2"/>
        <v>10400</v>
      </c>
      <c r="K189" s="8" t="s">
        <v>12</v>
      </c>
    </row>
    <row r="190" spans="1:11" x14ac:dyDescent="0.25">
      <c r="A190" s="4" t="s">
        <v>118</v>
      </c>
      <c r="B190" s="5" t="s">
        <v>85</v>
      </c>
      <c r="C190" s="4" t="s">
        <v>86</v>
      </c>
      <c r="D190" s="5" t="s">
        <v>175</v>
      </c>
      <c r="E190" s="4" t="s">
        <v>18</v>
      </c>
      <c r="F190" s="4" t="s">
        <v>19</v>
      </c>
      <c r="G190" s="4" t="s">
        <v>13</v>
      </c>
      <c r="H190" s="6">
        <v>1</v>
      </c>
      <c r="I190" s="7">
        <v>55000</v>
      </c>
      <c r="J190" s="7">
        <f t="shared" si="2"/>
        <v>55000</v>
      </c>
      <c r="K190" s="8" t="s">
        <v>12</v>
      </c>
    </row>
    <row r="191" spans="1:11" x14ac:dyDescent="0.25">
      <c r="A191" s="4" t="s">
        <v>118</v>
      </c>
      <c r="B191" s="5" t="s">
        <v>85</v>
      </c>
      <c r="C191" s="4" t="s">
        <v>86</v>
      </c>
      <c r="D191" s="5" t="s">
        <v>175</v>
      </c>
      <c r="E191" s="4" t="s">
        <v>80</v>
      </c>
      <c r="F191" s="4" t="s">
        <v>81</v>
      </c>
      <c r="G191" s="4" t="s">
        <v>82</v>
      </c>
      <c r="H191" s="6">
        <v>1</v>
      </c>
      <c r="I191" s="7">
        <v>80000</v>
      </c>
      <c r="J191" s="7">
        <f t="shared" si="2"/>
        <v>80000</v>
      </c>
      <c r="K191" s="8" t="s">
        <v>12</v>
      </c>
    </row>
    <row r="192" spans="1:11" x14ac:dyDescent="0.25">
      <c r="A192" s="4" t="s">
        <v>118</v>
      </c>
      <c r="B192" s="5" t="s">
        <v>85</v>
      </c>
      <c r="C192" s="4" t="s">
        <v>86</v>
      </c>
      <c r="D192" s="5" t="s">
        <v>175</v>
      </c>
      <c r="E192" s="4" t="s">
        <v>70</v>
      </c>
      <c r="F192" s="4" t="s">
        <v>71</v>
      </c>
      <c r="G192" s="4" t="s">
        <v>13</v>
      </c>
      <c r="H192" s="6">
        <v>2.4</v>
      </c>
      <c r="I192" s="7">
        <v>30000</v>
      </c>
      <c r="J192" s="7">
        <f t="shared" si="2"/>
        <v>72000</v>
      </c>
      <c r="K192" s="8" t="s">
        <v>12</v>
      </c>
    </row>
    <row r="193" spans="1:11" x14ac:dyDescent="0.25">
      <c r="A193" s="4" t="s">
        <v>118</v>
      </c>
      <c r="B193" s="5" t="s">
        <v>85</v>
      </c>
      <c r="C193" s="4" t="s">
        <v>86</v>
      </c>
      <c r="D193" s="5" t="s">
        <v>175</v>
      </c>
      <c r="E193" s="4" t="s">
        <v>74</v>
      </c>
      <c r="F193" s="4" t="s">
        <v>75</v>
      </c>
      <c r="G193" s="4" t="s">
        <v>13</v>
      </c>
      <c r="H193" s="6">
        <v>3</v>
      </c>
      <c r="I193" s="7">
        <v>22000</v>
      </c>
      <c r="J193" s="7">
        <f t="shared" si="2"/>
        <v>66000</v>
      </c>
      <c r="K193" s="8" t="s">
        <v>12</v>
      </c>
    </row>
    <row r="194" spans="1:11" x14ac:dyDescent="0.25">
      <c r="A194" s="4" t="s">
        <v>118</v>
      </c>
      <c r="B194" s="5" t="s">
        <v>85</v>
      </c>
      <c r="C194" s="4" t="s">
        <v>86</v>
      </c>
      <c r="D194" s="5" t="s">
        <v>175</v>
      </c>
      <c r="E194" s="4" t="s">
        <v>36</v>
      </c>
      <c r="F194" s="4" t="s">
        <v>37</v>
      </c>
      <c r="G194" s="4" t="s">
        <v>13</v>
      </c>
      <c r="H194" s="6">
        <v>3</v>
      </c>
      <c r="I194" s="7">
        <v>145000</v>
      </c>
      <c r="J194" s="7">
        <f t="shared" si="2"/>
        <v>435000</v>
      </c>
      <c r="K194" s="8" t="s">
        <v>12</v>
      </c>
    </row>
    <row r="195" spans="1:11" x14ac:dyDescent="0.25">
      <c r="A195" s="4" t="s">
        <v>118</v>
      </c>
      <c r="B195" s="5" t="s">
        <v>85</v>
      </c>
      <c r="C195" s="4" t="s">
        <v>86</v>
      </c>
      <c r="D195" s="5" t="s">
        <v>175</v>
      </c>
      <c r="E195" s="4" t="s">
        <v>38</v>
      </c>
      <c r="F195" s="4" t="s">
        <v>39</v>
      </c>
      <c r="G195" s="4" t="s">
        <v>13</v>
      </c>
      <c r="H195" s="6">
        <v>5</v>
      </c>
      <c r="I195" s="7">
        <v>47000</v>
      </c>
      <c r="J195" s="7">
        <f t="shared" si="2"/>
        <v>235000</v>
      </c>
      <c r="K195" s="8" t="s">
        <v>12</v>
      </c>
    </row>
    <row r="196" spans="1:11" x14ac:dyDescent="0.25">
      <c r="A196" s="4" t="s">
        <v>118</v>
      </c>
      <c r="B196" s="5" t="s">
        <v>85</v>
      </c>
      <c r="C196" s="4" t="s">
        <v>86</v>
      </c>
      <c r="D196" s="5" t="s">
        <v>175</v>
      </c>
      <c r="E196" s="4" t="s">
        <v>42</v>
      </c>
      <c r="F196" s="4" t="s">
        <v>43</v>
      </c>
      <c r="G196" s="4" t="s">
        <v>13</v>
      </c>
      <c r="H196" s="6">
        <v>21</v>
      </c>
      <c r="I196" s="7">
        <v>45000</v>
      </c>
      <c r="J196" s="7">
        <f t="shared" si="2"/>
        <v>945000</v>
      </c>
      <c r="K196" s="8" t="s">
        <v>12</v>
      </c>
    </row>
    <row r="197" spans="1:11" ht="28.5" x14ac:dyDescent="0.25">
      <c r="A197" s="4" t="s">
        <v>118</v>
      </c>
      <c r="B197" s="5" t="s">
        <v>85</v>
      </c>
      <c r="C197" s="4" t="s">
        <v>86</v>
      </c>
      <c r="D197" s="5" t="s">
        <v>175</v>
      </c>
      <c r="E197" s="4" t="s">
        <v>44</v>
      </c>
      <c r="F197" s="4" t="s">
        <v>45</v>
      </c>
      <c r="G197" s="4" t="s">
        <v>13</v>
      </c>
      <c r="H197" s="6">
        <v>4</v>
      </c>
      <c r="I197" s="7">
        <v>95000</v>
      </c>
      <c r="J197" s="7">
        <f t="shared" si="2"/>
        <v>380000</v>
      </c>
      <c r="K197" s="8" t="s">
        <v>12</v>
      </c>
    </row>
    <row r="198" spans="1:11" x14ac:dyDescent="0.25">
      <c r="A198" s="4" t="s">
        <v>118</v>
      </c>
      <c r="B198" s="5" t="s">
        <v>85</v>
      </c>
      <c r="C198" s="4" t="s">
        <v>86</v>
      </c>
      <c r="D198" s="5" t="s">
        <v>175</v>
      </c>
      <c r="E198" s="4" t="s">
        <v>20</v>
      </c>
      <c r="F198" s="4" t="s">
        <v>21</v>
      </c>
      <c r="G198" s="4" t="s">
        <v>13</v>
      </c>
      <c r="H198" s="6">
        <v>1</v>
      </c>
      <c r="I198" s="7">
        <v>45000</v>
      </c>
      <c r="J198" s="7">
        <f t="shared" si="2"/>
        <v>45000</v>
      </c>
      <c r="K198" s="8" t="s">
        <v>12</v>
      </c>
    </row>
    <row r="199" spans="1:11" x14ac:dyDescent="0.25">
      <c r="A199" s="4" t="s">
        <v>118</v>
      </c>
      <c r="B199" s="5" t="s">
        <v>85</v>
      </c>
      <c r="C199" s="4" t="s">
        <v>86</v>
      </c>
      <c r="D199" s="5" t="s">
        <v>175</v>
      </c>
      <c r="E199" s="4" t="s">
        <v>46</v>
      </c>
      <c r="F199" s="4" t="s">
        <v>47</v>
      </c>
      <c r="G199" s="4" t="s">
        <v>13</v>
      </c>
      <c r="H199" s="6">
        <v>0.2</v>
      </c>
      <c r="I199" s="7">
        <v>70000</v>
      </c>
      <c r="J199" s="7">
        <f t="shared" si="2"/>
        <v>14000</v>
      </c>
      <c r="K199" s="8" t="s">
        <v>12</v>
      </c>
    </row>
    <row r="200" spans="1:11" x14ac:dyDescent="0.25">
      <c r="A200" s="4" t="s">
        <v>118</v>
      </c>
      <c r="B200" s="5" t="s">
        <v>85</v>
      </c>
      <c r="C200" s="4" t="s">
        <v>86</v>
      </c>
      <c r="D200" s="5" t="s">
        <v>175</v>
      </c>
      <c r="E200" s="4" t="s">
        <v>29</v>
      </c>
      <c r="F200" s="4" t="s">
        <v>30</v>
      </c>
      <c r="G200" s="4" t="s">
        <v>13</v>
      </c>
      <c r="H200" s="6">
        <v>1.2</v>
      </c>
      <c r="I200" s="7">
        <v>145000</v>
      </c>
      <c r="J200" s="7">
        <f t="shared" si="2"/>
        <v>174000</v>
      </c>
      <c r="K200" s="8" t="s">
        <v>12</v>
      </c>
    </row>
    <row r="201" spans="1:11" x14ac:dyDescent="0.25">
      <c r="A201" s="4" t="s">
        <v>118</v>
      </c>
      <c r="B201" s="5" t="s">
        <v>85</v>
      </c>
      <c r="C201" s="4" t="s">
        <v>86</v>
      </c>
      <c r="D201" s="5" t="s">
        <v>175</v>
      </c>
      <c r="E201" s="4" t="s">
        <v>27</v>
      </c>
      <c r="F201" s="4" t="s">
        <v>28</v>
      </c>
      <c r="G201" s="4" t="s">
        <v>13</v>
      </c>
      <c r="H201" s="6">
        <v>5</v>
      </c>
      <c r="I201" s="7">
        <v>21000</v>
      </c>
      <c r="J201" s="7">
        <f t="shared" si="2"/>
        <v>105000</v>
      </c>
      <c r="K201" s="8" t="s">
        <v>12</v>
      </c>
    </row>
    <row r="202" spans="1:11" x14ac:dyDescent="0.25">
      <c r="A202" s="4" t="s">
        <v>118</v>
      </c>
      <c r="B202" s="5" t="s">
        <v>85</v>
      </c>
      <c r="C202" s="4" t="s">
        <v>86</v>
      </c>
      <c r="D202" s="5" t="s">
        <v>175</v>
      </c>
      <c r="E202" s="4" t="s">
        <v>76</v>
      </c>
      <c r="F202" s="4" t="s">
        <v>77</v>
      </c>
      <c r="G202" s="4" t="s">
        <v>13</v>
      </c>
      <c r="H202" s="6">
        <v>1.9</v>
      </c>
      <c r="I202" s="7">
        <v>38000</v>
      </c>
      <c r="J202" s="7">
        <f t="shared" si="2"/>
        <v>72200</v>
      </c>
      <c r="K202" s="8" t="s">
        <v>12</v>
      </c>
    </row>
    <row r="203" spans="1:11" x14ac:dyDescent="0.25">
      <c r="A203" s="4" t="s">
        <v>118</v>
      </c>
      <c r="B203" s="5" t="s">
        <v>85</v>
      </c>
      <c r="C203" s="4" t="s">
        <v>86</v>
      </c>
      <c r="D203" s="5" t="s">
        <v>175</v>
      </c>
      <c r="E203" s="4" t="s">
        <v>14</v>
      </c>
      <c r="F203" s="4" t="s">
        <v>15</v>
      </c>
      <c r="G203" s="4" t="s">
        <v>13</v>
      </c>
      <c r="H203" s="6">
        <v>1.5</v>
      </c>
      <c r="I203" s="7">
        <v>50000</v>
      </c>
      <c r="J203" s="7">
        <f t="shared" si="2"/>
        <v>75000</v>
      </c>
      <c r="K203" s="8" t="s">
        <v>12</v>
      </c>
    </row>
    <row r="204" spans="1:11" x14ac:dyDescent="0.25">
      <c r="A204" s="4" t="s">
        <v>118</v>
      </c>
      <c r="B204" s="5" t="s">
        <v>85</v>
      </c>
      <c r="C204" s="4" t="s">
        <v>86</v>
      </c>
      <c r="D204" s="5" t="s">
        <v>175</v>
      </c>
      <c r="E204" s="4" t="s">
        <v>48</v>
      </c>
      <c r="F204" s="4" t="s">
        <v>49</v>
      </c>
      <c r="G204" s="4" t="s">
        <v>13</v>
      </c>
      <c r="H204" s="6">
        <v>6</v>
      </c>
      <c r="I204" s="7">
        <v>62000</v>
      </c>
      <c r="J204" s="7">
        <f t="shared" si="2"/>
        <v>372000</v>
      </c>
      <c r="K204" s="8" t="s">
        <v>12</v>
      </c>
    </row>
    <row r="205" spans="1:11" x14ac:dyDescent="0.25">
      <c r="A205" s="4" t="s">
        <v>120</v>
      </c>
      <c r="B205" s="5" t="s">
        <v>85</v>
      </c>
      <c r="C205" s="4" t="s">
        <v>86</v>
      </c>
      <c r="D205" s="5" t="s">
        <v>176</v>
      </c>
      <c r="E205" s="4" t="s">
        <v>31</v>
      </c>
      <c r="F205" s="4" t="s">
        <v>32</v>
      </c>
      <c r="G205" s="4" t="s">
        <v>33</v>
      </c>
      <c r="H205" s="6">
        <v>5</v>
      </c>
      <c r="I205" s="7">
        <v>8500</v>
      </c>
      <c r="J205" s="7">
        <f t="shared" si="2"/>
        <v>42500</v>
      </c>
      <c r="K205" s="8" t="s">
        <v>12</v>
      </c>
    </row>
    <row r="206" spans="1:11" x14ac:dyDescent="0.25">
      <c r="A206" s="4" t="s">
        <v>120</v>
      </c>
      <c r="B206" s="5" t="s">
        <v>85</v>
      </c>
      <c r="C206" s="4" t="s">
        <v>86</v>
      </c>
      <c r="D206" s="5" t="s">
        <v>176</v>
      </c>
      <c r="E206" s="4" t="s">
        <v>62</v>
      </c>
      <c r="F206" s="4" t="s">
        <v>63</v>
      </c>
      <c r="G206" s="4" t="s">
        <v>13</v>
      </c>
      <c r="H206" s="6">
        <v>1.5</v>
      </c>
      <c r="I206" s="7">
        <v>45000</v>
      </c>
      <c r="J206" s="7">
        <f t="shared" si="2"/>
        <v>67500</v>
      </c>
      <c r="K206" s="8" t="s">
        <v>12</v>
      </c>
    </row>
    <row r="207" spans="1:11" x14ac:dyDescent="0.25">
      <c r="A207" s="4" t="s">
        <v>120</v>
      </c>
      <c r="B207" s="5" t="s">
        <v>85</v>
      </c>
      <c r="C207" s="4" t="s">
        <v>86</v>
      </c>
      <c r="D207" s="5" t="s">
        <v>176</v>
      </c>
      <c r="E207" s="4" t="s">
        <v>64</v>
      </c>
      <c r="F207" s="4" t="s">
        <v>65</v>
      </c>
      <c r="G207" s="4" t="s">
        <v>13</v>
      </c>
      <c r="H207" s="6">
        <v>1</v>
      </c>
      <c r="I207" s="7">
        <v>50000</v>
      </c>
      <c r="J207" s="7">
        <f t="shared" si="2"/>
        <v>50000</v>
      </c>
      <c r="K207" s="8" t="s">
        <v>12</v>
      </c>
    </row>
    <row r="208" spans="1:11" x14ac:dyDescent="0.25">
      <c r="A208" s="4" t="s">
        <v>120</v>
      </c>
      <c r="B208" s="5" t="s">
        <v>85</v>
      </c>
      <c r="C208" s="4" t="s">
        <v>86</v>
      </c>
      <c r="D208" s="5" t="s">
        <v>176</v>
      </c>
      <c r="E208" s="4" t="s">
        <v>66</v>
      </c>
      <c r="F208" s="4" t="s">
        <v>67</v>
      </c>
      <c r="G208" s="4" t="s">
        <v>13</v>
      </c>
      <c r="H208" s="6">
        <v>10.7</v>
      </c>
      <c r="I208" s="7">
        <v>18000</v>
      </c>
      <c r="J208" s="7">
        <f t="shared" ref="J208:J271" si="3">H208*I208</f>
        <v>192600</v>
      </c>
      <c r="K208" s="8" t="s">
        <v>12</v>
      </c>
    </row>
    <row r="209" spans="1:11" x14ac:dyDescent="0.25">
      <c r="A209" s="4" t="s">
        <v>120</v>
      </c>
      <c r="B209" s="5" t="s">
        <v>85</v>
      </c>
      <c r="C209" s="4" t="s">
        <v>86</v>
      </c>
      <c r="D209" s="5" t="s">
        <v>176</v>
      </c>
      <c r="E209" s="4" t="s">
        <v>68</v>
      </c>
      <c r="F209" s="4" t="s">
        <v>69</v>
      </c>
      <c r="G209" s="4" t="s">
        <v>13</v>
      </c>
      <c r="H209" s="6">
        <v>1</v>
      </c>
      <c r="I209" s="7">
        <v>13000</v>
      </c>
      <c r="J209" s="7">
        <f t="shared" si="3"/>
        <v>13000</v>
      </c>
      <c r="K209" s="8" t="s">
        <v>12</v>
      </c>
    </row>
    <row r="210" spans="1:11" x14ac:dyDescent="0.25">
      <c r="A210" s="4" t="s">
        <v>120</v>
      </c>
      <c r="B210" s="5" t="s">
        <v>85</v>
      </c>
      <c r="C210" s="4" t="s">
        <v>86</v>
      </c>
      <c r="D210" s="5" t="s">
        <v>176</v>
      </c>
      <c r="E210" s="4" t="s">
        <v>16</v>
      </c>
      <c r="F210" s="4" t="s">
        <v>17</v>
      </c>
      <c r="G210" s="4" t="s">
        <v>13</v>
      </c>
      <c r="H210" s="6">
        <v>2</v>
      </c>
      <c r="I210" s="7">
        <v>47000</v>
      </c>
      <c r="J210" s="7">
        <f t="shared" si="3"/>
        <v>94000</v>
      </c>
      <c r="K210" s="8" t="s">
        <v>12</v>
      </c>
    </row>
    <row r="211" spans="1:11" x14ac:dyDescent="0.25">
      <c r="A211" s="4" t="s">
        <v>120</v>
      </c>
      <c r="B211" s="5" t="s">
        <v>85</v>
      </c>
      <c r="C211" s="4" t="s">
        <v>86</v>
      </c>
      <c r="D211" s="5" t="s">
        <v>176</v>
      </c>
      <c r="E211" s="4" t="s">
        <v>50</v>
      </c>
      <c r="F211" s="4" t="s">
        <v>51</v>
      </c>
      <c r="G211" s="4" t="s">
        <v>13</v>
      </c>
      <c r="H211" s="6">
        <v>17</v>
      </c>
      <c r="I211" s="7">
        <v>18000</v>
      </c>
      <c r="J211" s="7">
        <f t="shared" si="3"/>
        <v>306000</v>
      </c>
      <c r="K211" s="8" t="s">
        <v>12</v>
      </c>
    </row>
    <row r="212" spans="1:11" x14ac:dyDescent="0.25">
      <c r="A212" s="4" t="s">
        <v>120</v>
      </c>
      <c r="B212" s="5" t="s">
        <v>85</v>
      </c>
      <c r="C212" s="4" t="s">
        <v>86</v>
      </c>
      <c r="D212" s="5" t="s">
        <v>176</v>
      </c>
      <c r="E212" s="4" t="s">
        <v>18</v>
      </c>
      <c r="F212" s="4" t="s">
        <v>19</v>
      </c>
      <c r="G212" s="4" t="s">
        <v>13</v>
      </c>
      <c r="H212" s="6">
        <v>1</v>
      </c>
      <c r="I212" s="7">
        <v>55000</v>
      </c>
      <c r="J212" s="7">
        <f t="shared" si="3"/>
        <v>55000</v>
      </c>
      <c r="K212" s="8" t="s">
        <v>12</v>
      </c>
    </row>
    <row r="213" spans="1:11" x14ac:dyDescent="0.25">
      <c r="A213" s="4" t="s">
        <v>120</v>
      </c>
      <c r="B213" s="5" t="s">
        <v>85</v>
      </c>
      <c r="C213" s="4" t="s">
        <v>86</v>
      </c>
      <c r="D213" s="5" t="s">
        <v>176</v>
      </c>
      <c r="E213" s="4" t="s">
        <v>80</v>
      </c>
      <c r="F213" s="4" t="s">
        <v>81</v>
      </c>
      <c r="G213" s="4" t="s">
        <v>82</v>
      </c>
      <c r="H213" s="6">
        <v>1</v>
      </c>
      <c r="I213" s="7">
        <v>80000</v>
      </c>
      <c r="J213" s="7">
        <f t="shared" si="3"/>
        <v>80000</v>
      </c>
      <c r="K213" s="8" t="s">
        <v>12</v>
      </c>
    </row>
    <row r="214" spans="1:11" x14ac:dyDescent="0.25">
      <c r="A214" s="4" t="s">
        <v>120</v>
      </c>
      <c r="B214" s="5" t="s">
        <v>85</v>
      </c>
      <c r="C214" s="4" t="s">
        <v>86</v>
      </c>
      <c r="D214" s="5" t="s">
        <v>176</v>
      </c>
      <c r="E214" s="4" t="s">
        <v>70</v>
      </c>
      <c r="F214" s="4" t="s">
        <v>71</v>
      </c>
      <c r="G214" s="4" t="s">
        <v>13</v>
      </c>
      <c r="H214" s="6">
        <v>2.7</v>
      </c>
      <c r="I214" s="7">
        <v>30000</v>
      </c>
      <c r="J214" s="7">
        <f t="shared" si="3"/>
        <v>81000</v>
      </c>
      <c r="K214" s="8" t="s">
        <v>12</v>
      </c>
    </row>
    <row r="215" spans="1:11" x14ac:dyDescent="0.25">
      <c r="A215" s="4" t="s">
        <v>120</v>
      </c>
      <c r="B215" s="5" t="s">
        <v>85</v>
      </c>
      <c r="C215" s="4" t="s">
        <v>86</v>
      </c>
      <c r="D215" s="5" t="s">
        <v>176</v>
      </c>
      <c r="E215" s="4" t="s">
        <v>72</v>
      </c>
      <c r="F215" s="4" t="s">
        <v>73</v>
      </c>
      <c r="G215" s="4" t="s">
        <v>13</v>
      </c>
      <c r="H215" s="6">
        <v>1.9</v>
      </c>
      <c r="I215" s="7">
        <v>18000</v>
      </c>
      <c r="J215" s="7">
        <f t="shared" si="3"/>
        <v>34200</v>
      </c>
      <c r="K215" s="8" t="s">
        <v>12</v>
      </c>
    </row>
    <row r="216" spans="1:11" x14ac:dyDescent="0.25">
      <c r="A216" s="4" t="s">
        <v>120</v>
      </c>
      <c r="B216" s="5" t="s">
        <v>85</v>
      </c>
      <c r="C216" s="4" t="s">
        <v>86</v>
      </c>
      <c r="D216" s="5" t="s">
        <v>176</v>
      </c>
      <c r="E216" s="4" t="s">
        <v>74</v>
      </c>
      <c r="F216" s="4" t="s">
        <v>75</v>
      </c>
      <c r="G216" s="4" t="s">
        <v>13</v>
      </c>
      <c r="H216" s="6">
        <v>4</v>
      </c>
      <c r="I216" s="7">
        <v>22000</v>
      </c>
      <c r="J216" s="7">
        <f t="shared" si="3"/>
        <v>88000</v>
      </c>
      <c r="K216" s="8" t="s">
        <v>12</v>
      </c>
    </row>
    <row r="217" spans="1:11" x14ac:dyDescent="0.25">
      <c r="A217" s="4" t="s">
        <v>120</v>
      </c>
      <c r="B217" s="5" t="s">
        <v>85</v>
      </c>
      <c r="C217" s="4" t="s">
        <v>86</v>
      </c>
      <c r="D217" s="5" t="s">
        <v>176</v>
      </c>
      <c r="E217" s="4" t="s">
        <v>36</v>
      </c>
      <c r="F217" s="4" t="s">
        <v>37</v>
      </c>
      <c r="G217" s="4" t="s">
        <v>13</v>
      </c>
      <c r="H217" s="6">
        <v>3</v>
      </c>
      <c r="I217" s="7">
        <v>145000</v>
      </c>
      <c r="J217" s="7">
        <f t="shared" si="3"/>
        <v>435000</v>
      </c>
      <c r="K217" s="8" t="s">
        <v>12</v>
      </c>
    </row>
    <row r="218" spans="1:11" x14ac:dyDescent="0.25">
      <c r="A218" s="4" t="s">
        <v>120</v>
      </c>
      <c r="B218" s="5" t="s">
        <v>85</v>
      </c>
      <c r="C218" s="4" t="s">
        <v>86</v>
      </c>
      <c r="D218" s="5" t="s">
        <v>176</v>
      </c>
      <c r="E218" s="4" t="s">
        <v>38</v>
      </c>
      <c r="F218" s="4" t="s">
        <v>39</v>
      </c>
      <c r="G218" s="4" t="s">
        <v>13</v>
      </c>
      <c r="H218" s="6">
        <v>5</v>
      </c>
      <c r="I218" s="7">
        <v>47000</v>
      </c>
      <c r="J218" s="7">
        <f t="shared" si="3"/>
        <v>235000</v>
      </c>
      <c r="K218" s="8" t="s">
        <v>12</v>
      </c>
    </row>
    <row r="219" spans="1:11" ht="28.5" x14ac:dyDescent="0.25">
      <c r="A219" s="4" t="s">
        <v>120</v>
      </c>
      <c r="B219" s="5" t="s">
        <v>85</v>
      </c>
      <c r="C219" s="4" t="s">
        <v>86</v>
      </c>
      <c r="D219" s="5" t="s">
        <v>176</v>
      </c>
      <c r="E219" s="4" t="s">
        <v>44</v>
      </c>
      <c r="F219" s="4" t="s">
        <v>45</v>
      </c>
      <c r="G219" s="4" t="s">
        <v>13</v>
      </c>
      <c r="H219" s="6">
        <v>5</v>
      </c>
      <c r="I219" s="7">
        <v>95000</v>
      </c>
      <c r="J219" s="7">
        <f t="shared" si="3"/>
        <v>475000</v>
      </c>
      <c r="K219" s="8" t="s">
        <v>12</v>
      </c>
    </row>
    <row r="220" spans="1:11" x14ac:dyDescent="0.25">
      <c r="A220" s="4" t="s">
        <v>120</v>
      </c>
      <c r="B220" s="5" t="s">
        <v>85</v>
      </c>
      <c r="C220" s="4" t="s">
        <v>86</v>
      </c>
      <c r="D220" s="5" t="s">
        <v>176</v>
      </c>
      <c r="E220" s="4" t="s">
        <v>20</v>
      </c>
      <c r="F220" s="4" t="s">
        <v>21</v>
      </c>
      <c r="G220" s="4" t="s">
        <v>13</v>
      </c>
      <c r="H220" s="6">
        <v>1</v>
      </c>
      <c r="I220" s="7">
        <v>45000</v>
      </c>
      <c r="J220" s="7">
        <f t="shared" si="3"/>
        <v>45000</v>
      </c>
      <c r="K220" s="8" t="s">
        <v>12</v>
      </c>
    </row>
    <row r="221" spans="1:11" x14ac:dyDescent="0.25">
      <c r="A221" s="4" t="s">
        <v>120</v>
      </c>
      <c r="B221" s="5" t="s">
        <v>85</v>
      </c>
      <c r="C221" s="4" t="s">
        <v>86</v>
      </c>
      <c r="D221" s="5" t="s">
        <v>176</v>
      </c>
      <c r="E221" s="4" t="s">
        <v>46</v>
      </c>
      <c r="F221" s="4" t="s">
        <v>47</v>
      </c>
      <c r="G221" s="4" t="s">
        <v>13</v>
      </c>
      <c r="H221" s="6">
        <v>0.2</v>
      </c>
      <c r="I221" s="7">
        <v>70000</v>
      </c>
      <c r="J221" s="7">
        <f t="shared" si="3"/>
        <v>14000</v>
      </c>
      <c r="K221" s="8" t="s">
        <v>12</v>
      </c>
    </row>
    <row r="222" spans="1:11" x14ac:dyDescent="0.25">
      <c r="A222" s="4" t="s">
        <v>120</v>
      </c>
      <c r="B222" s="5" t="s">
        <v>85</v>
      </c>
      <c r="C222" s="4" t="s">
        <v>86</v>
      </c>
      <c r="D222" s="5" t="s">
        <v>176</v>
      </c>
      <c r="E222" s="4" t="s">
        <v>29</v>
      </c>
      <c r="F222" s="4" t="s">
        <v>30</v>
      </c>
      <c r="G222" s="4" t="s">
        <v>13</v>
      </c>
      <c r="H222" s="6">
        <v>1</v>
      </c>
      <c r="I222" s="7">
        <v>145000</v>
      </c>
      <c r="J222" s="7">
        <f t="shared" si="3"/>
        <v>145000</v>
      </c>
      <c r="K222" s="8" t="s">
        <v>12</v>
      </c>
    </row>
    <row r="223" spans="1:11" x14ac:dyDescent="0.25">
      <c r="A223" s="4" t="s">
        <v>120</v>
      </c>
      <c r="B223" s="5" t="s">
        <v>85</v>
      </c>
      <c r="C223" s="4" t="s">
        <v>86</v>
      </c>
      <c r="D223" s="5" t="s">
        <v>176</v>
      </c>
      <c r="E223" s="4" t="s">
        <v>27</v>
      </c>
      <c r="F223" s="4" t="s">
        <v>28</v>
      </c>
      <c r="G223" s="4" t="s">
        <v>13</v>
      </c>
      <c r="H223" s="6">
        <v>5</v>
      </c>
      <c r="I223" s="7">
        <v>21000</v>
      </c>
      <c r="J223" s="7">
        <f t="shared" si="3"/>
        <v>105000</v>
      </c>
      <c r="K223" s="8" t="s">
        <v>12</v>
      </c>
    </row>
    <row r="224" spans="1:11" x14ac:dyDescent="0.25">
      <c r="A224" s="4" t="s">
        <v>120</v>
      </c>
      <c r="B224" s="5" t="s">
        <v>85</v>
      </c>
      <c r="C224" s="4" t="s">
        <v>86</v>
      </c>
      <c r="D224" s="5" t="s">
        <v>176</v>
      </c>
      <c r="E224" s="4" t="s">
        <v>76</v>
      </c>
      <c r="F224" s="4" t="s">
        <v>77</v>
      </c>
      <c r="G224" s="4" t="s">
        <v>13</v>
      </c>
      <c r="H224" s="6">
        <v>2.8</v>
      </c>
      <c r="I224" s="7">
        <v>38000</v>
      </c>
      <c r="J224" s="7">
        <f t="shared" si="3"/>
        <v>106400</v>
      </c>
      <c r="K224" s="8" t="s">
        <v>12</v>
      </c>
    </row>
    <row r="225" spans="1:11" x14ac:dyDescent="0.25">
      <c r="A225" s="4" t="s">
        <v>120</v>
      </c>
      <c r="B225" s="5" t="s">
        <v>85</v>
      </c>
      <c r="C225" s="4" t="s">
        <v>86</v>
      </c>
      <c r="D225" s="5" t="s">
        <v>176</v>
      </c>
      <c r="E225" s="4" t="s">
        <v>14</v>
      </c>
      <c r="F225" s="4" t="s">
        <v>15</v>
      </c>
      <c r="G225" s="4" t="s">
        <v>13</v>
      </c>
      <c r="H225" s="6">
        <v>2</v>
      </c>
      <c r="I225" s="7">
        <v>50000</v>
      </c>
      <c r="J225" s="7">
        <f t="shared" si="3"/>
        <v>100000</v>
      </c>
      <c r="K225" s="8" t="s">
        <v>12</v>
      </c>
    </row>
    <row r="226" spans="1:11" x14ac:dyDescent="0.25">
      <c r="A226" s="4" t="s">
        <v>120</v>
      </c>
      <c r="B226" s="5" t="s">
        <v>85</v>
      </c>
      <c r="C226" s="4" t="s">
        <v>86</v>
      </c>
      <c r="D226" s="5" t="s">
        <v>176</v>
      </c>
      <c r="E226" s="4" t="s">
        <v>48</v>
      </c>
      <c r="F226" s="4" t="s">
        <v>49</v>
      </c>
      <c r="G226" s="4" t="s">
        <v>13</v>
      </c>
      <c r="H226" s="6">
        <v>8</v>
      </c>
      <c r="I226" s="7">
        <v>62000</v>
      </c>
      <c r="J226" s="7">
        <f t="shared" si="3"/>
        <v>496000</v>
      </c>
      <c r="K226" s="8" t="s">
        <v>12</v>
      </c>
    </row>
    <row r="227" spans="1:11" x14ac:dyDescent="0.25">
      <c r="A227" s="4" t="s">
        <v>120</v>
      </c>
      <c r="B227" s="5" t="s">
        <v>85</v>
      </c>
      <c r="C227" s="4" t="s">
        <v>86</v>
      </c>
      <c r="D227" s="5" t="s">
        <v>177</v>
      </c>
      <c r="E227" s="4" t="s">
        <v>64</v>
      </c>
      <c r="F227" s="4" t="s">
        <v>65</v>
      </c>
      <c r="G227" s="4" t="s">
        <v>13</v>
      </c>
      <c r="H227" s="6">
        <v>1</v>
      </c>
      <c r="I227" s="7">
        <v>50000</v>
      </c>
      <c r="J227" s="7">
        <f t="shared" si="3"/>
        <v>50000</v>
      </c>
      <c r="K227" s="8" t="s">
        <v>12</v>
      </c>
    </row>
    <row r="228" spans="1:11" x14ac:dyDescent="0.25">
      <c r="A228" s="4" t="s">
        <v>120</v>
      </c>
      <c r="B228" s="5" t="s">
        <v>85</v>
      </c>
      <c r="C228" s="4" t="s">
        <v>86</v>
      </c>
      <c r="D228" s="5" t="s">
        <v>177</v>
      </c>
      <c r="E228" s="4" t="s">
        <v>70</v>
      </c>
      <c r="F228" s="4" t="s">
        <v>71</v>
      </c>
      <c r="G228" s="4" t="s">
        <v>13</v>
      </c>
      <c r="H228" s="6">
        <v>2.1</v>
      </c>
      <c r="I228" s="7">
        <v>30000</v>
      </c>
      <c r="J228" s="7">
        <f t="shared" si="3"/>
        <v>63000</v>
      </c>
      <c r="K228" s="8" t="s">
        <v>12</v>
      </c>
    </row>
    <row r="229" spans="1:11" x14ac:dyDescent="0.25">
      <c r="A229" s="4" t="s">
        <v>120</v>
      </c>
      <c r="B229" s="5" t="s">
        <v>85</v>
      </c>
      <c r="C229" s="4" t="s">
        <v>86</v>
      </c>
      <c r="D229" s="5" t="s">
        <v>177</v>
      </c>
      <c r="E229" s="4" t="s">
        <v>74</v>
      </c>
      <c r="F229" s="4" t="s">
        <v>75</v>
      </c>
      <c r="G229" s="4" t="s">
        <v>13</v>
      </c>
      <c r="H229" s="6">
        <v>4.5</v>
      </c>
      <c r="I229" s="7">
        <v>22000</v>
      </c>
      <c r="J229" s="7">
        <f t="shared" si="3"/>
        <v>99000</v>
      </c>
      <c r="K229" s="8" t="s">
        <v>12</v>
      </c>
    </row>
    <row r="230" spans="1:11" x14ac:dyDescent="0.25">
      <c r="A230" s="4" t="s">
        <v>123</v>
      </c>
      <c r="B230" s="5" t="s">
        <v>85</v>
      </c>
      <c r="C230" s="4" t="s">
        <v>86</v>
      </c>
      <c r="D230" s="5" t="s">
        <v>178</v>
      </c>
      <c r="E230" s="4" t="s">
        <v>31</v>
      </c>
      <c r="F230" s="4" t="s">
        <v>32</v>
      </c>
      <c r="G230" s="4" t="s">
        <v>33</v>
      </c>
      <c r="H230" s="6">
        <v>5</v>
      </c>
      <c r="I230" s="7">
        <v>8500</v>
      </c>
      <c r="J230" s="7">
        <f t="shared" si="3"/>
        <v>42500</v>
      </c>
      <c r="K230" s="8" t="s">
        <v>12</v>
      </c>
    </row>
    <row r="231" spans="1:11" x14ac:dyDescent="0.25">
      <c r="A231" s="4" t="s">
        <v>123</v>
      </c>
      <c r="B231" s="5" t="s">
        <v>85</v>
      </c>
      <c r="C231" s="4" t="s">
        <v>86</v>
      </c>
      <c r="D231" s="5" t="s">
        <v>178</v>
      </c>
      <c r="E231" s="4" t="s">
        <v>62</v>
      </c>
      <c r="F231" s="4" t="s">
        <v>63</v>
      </c>
      <c r="G231" s="4" t="s">
        <v>13</v>
      </c>
      <c r="H231" s="6">
        <v>0.5</v>
      </c>
      <c r="I231" s="7">
        <v>45000</v>
      </c>
      <c r="J231" s="7">
        <f t="shared" si="3"/>
        <v>22500</v>
      </c>
      <c r="K231" s="8" t="s">
        <v>12</v>
      </c>
    </row>
    <row r="232" spans="1:11" x14ac:dyDescent="0.25">
      <c r="A232" s="4" t="s">
        <v>123</v>
      </c>
      <c r="B232" s="5" t="s">
        <v>85</v>
      </c>
      <c r="C232" s="4" t="s">
        <v>86</v>
      </c>
      <c r="D232" s="5" t="s">
        <v>178</v>
      </c>
      <c r="E232" s="4" t="s">
        <v>66</v>
      </c>
      <c r="F232" s="4" t="s">
        <v>67</v>
      </c>
      <c r="G232" s="4" t="s">
        <v>13</v>
      </c>
      <c r="H232" s="6">
        <v>8</v>
      </c>
      <c r="I232" s="7">
        <v>18000</v>
      </c>
      <c r="J232" s="7">
        <f t="shared" si="3"/>
        <v>144000</v>
      </c>
      <c r="K232" s="8" t="s">
        <v>12</v>
      </c>
    </row>
    <row r="233" spans="1:11" x14ac:dyDescent="0.25">
      <c r="A233" s="4" t="s">
        <v>123</v>
      </c>
      <c r="B233" s="5" t="s">
        <v>85</v>
      </c>
      <c r="C233" s="4" t="s">
        <v>86</v>
      </c>
      <c r="D233" s="5" t="s">
        <v>178</v>
      </c>
      <c r="E233" s="4" t="s">
        <v>16</v>
      </c>
      <c r="F233" s="4" t="s">
        <v>17</v>
      </c>
      <c r="G233" s="4" t="s">
        <v>13</v>
      </c>
      <c r="H233" s="6">
        <v>1</v>
      </c>
      <c r="I233" s="7">
        <v>47000</v>
      </c>
      <c r="J233" s="7">
        <f t="shared" si="3"/>
        <v>47000</v>
      </c>
      <c r="K233" s="8" t="s">
        <v>12</v>
      </c>
    </row>
    <row r="234" spans="1:11" x14ac:dyDescent="0.25">
      <c r="A234" s="4" t="s">
        <v>123</v>
      </c>
      <c r="B234" s="5" t="s">
        <v>85</v>
      </c>
      <c r="C234" s="4" t="s">
        <v>86</v>
      </c>
      <c r="D234" s="5" t="s">
        <v>178</v>
      </c>
      <c r="E234" s="4" t="s">
        <v>18</v>
      </c>
      <c r="F234" s="4" t="s">
        <v>19</v>
      </c>
      <c r="G234" s="4" t="s">
        <v>13</v>
      </c>
      <c r="H234" s="6">
        <v>1</v>
      </c>
      <c r="I234" s="7">
        <v>55000</v>
      </c>
      <c r="J234" s="7">
        <f t="shared" si="3"/>
        <v>55000</v>
      </c>
      <c r="K234" s="8" t="s">
        <v>12</v>
      </c>
    </row>
    <row r="235" spans="1:11" x14ac:dyDescent="0.25">
      <c r="A235" s="4" t="s">
        <v>123</v>
      </c>
      <c r="B235" s="5" t="s">
        <v>85</v>
      </c>
      <c r="C235" s="4" t="s">
        <v>86</v>
      </c>
      <c r="D235" s="5" t="s">
        <v>178</v>
      </c>
      <c r="E235" s="4" t="s">
        <v>80</v>
      </c>
      <c r="F235" s="4" t="s">
        <v>81</v>
      </c>
      <c r="G235" s="4" t="s">
        <v>82</v>
      </c>
      <c r="H235" s="6">
        <v>1</v>
      </c>
      <c r="I235" s="7">
        <v>80000</v>
      </c>
      <c r="J235" s="7">
        <f t="shared" si="3"/>
        <v>80000</v>
      </c>
      <c r="K235" s="8" t="s">
        <v>12</v>
      </c>
    </row>
    <row r="236" spans="1:11" x14ac:dyDescent="0.25">
      <c r="A236" s="4" t="s">
        <v>123</v>
      </c>
      <c r="B236" s="5" t="s">
        <v>85</v>
      </c>
      <c r="C236" s="4" t="s">
        <v>86</v>
      </c>
      <c r="D236" s="5" t="s">
        <v>178</v>
      </c>
      <c r="E236" s="4" t="s">
        <v>72</v>
      </c>
      <c r="F236" s="4" t="s">
        <v>73</v>
      </c>
      <c r="G236" s="4" t="s">
        <v>13</v>
      </c>
      <c r="H236" s="6">
        <v>1</v>
      </c>
      <c r="I236" s="7">
        <v>18000</v>
      </c>
      <c r="J236" s="7">
        <f t="shared" si="3"/>
        <v>18000</v>
      </c>
      <c r="K236" s="8" t="s">
        <v>12</v>
      </c>
    </row>
    <row r="237" spans="1:11" x14ac:dyDescent="0.25">
      <c r="A237" s="4" t="s">
        <v>123</v>
      </c>
      <c r="B237" s="5" t="s">
        <v>85</v>
      </c>
      <c r="C237" s="4" t="s">
        <v>86</v>
      </c>
      <c r="D237" s="5" t="s">
        <v>178</v>
      </c>
      <c r="E237" s="4" t="s">
        <v>74</v>
      </c>
      <c r="F237" s="4" t="s">
        <v>75</v>
      </c>
      <c r="G237" s="4" t="s">
        <v>13</v>
      </c>
      <c r="H237" s="6">
        <v>3</v>
      </c>
      <c r="I237" s="7">
        <v>22000</v>
      </c>
      <c r="J237" s="7">
        <f t="shared" si="3"/>
        <v>66000</v>
      </c>
      <c r="K237" s="8" t="s">
        <v>12</v>
      </c>
    </row>
    <row r="238" spans="1:11" x14ac:dyDescent="0.25">
      <c r="A238" s="4" t="s">
        <v>123</v>
      </c>
      <c r="B238" s="5" t="s">
        <v>85</v>
      </c>
      <c r="C238" s="4" t="s">
        <v>86</v>
      </c>
      <c r="D238" s="5" t="s">
        <v>178</v>
      </c>
      <c r="E238" s="4" t="s">
        <v>36</v>
      </c>
      <c r="F238" s="4" t="s">
        <v>37</v>
      </c>
      <c r="G238" s="4" t="s">
        <v>13</v>
      </c>
      <c r="H238" s="6">
        <v>3</v>
      </c>
      <c r="I238" s="7">
        <v>145000</v>
      </c>
      <c r="J238" s="7">
        <f t="shared" si="3"/>
        <v>435000</v>
      </c>
      <c r="K238" s="8" t="s">
        <v>12</v>
      </c>
    </row>
    <row r="239" spans="1:11" x14ac:dyDescent="0.25">
      <c r="A239" s="4" t="s">
        <v>123</v>
      </c>
      <c r="B239" s="5" t="s">
        <v>85</v>
      </c>
      <c r="C239" s="4" t="s">
        <v>86</v>
      </c>
      <c r="D239" s="5" t="s">
        <v>178</v>
      </c>
      <c r="E239" s="4" t="s">
        <v>38</v>
      </c>
      <c r="F239" s="4" t="s">
        <v>39</v>
      </c>
      <c r="G239" s="4" t="s">
        <v>13</v>
      </c>
      <c r="H239" s="6">
        <v>4</v>
      </c>
      <c r="I239" s="7">
        <v>47000</v>
      </c>
      <c r="J239" s="7">
        <f t="shared" si="3"/>
        <v>188000</v>
      </c>
      <c r="K239" s="8" t="s">
        <v>12</v>
      </c>
    </row>
    <row r="240" spans="1:11" x14ac:dyDescent="0.25">
      <c r="A240" s="4" t="s">
        <v>123</v>
      </c>
      <c r="B240" s="5" t="s">
        <v>85</v>
      </c>
      <c r="C240" s="4" t="s">
        <v>86</v>
      </c>
      <c r="D240" s="5" t="s">
        <v>178</v>
      </c>
      <c r="E240" s="4" t="s">
        <v>40</v>
      </c>
      <c r="F240" s="4" t="s">
        <v>41</v>
      </c>
      <c r="G240" s="4" t="s">
        <v>13</v>
      </c>
      <c r="H240" s="6">
        <v>2.1</v>
      </c>
      <c r="I240" s="7">
        <v>80000</v>
      </c>
      <c r="J240" s="7">
        <f t="shared" si="3"/>
        <v>168000</v>
      </c>
      <c r="K240" s="8" t="s">
        <v>12</v>
      </c>
    </row>
    <row r="241" spans="1:11" ht="28.5" x14ac:dyDescent="0.25">
      <c r="A241" s="4" t="s">
        <v>123</v>
      </c>
      <c r="B241" s="5" t="s">
        <v>85</v>
      </c>
      <c r="C241" s="4" t="s">
        <v>86</v>
      </c>
      <c r="D241" s="5" t="s">
        <v>178</v>
      </c>
      <c r="E241" s="4" t="s">
        <v>44</v>
      </c>
      <c r="F241" s="4" t="s">
        <v>45</v>
      </c>
      <c r="G241" s="4" t="s">
        <v>13</v>
      </c>
      <c r="H241" s="6">
        <v>4</v>
      </c>
      <c r="I241" s="7">
        <v>95000</v>
      </c>
      <c r="J241" s="7">
        <f t="shared" si="3"/>
        <v>380000</v>
      </c>
      <c r="K241" s="8" t="s">
        <v>12</v>
      </c>
    </row>
    <row r="242" spans="1:11" x14ac:dyDescent="0.25">
      <c r="A242" s="4" t="s">
        <v>123</v>
      </c>
      <c r="B242" s="5" t="s">
        <v>85</v>
      </c>
      <c r="C242" s="4" t="s">
        <v>86</v>
      </c>
      <c r="D242" s="5" t="s">
        <v>178</v>
      </c>
      <c r="E242" s="4" t="s">
        <v>20</v>
      </c>
      <c r="F242" s="4" t="s">
        <v>21</v>
      </c>
      <c r="G242" s="4" t="s">
        <v>13</v>
      </c>
      <c r="H242" s="6">
        <v>1</v>
      </c>
      <c r="I242" s="7">
        <v>45000</v>
      </c>
      <c r="J242" s="7">
        <f t="shared" si="3"/>
        <v>45000</v>
      </c>
      <c r="K242" s="8" t="s">
        <v>12</v>
      </c>
    </row>
    <row r="243" spans="1:11" x14ac:dyDescent="0.25">
      <c r="A243" s="4" t="s">
        <v>123</v>
      </c>
      <c r="B243" s="5" t="s">
        <v>85</v>
      </c>
      <c r="C243" s="4" t="s">
        <v>86</v>
      </c>
      <c r="D243" s="5" t="s">
        <v>178</v>
      </c>
      <c r="E243" s="4" t="s">
        <v>46</v>
      </c>
      <c r="F243" s="4" t="s">
        <v>47</v>
      </c>
      <c r="G243" s="4" t="s">
        <v>13</v>
      </c>
      <c r="H243" s="6">
        <v>0.2</v>
      </c>
      <c r="I243" s="7">
        <v>70000</v>
      </c>
      <c r="J243" s="7">
        <f t="shared" si="3"/>
        <v>14000</v>
      </c>
      <c r="K243" s="8" t="s">
        <v>12</v>
      </c>
    </row>
    <row r="244" spans="1:11" x14ac:dyDescent="0.25">
      <c r="A244" s="4" t="s">
        <v>123</v>
      </c>
      <c r="B244" s="5" t="s">
        <v>85</v>
      </c>
      <c r="C244" s="4" t="s">
        <v>86</v>
      </c>
      <c r="D244" s="5" t="s">
        <v>178</v>
      </c>
      <c r="E244" s="4" t="s">
        <v>29</v>
      </c>
      <c r="F244" s="4" t="s">
        <v>30</v>
      </c>
      <c r="G244" s="4" t="s">
        <v>13</v>
      </c>
      <c r="H244" s="6">
        <v>1</v>
      </c>
      <c r="I244" s="7">
        <v>145000</v>
      </c>
      <c r="J244" s="7">
        <f t="shared" si="3"/>
        <v>145000</v>
      </c>
      <c r="K244" s="8" t="s">
        <v>12</v>
      </c>
    </row>
    <row r="245" spans="1:11" x14ac:dyDescent="0.25">
      <c r="A245" s="4" t="s">
        <v>123</v>
      </c>
      <c r="B245" s="5" t="s">
        <v>85</v>
      </c>
      <c r="C245" s="4" t="s">
        <v>86</v>
      </c>
      <c r="D245" s="5" t="s">
        <v>178</v>
      </c>
      <c r="E245" s="4" t="s">
        <v>76</v>
      </c>
      <c r="F245" s="4" t="s">
        <v>77</v>
      </c>
      <c r="G245" s="4" t="s">
        <v>13</v>
      </c>
      <c r="H245" s="6">
        <v>2</v>
      </c>
      <c r="I245" s="7">
        <v>38000</v>
      </c>
      <c r="J245" s="7">
        <f t="shared" si="3"/>
        <v>76000</v>
      </c>
      <c r="K245" s="8" t="s">
        <v>12</v>
      </c>
    </row>
    <row r="246" spans="1:11" x14ac:dyDescent="0.25">
      <c r="A246" s="4" t="s">
        <v>123</v>
      </c>
      <c r="B246" s="5" t="s">
        <v>85</v>
      </c>
      <c r="C246" s="4" t="s">
        <v>86</v>
      </c>
      <c r="D246" s="5" t="s">
        <v>178</v>
      </c>
      <c r="E246" s="4" t="s">
        <v>14</v>
      </c>
      <c r="F246" s="4" t="s">
        <v>15</v>
      </c>
      <c r="G246" s="4" t="s">
        <v>13</v>
      </c>
      <c r="H246" s="6">
        <v>1</v>
      </c>
      <c r="I246" s="7">
        <v>50000</v>
      </c>
      <c r="J246" s="7">
        <f t="shared" si="3"/>
        <v>50000</v>
      </c>
      <c r="K246" s="8" t="s">
        <v>12</v>
      </c>
    </row>
    <row r="247" spans="1:11" x14ac:dyDescent="0.25">
      <c r="A247" s="4" t="s">
        <v>123</v>
      </c>
      <c r="B247" s="5" t="s">
        <v>85</v>
      </c>
      <c r="C247" s="4" t="s">
        <v>86</v>
      </c>
      <c r="D247" s="5" t="s">
        <v>178</v>
      </c>
      <c r="E247" s="4" t="s">
        <v>48</v>
      </c>
      <c r="F247" s="4" t="s">
        <v>49</v>
      </c>
      <c r="G247" s="4" t="s">
        <v>13</v>
      </c>
      <c r="H247" s="6">
        <v>5</v>
      </c>
      <c r="I247" s="7">
        <v>62000</v>
      </c>
      <c r="J247" s="7">
        <f t="shared" si="3"/>
        <v>310000</v>
      </c>
      <c r="K247" s="8" t="s">
        <v>12</v>
      </c>
    </row>
    <row r="248" spans="1:11" x14ac:dyDescent="0.25">
      <c r="A248" s="4" t="s">
        <v>125</v>
      </c>
      <c r="B248" s="5" t="s">
        <v>85</v>
      </c>
      <c r="C248" s="4" t="s">
        <v>86</v>
      </c>
      <c r="D248" s="5" t="s">
        <v>179</v>
      </c>
      <c r="E248" s="4" t="s">
        <v>31</v>
      </c>
      <c r="F248" s="4" t="s">
        <v>32</v>
      </c>
      <c r="G248" s="4" t="s">
        <v>33</v>
      </c>
      <c r="H248" s="6">
        <v>5</v>
      </c>
      <c r="I248" s="7">
        <v>8500</v>
      </c>
      <c r="J248" s="7">
        <f t="shared" si="3"/>
        <v>42500</v>
      </c>
      <c r="K248" s="8" t="s">
        <v>12</v>
      </c>
    </row>
    <row r="249" spans="1:11" x14ac:dyDescent="0.25">
      <c r="A249" s="4" t="s">
        <v>125</v>
      </c>
      <c r="B249" s="5" t="s">
        <v>85</v>
      </c>
      <c r="C249" s="4" t="s">
        <v>86</v>
      </c>
      <c r="D249" s="5" t="s">
        <v>179</v>
      </c>
      <c r="E249" s="4" t="s">
        <v>62</v>
      </c>
      <c r="F249" s="4" t="s">
        <v>63</v>
      </c>
      <c r="G249" s="4" t="s">
        <v>13</v>
      </c>
      <c r="H249" s="6">
        <v>1</v>
      </c>
      <c r="I249" s="7">
        <v>45000</v>
      </c>
      <c r="J249" s="7">
        <f t="shared" si="3"/>
        <v>45000</v>
      </c>
      <c r="K249" s="8" t="s">
        <v>12</v>
      </c>
    </row>
    <row r="250" spans="1:11" x14ac:dyDescent="0.25">
      <c r="A250" s="4" t="s">
        <v>125</v>
      </c>
      <c r="B250" s="5" t="s">
        <v>85</v>
      </c>
      <c r="C250" s="4" t="s">
        <v>86</v>
      </c>
      <c r="D250" s="5" t="s">
        <v>179</v>
      </c>
      <c r="E250" s="4" t="s">
        <v>64</v>
      </c>
      <c r="F250" s="4" t="s">
        <v>65</v>
      </c>
      <c r="G250" s="4" t="s">
        <v>13</v>
      </c>
      <c r="H250" s="6">
        <v>1</v>
      </c>
      <c r="I250" s="7">
        <v>50000</v>
      </c>
      <c r="J250" s="7">
        <f t="shared" si="3"/>
        <v>50000</v>
      </c>
      <c r="K250" s="8" t="s">
        <v>12</v>
      </c>
    </row>
    <row r="251" spans="1:11" x14ac:dyDescent="0.25">
      <c r="A251" s="4" t="s">
        <v>125</v>
      </c>
      <c r="B251" s="5" t="s">
        <v>85</v>
      </c>
      <c r="C251" s="4" t="s">
        <v>86</v>
      </c>
      <c r="D251" s="5" t="s">
        <v>179</v>
      </c>
      <c r="E251" s="4" t="s">
        <v>66</v>
      </c>
      <c r="F251" s="4" t="s">
        <v>67</v>
      </c>
      <c r="G251" s="4" t="s">
        <v>13</v>
      </c>
      <c r="H251" s="6">
        <v>8.6999999999999993</v>
      </c>
      <c r="I251" s="7">
        <v>18000</v>
      </c>
      <c r="J251" s="7">
        <f t="shared" si="3"/>
        <v>156600</v>
      </c>
      <c r="K251" s="8" t="s">
        <v>12</v>
      </c>
    </row>
    <row r="252" spans="1:11" x14ac:dyDescent="0.25">
      <c r="A252" s="4" t="s">
        <v>125</v>
      </c>
      <c r="B252" s="5" t="s">
        <v>85</v>
      </c>
      <c r="C252" s="4" t="s">
        <v>86</v>
      </c>
      <c r="D252" s="5" t="s">
        <v>179</v>
      </c>
      <c r="E252" s="4" t="s">
        <v>54</v>
      </c>
      <c r="F252" s="4" t="s">
        <v>55</v>
      </c>
      <c r="G252" s="4" t="s">
        <v>13</v>
      </c>
      <c r="H252" s="6">
        <v>0.5</v>
      </c>
      <c r="I252" s="7">
        <v>75000</v>
      </c>
      <c r="J252" s="7">
        <f t="shared" si="3"/>
        <v>37500</v>
      </c>
      <c r="K252" s="8" t="s">
        <v>12</v>
      </c>
    </row>
    <row r="253" spans="1:11" x14ac:dyDescent="0.25">
      <c r="A253" s="4" t="s">
        <v>125</v>
      </c>
      <c r="B253" s="5" t="s">
        <v>85</v>
      </c>
      <c r="C253" s="4" t="s">
        <v>86</v>
      </c>
      <c r="D253" s="5" t="s">
        <v>179</v>
      </c>
      <c r="E253" s="4" t="s">
        <v>56</v>
      </c>
      <c r="F253" s="4" t="s">
        <v>57</v>
      </c>
      <c r="G253" s="4" t="s">
        <v>13</v>
      </c>
      <c r="H253" s="6">
        <v>0.5</v>
      </c>
      <c r="I253" s="7">
        <v>34000</v>
      </c>
      <c r="J253" s="7">
        <f t="shared" si="3"/>
        <v>17000</v>
      </c>
      <c r="K253" s="8" t="s">
        <v>12</v>
      </c>
    </row>
    <row r="254" spans="1:11" x14ac:dyDescent="0.25">
      <c r="A254" s="4" t="s">
        <v>125</v>
      </c>
      <c r="B254" s="5" t="s">
        <v>85</v>
      </c>
      <c r="C254" s="4" t="s">
        <v>86</v>
      </c>
      <c r="D254" s="5" t="s">
        <v>179</v>
      </c>
      <c r="E254" s="4" t="s">
        <v>58</v>
      </c>
      <c r="F254" s="4" t="s">
        <v>59</v>
      </c>
      <c r="G254" s="4" t="s">
        <v>13</v>
      </c>
      <c r="H254" s="6">
        <v>0.6</v>
      </c>
      <c r="I254" s="7">
        <v>95000</v>
      </c>
      <c r="J254" s="7">
        <f t="shared" si="3"/>
        <v>57000</v>
      </c>
      <c r="K254" s="8" t="s">
        <v>12</v>
      </c>
    </row>
    <row r="255" spans="1:11" x14ac:dyDescent="0.25">
      <c r="A255" s="4" t="s">
        <v>125</v>
      </c>
      <c r="B255" s="5" t="s">
        <v>85</v>
      </c>
      <c r="C255" s="4" t="s">
        <v>86</v>
      </c>
      <c r="D255" s="5" t="s">
        <v>179</v>
      </c>
      <c r="E255" s="4" t="s">
        <v>16</v>
      </c>
      <c r="F255" s="4" t="s">
        <v>17</v>
      </c>
      <c r="G255" s="4" t="s">
        <v>13</v>
      </c>
      <c r="H255" s="6">
        <v>1</v>
      </c>
      <c r="I255" s="7">
        <v>47000</v>
      </c>
      <c r="J255" s="7">
        <f t="shared" si="3"/>
        <v>47000</v>
      </c>
      <c r="K255" s="8" t="s">
        <v>12</v>
      </c>
    </row>
    <row r="256" spans="1:11" x14ac:dyDescent="0.25">
      <c r="A256" s="4" t="s">
        <v>125</v>
      </c>
      <c r="B256" s="5" t="s">
        <v>85</v>
      </c>
      <c r="C256" s="4" t="s">
        <v>86</v>
      </c>
      <c r="D256" s="5" t="s">
        <v>179</v>
      </c>
      <c r="E256" s="4" t="s">
        <v>50</v>
      </c>
      <c r="F256" s="4" t="s">
        <v>51</v>
      </c>
      <c r="G256" s="4" t="s">
        <v>13</v>
      </c>
      <c r="H256" s="6">
        <v>15.5</v>
      </c>
      <c r="I256" s="7">
        <v>18000</v>
      </c>
      <c r="J256" s="7">
        <f t="shared" si="3"/>
        <v>279000</v>
      </c>
      <c r="K256" s="8" t="s">
        <v>12</v>
      </c>
    </row>
    <row r="257" spans="1:11" x14ac:dyDescent="0.25">
      <c r="A257" s="4" t="s">
        <v>125</v>
      </c>
      <c r="B257" s="5" t="s">
        <v>85</v>
      </c>
      <c r="C257" s="4" t="s">
        <v>86</v>
      </c>
      <c r="D257" s="5" t="s">
        <v>179</v>
      </c>
      <c r="E257" s="4" t="s">
        <v>18</v>
      </c>
      <c r="F257" s="4" t="s">
        <v>19</v>
      </c>
      <c r="G257" s="4" t="s">
        <v>13</v>
      </c>
      <c r="H257" s="6">
        <v>0.5</v>
      </c>
      <c r="I257" s="7">
        <v>55000</v>
      </c>
      <c r="J257" s="7">
        <f t="shared" si="3"/>
        <v>27500</v>
      </c>
      <c r="K257" s="8" t="s">
        <v>12</v>
      </c>
    </row>
    <row r="258" spans="1:11" x14ac:dyDescent="0.25">
      <c r="A258" s="4" t="s">
        <v>125</v>
      </c>
      <c r="B258" s="5" t="s">
        <v>85</v>
      </c>
      <c r="C258" s="4" t="s">
        <v>86</v>
      </c>
      <c r="D258" s="5" t="s">
        <v>179</v>
      </c>
      <c r="E258" s="4" t="s">
        <v>80</v>
      </c>
      <c r="F258" s="4" t="s">
        <v>81</v>
      </c>
      <c r="G258" s="4" t="s">
        <v>82</v>
      </c>
      <c r="H258" s="6">
        <v>1</v>
      </c>
      <c r="I258" s="7">
        <v>80000</v>
      </c>
      <c r="J258" s="7">
        <f t="shared" si="3"/>
        <v>80000</v>
      </c>
      <c r="K258" s="8" t="s">
        <v>12</v>
      </c>
    </row>
    <row r="259" spans="1:11" x14ac:dyDescent="0.25">
      <c r="A259" s="4" t="s">
        <v>125</v>
      </c>
      <c r="B259" s="5" t="s">
        <v>85</v>
      </c>
      <c r="C259" s="4" t="s">
        <v>86</v>
      </c>
      <c r="D259" s="5" t="s">
        <v>179</v>
      </c>
      <c r="E259" s="4" t="s">
        <v>52</v>
      </c>
      <c r="F259" s="4" t="s">
        <v>53</v>
      </c>
      <c r="G259" s="4" t="s">
        <v>13</v>
      </c>
      <c r="H259" s="6">
        <v>0.2</v>
      </c>
      <c r="I259" s="7">
        <v>65000</v>
      </c>
      <c r="J259" s="7">
        <f t="shared" si="3"/>
        <v>13000</v>
      </c>
      <c r="K259" s="8" t="s">
        <v>12</v>
      </c>
    </row>
    <row r="260" spans="1:11" x14ac:dyDescent="0.25">
      <c r="A260" s="4" t="s">
        <v>125</v>
      </c>
      <c r="B260" s="5" t="s">
        <v>85</v>
      </c>
      <c r="C260" s="4" t="s">
        <v>86</v>
      </c>
      <c r="D260" s="5" t="s">
        <v>179</v>
      </c>
      <c r="E260" s="4" t="s">
        <v>74</v>
      </c>
      <c r="F260" s="4" t="s">
        <v>75</v>
      </c>
      <c r="G260" s="4" t="s">
        <v>13</v>
      </c>
      <c r="H260" s="6">
        <v>3</v>
      </c>
      <c r="I260" s="7">
        <v>22000</v>
      </c>
      <c r="J260" s="7">
        <f t="shared" si="3"/>
        <v>66000</v>
      </c>
      <c r="K260" s="8" t="s">
        <v>12</v>
      </c>
    </row>
    <row r="261" spans="1:11" x14ac:dyDescent="0.25">
      <c r="A261" s="4" t="s">
        <v>125</v>
      </c>
      <c r="B261" s="5" t="s">
        <v>85</v>
      </c>
      <c r="C261" s="4" t="s">
        <v>86</v>
      </c>
      <c r="D261" s="5" t="s">
        <v>179</v>
      </c>
      <c r="E261" s="4" t="s">
        <v>36</v>
      </c>
      <c r="F261" s="4" t="s">
        <v>37</v>
      </c>
      <c r="G261" s="4" t="s">
        <v>13</v>
      </c>
      <c r="H261" s="6">
        <v>2</v>
      </c>
      <c r="I261" s="7">
        <v>145000</v>
      </c>
      <c r="J261" s="7">
        <f t="shared" si="3"/>
        <v>290000</v>
      </c>
      <c r="K261" s="8" t="s">
        <v>12</v>
      </c>
    </row>
    <row r="262" spans="1:11" x14ac:dyDescent="0.25">
      <c r="A262" s="4" t="s">
        <v>125</v>
      </c>
      <c r="B262" s="5" t="s">
        <v>85</v>
      </c>
      <c r="C262" s="4" t="s">
        <v>86</v>
      </c>
      <c r="D262" s="5" t="s">
        <v>179</v>
      </c>
      <c r="E262" s="4" t="s">
        <v>38</v>
      </c>
      <c r="F262" s="4" t="s">
        <v>39</v>
      </c>
      <c r="G262" s="4" t="s">
        <v>13</v>
      </c>
      <c r="H262" s="6">
        <v>4</v>
      </c>
      <c r="I262" s="7">
        <v>47000</v>
      </c>
      <c r="J262" s="7">
        <f t="shared" si="3"/>
        <v>188000</v>
      </c>
      <c r="K262" s="8" t="s">
        <v>12</v>
      </c>
    </row>
    <row r="263" spans="1:11" ht="28.5" x14ac:dyDescent="0.25">
      <c r="A263" s="4" t="s">
        <v>125</v>
      </c>
      <c r="B263" s="5" t="s">
        <v>85</v>
      </c>
      <c r="C263" s="4" t="s">
        <v>86</v>
      </c>
      <c r="D263" s="5" t="s">
        <v>179</v>
      </c>
      <c r="E263" s="4" t="s">
        <v>44</v>
      </c>
      <c r="F263" s="4" t="s">
        <v>45</v>
      </c>
      <c r="G263" s="4" t="s">
        <v>13</v>
      </c>
      <c r="H263" s="6">
        <v>4</v>
      </c>
      <c r="I263" s="7">
        <v>95000</v>
      </c>
      <c r="J263" s="7">
        <f t="shared" si="3"/>
        <v>380000</v>
      </c>
      <c r="K263" s="8" t="s">
        <v>12</v>
      </c>
    </row>
    <row r="264" spans="1:11" x14ac:dyDescent="0.25">
      <c r="A264" s="4" t="s">
        <v>125</v>
      </c>
      <c r="B264" s="5" t="s">
        <v>85</v>
      </c>
      <c r="C264" s="4" t="s">
        <v>86</v>
      </c>
      <c r="D264" s="5" t="s">
        <v>179</v>
      </c>
      <c r="E264" s="4" t="s">
        <v>29</v>
      </c>
      <c r="F264" s="4" t="s">
        <v>30</v>
      </c>
      <c r="G264" s="4" t="s">
        <v>13</v>
      </c>
      <c r="H264" s="6">
        <v>0.5</v>
      </c>
      <c r="I264" s="7">
        <v>145000</v>
      </c>
      <c r="J264" s="7">
        <f t="shared" si="3"/>
        <v>72500</v>
      </c>
      <c r="K264" s="8" t="s">
        <v>12</v>
      </c>
    </row>
    <row r="265" spans="1:11" x14ac:dyDescent="0.25">
      <c r="A265" s="4" t="s">
        <v>125</v>
      </c>
      <c r="B265" s="5" t="s">
        <v>85</v>
      </c>
      <c r="C265" s="4" t="s">
        <v>86</v>
      </c>
      <c r="D265" s="5" t="s">
        <v>179</v>
      </c>
      <c r="E265" s="4" t="s">
        <v>27</v>
      </c>
      <c r="F265" s="4" t="s">
        <v>28</v>
      </c>
      <c r="G265" s="4" t="s">
        <v>13</v>
      </c>
      <c r="H265" s="6">
        <v>5</v>
      </c>
      <c r="I265" s="7">
        <v>21000</v>
      </c>
      <c r="J265" s="7">
        <f t="shared" si="3"/>
        <v>105000</v>
      </c>
      <c r="K265" s="8" t="s">
        <v>12</v>
      </c>
    </row>
    <row r="266" spans="1:11" x14ac:dyDescent="0.25">
      <c r="A266" s="4" t="s">
        <v>125</v>
      </c>
      <c r="B266" s="5" t="s">
        <v>85</v>
      </c>
      <c r="C266" s="4" t="s">
        <v>86</v>
      </c>
      <c r="D266" s="5" t="s">
        <v>179</v>
      </c>
      <c r="E266" s="4" t="s">
        <v>76</v>
      </c>
      <c r="F266" s="4" t="s">
        <v>77</v>
      </c>
      <c r="G266" s="4" t="s">
        <v>13</v>
      </c>
      <c r="H266" s="6">
        <v>2</v>
      </c>
      <c r="I266" s="7">
        <v>38000</v>
      </c>
      <c r="J266" s="7">
        <f t="shared" si="3"/>
        <v>76000</v>
      </c>
      <c r="K266" s="8" t="s">
        <v>12</v>
      </c>
    </row>
    <row r="267" spans="1:11" x14ac:dyDescent="0.25">
      <c r="A267" s="4" t="s">
        <v>125</v>
      </c>
      <c r="B267" s="5" t="s">
        <v>85</v>
      </c>
      <c r="C267" s="4" t="s">
        <v>86</v>
      </c>
      <c r="D267" s="5" t="s">
        <v>179</v>
      </c>
      <c r="E267" s="4" t="s">
        <v>14</v>
      </c>
      <c r="F267" s="4" t="s">
        <v>15</v>
      </c>
      <c r="G267" s="4" t="s">
        <v>13</v>
      </c>
      <c r="H267" s="6">
        <v>1</v>
      </c>
      <c r="I267" s="7">
        <v>50000</v>
      </c>
      <c r="J267" s="7">
        <f t="shared" si="3"/>
        <v>50000</v>
      </c>
      <c r="K267" s="8" t="s">
        <v>12</v>
      </c>
    </row>
    <row r="268" spans="1:11" x14ac:dyDescent="0.25">
      <c r="A268" s="4" t="s">
        <v>125</v>
      </c>
      <c r="B268" s="5" t="s">
        <v>85</v>
      </c>
      <c r="C268" s="4" t="s">
        <v>86</v>
      </c>
      <c r="D268" s="5" t="s">
        <v>179</v>
      </c>
      <c r="E268" s="4" t="s">
        <v>48</v>
      </c>
      <c r="F268" s="4" t="s">
        <v>49</v>
      </c>
      <c r="G268" s="4" t="s">
        <v>13</v>
      </c>
      <c r="H268" s="6">
        <v>5</v>
      </c>
      <c r="I268" s="7">
        <v>62000</v>
      </c>
      <c r="J268" s="7">
        <f t="shared" si="3"/>
        <v>310000</v>
      </c>
      <c r="K268" s="8" t="s">
        <v>12</v>
      </c>
    </row>
    <row r="269" spans="1:11" x14ac:dyDescent="0.25">
      <c r="A269" s="4" t="s">
        <v>128</v>
      </c>
      <c r="B269" s="5" t="s">
        <v>85</v>
      </c>
      <c r="C269" s="4" t="s">
        <v>86</v>
      </c>
      <c r="D269" s="5" t="s">
        <v>180</v>
      </c>
      <c r="E269" s="4" t="s">
        <v>31</v>
      </c>
      <c r="F269" s="4" t="s">
        <v>32</v>
      </c>
      <c r="G269" s="4" t="s">
        <v>33</v>
      </c>
      <c r="H269" s="6">
        <v>5</v>
      </c>
      <c r="I269" s="7">
        <v>8500</v>
      </c>
      <c r="J269" s="7">
        <f t="shared" si="3"/>
        <v>42500</v>
      </c>
      <c r="K269" s="8" t="s">
        <v>12</v>
      </c>
    </row>
    <row r="270" spans="1:11" x14ac:dyDescent="0.25">
      <c r="A270" s="4" t="s">
        <v>128</v>
      </c>
      <c r="B270" s="5" t="s">
        <v>85</v>
      </c>
      <c r="C270" s="4" t="s">
        <v>86</v>
      </c>
      <c r="D270" s="5" t="s">
        <v>180</v>
      </c>
      <c r="E270" s="4" t="s">
        <v>62</v>
      </c>
      <c r="F270" s="4" t="s">
        <v>63</v>
      </c>
      <c r="G270" s="4" t="s">
        <v>13</v>
      </c>
      <c r="H270" s="6">
        <v>0.6</v>
      </c>
      <c r="I270" s="7">
        <v>45000</v>
      </c>
      <c r="J270" s="7">
        <f t="shared" si="3"/>
        <v>27000</v>
      </c>
      <c r="K270" s="8" t="s">
        <v>12</v>
      </c>
    </row>
    <row r="271" spans="1:11" x14ac:dyDescent="0.25">
      <c r="A271" s="4" t="s">
        <v>128</v>
      </c>
      <c r="B271" s="5" t="s">
        <v>85</v>
      </c>
      <c r="C271" s="4" t="s">
        <v>86</v>
      </c>
      <c r="D271" s="5" t="s">
        <v>180</v>
      </c>
      <c r="E271" s="4" t="s">
        <v>64</v>
      </c>
      <c r="F271" s="4" t="s">
        <v>65</v>
      </c>
      <c r="G271" s="4" t="s">
        <v>13</v>
      </c>
      <c r="H271" s="6">
        <v>1</v>
      </c>
      <c r="I271" s="7">
        <v>50000</v>
      </c>
      <c r="J271" s="7">
        <f t="shared" si="3"/>
        <v>50000</v>
      </c>
      <c r="K271" s="8" t="s">
        <v>12</v>
      </c>
    </row>
    <row r="272" spans="1:11" x14ac:dyDescent="0.25">
      <c r="A272" s="4" t="s">
        <v>128</v>
      </c>
      <c r="B272" s="5" t="s">
        <v>85</v>
      </c>
      <c r="C272" s="4" t="s">
        <v>86</v>
      </c>
      <c r="D272" s="5" t="s">
        <v>180</v>
      </c>
      <c r="E272" s="4" t="s">
        <v>66</v>
      </c>
      <c r="F272" s="4" t="s">
        <v>67</v>
      </c>
      <c r="G272" s="4" t="s">
        <v>13</v>
      </c>
      <c r="H272" s="6">
        <v>8.1</v>
      </c>
      <c r="I272" s="7">
        <v>18000</v>
      </c>
      <c r="J272" s="7">
        <f t="shared" ref="J272:J307" si="4">H272*I272</f>
        <v>145800</v>
      </c>
      <c r="K272" s="8" t="s">
        <v>12</v>
      </c>
    </row>
    <row r="273" spans="1:11" x14ac:dyDescent="0.25">
      <c r="A273" s="4" t="s">
        <v>128</v>
      </c>
      <c r="B273" s="5" t="s">
        <v>85</v>
      </c>
      <c r="C273" s="4" t="s">
        <v>86</v>
      </c>
      <c r="D273" s="5" t="s">
        <v>180</v>
      </c>
      <c r="E273" s="4" t="s">
        <v>54</v>
      </c>
      <c r="F273" s="4" t="s">
        <v>55</v>
      </c>
      <c r="G273" s="4" t="s">
        <v>13</v>
      </c>
      <c r="H273" s="6">
        <v>0.3</v>
      </c>
      <c r="I273" s="7">
        <v>75000</v>
      </c>
      <c r="J273" s="7">
        <f t="shared" si="4"/>
        <v>22500</v>
      </c>
      <c r="K273" s="8" t="s">
        <v>12</v>
      </c>
    </row>
    <row r="274" spans="1:11" x14ac:dyDescent="0.25">
      <c r="A274" s="4" t="s">
        <v>128</v>
      </c>
      <c r="B274" s="5" t="s">
        <v>85</v>
      </c>
      <c r="C274" s="4" t="s">
        <v>86</v>
      </c>
      <c r="D274" s="5" t="s">
        <v>180</v>
      </c>
      <c r="E274" s="4" t="s">
        <v>16</v>
      </c>
      <c r="F274" s="4" t="s">
        <v>17</v>
      </c>
      <c r="G274" s="4" t="s">
        <v>13</v>
      </c>
      <c r="H274" s="6">
        <v>0.9</v>
      </c>
      <c r="I274" s="7">
        <v>47000</v>
      </c>
      <c r="J274" s="7">
        <f t="shared" si="4"/>
        <v>42300</v>
      </c>
      <c r="K274" s="8" t="s">
        <v>12</v>
      </c>
    </row>
    <row r="275" spans="1:11" x14ac:dyDescent="0.25">
      <c r="A275" s="4" t="s">
        <v>128</v>
      </c>
      <c r="B275" s="5" t="s">
        <v>85</v>
      </c>
      <c r="C275" s="4" t="s">
        <v>86</v>
      </c>
      <c r="D275" s="5" t="s">
        <v>180</v>
      </c>
      <c r="E275" s="4" t="s">
        <v>50</v>
      </c>
      <c r="F275" s="4" t="s">
        <v>51</v>
      </c>
      <c r="G275" s="4" t="s">
        <v>13</v>
      </c>
      <c r="H275" s="6">
        <v>16.5</v>
      </c>
      <c r="I275" s="7">
        <v>18000</v>
      </c>
      <c r="J275" s="7">
        <f t="shared" si="4"/>
        <v>297000</v>
      </c>
      <c r="K275" s="8" t="s">
        <v>12</v>
      </c>
    </row>
    <row r="276" spans="1:11" x14ac:dyDescent="0.25">
      <c r="A276" s="4" t="s">
        <v>128</v>
      </c>
      <c r="B276" s="5" t="s">
        <v>85</v>
      </c>
      <c r="C276" s="4" t="s">
        <v>86</v>
      </c>
      <c r="D276" s="5" t="s">
        <v>180</v>
      </c>
      <c r="E276" s="4" t="s">
        <v>18</v>
      </c>
      <c r="F276" s="4" t="s">
        <v>19</v>
      </c>
      <c r="G276" s="4" t="s">
        <v>13</v>
      </c>
      <c r="H276" s="6">
        <v>1.1000000000000001</v>
      </c>
      <c r="I276" s="7">
        <v>55000</v>
      </c>
      <c r="J276" s="7">
        <f t="shared" si="4"/>
        <v>60500.000000000007</v>
      </c>
      <c r="K276" s="8" t="s">
        <v>12</v>
      </c>
    </row>
    <row r="277" spans="1:11" x14ac:dyDescent="0.25">
      <c r="A277" s="4" t="s">
        <v>128</v>
      </c>
      <c r="B277" s="5" t="s">
        <v>85</v>
      </c>
      <c r="C277" s="4" t="s">
        <v>86</v>
      </c>
      <c r="D277" s="5" t="s">
        <v>180</v>
      </c>
      <c r="E277" s="4" t="s">
        <v>80</v>
      </c>
      <c r="F277" s="4" t="s">
        <v>81</v>
      </c>
      <c r="G277" s="4" t="s">
        <v>82</v>
      </c>
      <c r="H277" s="6">
        <v>1</v>
      </c>
      <c r="I277" s="7">
        <v>80000</v>
      </c>
      <c r="J277" s="7">
        <f t="shared" si="4"/>
        <v>80000</v>
      </c>
      <c r="K277" s="8" t="s">
        <v>12</v>
      </c>
    </row>
    <row r="278" spans="1:11" x14ac:dyDescent="0.25">
      <c r="A278" s="4" t="s">
        <v>128</v>
      </c>
      <c r="B278" s="5" t="s">
        <v>85</v>
      </c>
      <c r="C278" s="4" t="s">
        <v>86</v>
      </c>
      <c r="D278" s="5" t="s">
        <v>180</v>
      </c>
      <c r="E278" s="4" t="s">
        <v>74</v>
      </c>
      <c r="F278" s="4" t="s">
        <v>75</v>
      </c>
      <c r="G278" s="4" t="s">
        <v>13</v>
      </c>
      <c r="H278" s="6">
        <v>2</v>
      </c>
      <c r="I278" s="7">
        <v>22000</v>
      </c>
      <c r="J278" s="7">
        <f t="shared" si="4"/>
        <v>44000</v>
      </c>
      <c r="K278" s="8" t="s">
        <v>12</v>
      </c>
    </row>
    <row r="279" spans="1:11" x14ac:dyDescent="0.25">
      <c r="A279" s="4" t="s">
        <v>128</v>
      </c>
      <c r="B279" s="5" t="s">
        <v>85</v>
      </c>
      <c r="C279" s="4" t="s">
        <v>86</v>
      </c>
      <c r="D279" s="5" t="s">
        <v>180</v>
      </c>
      <c r="E279" s="4" t="s">
        <v>36</v>
      </c>
      <c r="F279" s="4" t="s">
        <v>37</v>
      </c>
      <c r="G279" s="4" t="s">
        <v>13</v>
      </c>
      <c r="H279" s="6">
        <v>3</v>
      </c>
      <c r="I279" s="7">
        <v>145000</v>
      </c>
      <c r="J279" s="7">
        <f t="shared" si="4"/>
        <v>435000</v>
      </c>
      <c r="K279" s="8" t="s">
        <v>12</v>
      </c>
    </row>
    <row r="280" spans="1:11" x14ac:dyDescent="0.25">
      <c r="A280" s="4" t="s">
        <v>128</v>
      </c>
      <c r="B280" s="5" t="s">
        <v>85</v>
      </c>
      <c r="C280" s="4" t="s">
        <v>86</v>
      </c>
      <c r="D280" s="5" t="s">
        <v>180</v>
      </c>
      <c r="E280" s="4" t="s">
        <v>38</v>
      </c>
      <c r="F280" s="4" t="s">
        <v>39</v>
      </c>
      <c r="G280" s="4" t="s">
        <v>13</v>
      </c>
      <c r="H280" s="6">
        <v>4</v>
      </c>
      <c r="I280" s="7">
        <v>47000</v>
      </c>
      <c r="J280" s="7">
        <f t="shared" si="4"/>
        <v>188000</v>
      </c>
      <c r="K280" s="8" t="s">
        <v>12</v>
      </c>
    </row>
    <row r="281" spans="1:11" ht="28.5" x14ac:dyDescent="0.25">
      <c r="A281" s="4" t="s">
        <v>128</v>
      </c>
      <c r="B281" s="5" t="s">
        <v>85</v>
      </c>
      <c r="C281" s="4" t="s">
        <v>86</v>
      </c>
      <c r="D281" s="5" t="s">
        <v>180</v>
      </c>
      <c r="E281" s="4" t="s">
        <v>44</v>
      </c>
      <c r="F281" s="4" t="s">
        <v>45</v>
      </c>
      <c r="G281" s="4" t="s">
        <v>13</v>
      </c>
      <c r="H281" s="6">
        <v>3.9</v>
      </c>
      <c r="I281" s="7">
        <v>95000</v>
      </c>
      <c r="J281" s="7">
        <f t="shared" si="4"/>
        <v>370500</v>
      </c>
      <c r="K281" s="8" t="s">
        <v>12</v>
      </c>
    </row>
    <row r="282" spans="1:11" x14ac:dyDescent="0.25">
      <c r="A282" s="4" t="s">
        <v>128</v>
      </c>
      <c r="B282" s="5" t="s">
        <v>85</v>
      </c>
      <c r="C282" s="4" t="s">
        <v>86</v>
      </c>
      <c r="D282" s="5" t="s">
        <v>180</v>
      </c>
      <c r="E282" s="4" t="s">
        <v>20</v>
      </c>
      <c r="F282" s="4" t="s">
        <v>21</v>
      </c>
      <c r="G282" s="4" t="s">
        <v>13</v>
      </c>
      <c r="H282" s="6">
        <v>1</v>
      </c>
      <c r="I282" s="7">
        <v>45000</v>
      </c>
      <c r="J282" s="7">
        <f t="shared" si="4"/>
        <v>45000</v>
      </c>
      <c r="K282" s="8" t="s">
        <v>12</v>
      </c>
    </row>
    <row r="283" spans="1:11" x14ac:dyDescent="0.25">
      <c r="A283" s="4" t="s">
        <v>128</v>
      </c>
      <c r="B283" s="5" t="s">
        <v>85</v>
      </c>
      <c r="C283" s="4" t="s">
        <v>86</v>
      </c>
      <c r="D283" s="5" t="s">
        <v>180</v>
      </c>
      <c r="E283" s="4" t="s">
        <v>29</v>
      </c>
      <c r="F283" s="4" t="s">
        <v>30</v>
      </c>
      <c r="G283" s="4" t="s">
        <v>13</v>
      </c>
      <c r="H283" s="6">
        <v>1</v>
      </c>
      <c r="I283" s="7">
        <v>145000</v>
      </c>
      <c r="J283" s="7">
        <f t="shared" si="4"/>
        <v>145000</v>
      </c>
      <c r="K283" s="8" t="s">
        <v>12</v>
      </c>
    </row>
    <row r="284" spans="1:11" x14ac:dyDescent="0.25">
      <c r="A284" s="4" t="s">
        <v>128</v>
      </c>
      <c r="B284" s="5" t="s">
        <v>85</v>
      </c>
      <c r="C284" s="4" t="s">
        <v>86</v>
      </c>
      <c r="D284" s="5" t="s">
        <v>180</v>
      </c>
      <c r="E284" s="4" t="s">
        <v>27</v>
      </c>
      <c r="F284" s="4" t="s">
        <v>28</v>
      </c>
      <c r="G284" s="4" t="s">
        <v>13</v>
      </c>
      <c r="H284" s="6">
        <v>5</v>
      </c>
      <c r="I284" s="7">
        <v>21000</v>
      </c>
      <c r="J284" s="7">
        <f t="shared" si="4"/>
        <v>105000</v>
      </c>
      <c r="K284" s="8" t="s">
        <v>12</v>
      </c>
    </row>
    <row r="285" spans="1:11" x14ac:dyDescent="0.25">
      <c r="A285" s="4" t="s">
        <v>128</v>
      </c>
      <c r="B285" s="5" t="s">
        <v>85</v>
      </c>
      <c r="C285" s="4" t="s">
        <v>86</v>
      </c>
      <c r="D285" s="5" t="s">
        <v>180</v>
      </c>
      <c r="E285" s="4" t="s">
        <v>76</v>
      </c>
      <c r="F285" s="4" t="s">
        <v>77</v>
      </c>
      <c r="G285" s="4" t="s">
        <v>13</v>
      </c>
      <c r="H285" s="6">
        <v>1.7</v>
      </c>
      <c r="I285" s="7">
        <v>38000</v>
      </c>
      <c r="J285" s="7">
        <f t="shared" si="4"/>
        <v>64600</v>
      </c>
      <c r="K285" s="8" t="s">
        <v>12</v>
      </c>
    </row>
    <row r="286" spans="1:11" x14ac:dyDescent="0.25">
      <c r="A286" s="4" t="s">
        <v>128</v>
      </c>
      <c r="B286" s="5" t="s">
        <v>85</v>
      </c>
      <c r="C286" s="4" t="s">
        <v>86</v>
      </c>
      <c r="D286" s="5" t="s">
        <v>180</v>
      </c>
      <c r="E286" s="4" t="s">
        <v>14</v>
      </c>
      <c r="F286" s="4" t="s">
        <v>15</v>
      </c>
      <c r="G286" s="4" t="s">
        <v>13</v>
      </c>
      <c r="H286" s="6">
        <v>1.2</v>
      </c>
      <c r="I286" s="7">
        <v>50000</v>
      </c>
      <c r="J286" s="7">
        <f t="shared" si="4"/>
        <v>60000</v>
      </c>
      <c r="K286" s="8" t="s">
        <v>12</v>
      </c>
    </row>
    <row r="287" spans="1:11" x14ac:dyDescent="0.25">
      <c r="A287" s="4" t="s">
        <v>128</v>
      </c>
      <c r="B287" s="5" t="s">
        <v>85</v>
      </c>
      <c r="C287" s="4" t="s">
        <v>86</v>
      </c>
      <c r="D287" s="5" t="s">
        <v>180</v>
      </c>
      <c r="E287" s="4" t="s">
        <v>48</v>
      </c>
      <c r="F287" s="4" t="s">
        <v>49</v>
      </c>
      <c r="G287" s="4" t="s">
        <v>13</v>
      </c>
      <c r="H287" s="6">
        <v>5.3</v>
      </c>
      <c r="I287" s="7">
        <v>62000</v>
      </c>
      <c r="J287" s="7">
        <f t="shared" si="4"/>
        <v>328600</v>
      </c>
      <c r="K287" s="8" t="s">
        <v>12</v>
      </c>
    </row>
    <row r="288" spans="1:11" x14ac:dyDescent="0.25">
      <c r="A288" s="4" t="s">
        <v>130</v>
      </c>
      <c r="B288" s="5" t="s">
        <v>85</v>
      </c>
      <c r="C288" s="4" t="s">
        <v>86</v>
      </c>
      <c r="D288" s="5" t="s">
        <v>181</v>
      </c>
      <c r="E288" s="4" t="s">
        <v>31</v>
      </c>
      <c r="F288" s="4" t="s">
        <v>32</v>
      </c>
      <c r="G288" s="4" t="s">
        <v>33</v>
      </c>
      <c r="H288" s="6">
        <v>5</v>
      </c>
      <c r="I288" s="7">
        <v>8500</v>
      </c>
      <c r="J288" s="7">
        <f t="shared" si="4"/>
        <v>42500</v>
      </c>
      <c r="K288" s="8" t="s">
        <v>12</v>
      </c>
    </row>
    <row r="289" spans="1:11" x14ac:dyDescent="0.25">
      <c r="A289" s="4" t="s">
        <v>130</v>
      </c>
      <c r="B289" s="5" t="s">
        <v>85</v>
      </c>
      <c r="C289" s="4" t="s">
        <v>86</v>
      </c>
      <c r="D289" s="5" t="s">
        <v>181</v>
      </c>
      <c r="E289" s="4" t="s">
        <v>62</v>
      </c>
      <c r="F289" s="4" t="s">
        <v>63</v>
      </c>
      <c r="G289" s="4" t="s">
        <v>13</v>
      </c>
      <c r="H289" s="6">
        <v>0.7</v>
      </c>
      <c r="I289" s="7">
        <v>45000</v>
      </c>
      <c r="J289" s="7">
        <f t="shared" si="4"/>
        <v>31499.999999999996</v>
      </c>
      <c r="K289" s="8" t="s">
        <v>12</v>
      </c>
    </row>
    <row r="290" spans="1:11" x14ac:dyDescent="0.25">
      <c r="A290" s="4" t="s">
        <v>130</v>
      </c>
      <c r="B290" s="5" t="s">
        <v>85</v>
      </c>
      <c r="C290" s="4" t="s">
        <v>86</v>
      </c>
      <c r="D290" s="5" t="s">
        <v>181</v>
      </c>
      <c r="E290" s="4" t="s">
        <v>66</v>
      </c>
      <c r="F290" s="4" t="s">
        <v>67</v>
      </c>
      <c r="G290" s="4" t="s">
        <v>13</v>
      </c>
      <c r="H290" s="6">
        <v>8.1999999999999993</v>
      </c>
      <c r="I290" s="7">
        <v>18000</v>
      </c>
      <c r="J290" s="7">
        <f t="shared" si="4"/>
        <v>147600</v>
      </c>
      <c r="K290" s="8" t="s">
        <v>12</v>
      </c>
    </row>
    <row r="291" spans="1:11" x14ac:dyDescent="0.25">
      <c r="A291" s="4" t="s">
        <v>130</v>
      </c>
      <c r="B291" s="5" t="s">
        <v>85</v>
      </c>
      <c r="C291" s="4" t="s">
        <v>86</v>
      </c>
      <c r="D291" s="5" t="s">
        <v>181</v>
      </c>
      <c r="E291" s="4" t="s">
        <v>54</v>
      </c>
      <c r="F291" s="4" t="s">
        <v>55</v>
      </c>
      <c r="G291" s="4" t="s">
        <v>13</v>
      </c>
      <c r="H291" s="6">
        <v>0.3</v>
      </c>
      <c r="I291" s="7">
        <v>75000</v>
      </c>
      <c r="J291" s="7">
        <f t="shared" si="4"/>
        <v>22500</v>
      </c>
      <c r="K291" s="8" t="s">
        <v>12</v>
      </c>
    </row>
    <row r="292" spans="1:11" x14ac:dyDescent="0.25">
      <c r="A292" s="4" t="s">
        <v>130</v>
      </c>
      <c r="B292" s="5" t="s">
        <v>85</v>
      </c>
      <c r="C292" s="4" t="s">
        <v>86</v>
      </c>
      <c r="D292" s="5" t="s">
        <v>181</v>
      </c>
      <c r="E292" s="4" t="s">
        <v>56</v>
      </c>
      <c r="F292" s="4" t="s">
        <v>57</v>
      </c>
      <c r="G292" s="4" t="s">
        <v>13</v>
      </c>
      <c r="H292" s="6">
        <v>0.5</v>
      </c>
      <c r="I292" s="7">
        <v>34000</v>
      </c>
      <c r="J292" s="7">
        <f t="shared" si="4"/>
        <v>17000</v>
      </c>
      <c r="K292" s="8" t="s">
        <v>12</v>
      </c>
    </row>
    <row r="293" spans="1:11" x14ac:dyDescent="0.25">
      <c r="A293" s="4" t="s">
        <v>130</v>
      </c>
      <c r="B293" s="5" t="s">
        <v>85</v>
      </c>
      <c r="C293" s="4" t="s">
        <v>86</v>
      </c>
      <c r="D293" s="5" t="s">
        <v>181</v>
      </c>
      <c r="E293" s="4" t="s">
        <v>50</v>
      </c>
      <c r="F293" s="4" t="s">
        <v>51</v>
      </c>
      <c r="G293" s="4" t="s">
        <v>13</v>
      </c>
      <c r="H293" s="6">
        <v>10</v>
      </c>
      <c r="I293" s="7">
        <v>18000</v>
      </c>
      <c r="J293" s="7">
        <f t="shared" si="4"/>
        <v>180000</v>
      </c>
      <c r="K293" s="8" t="s">
        <v>12</v>
      </c>
    </row>
    <row r="294" spans="1:11" x14ac:dyDescent="0.25">
      <c r="A294" s="4" t="s">
        <v>130</v>
      </c>
      <c r="B294" s="5" t="s">
        <v>85</v>
      </c>
      <c r="C294" s="4" t="s">
        <v>86</v>
      </c>
      <c r="D294" s="5" t="s">
        <v>181</v>
      </c>
      <c r="E294" s="4" t="s">
        <v>18</v>
      </c>
      <c r="F294" s="4" t="s">
        <v>19</v>
      </c>
      <c r="G294" s="4" t="s">
        <v>13</v>
      </c>
      <c r="H294" s="6">
        <v>1</v>
      </c>
      <c r="I294" s="7">
        <v>55000</v>
      </c>
      <c r="J294" s="7">
        <f t="shared" si="4"/>
        <v>55000</v>
      </c>
      <c r="K294" s="8" t="s">
        <v>12</v>
      </c>
    </row>
    <row r="295" spans="1:11" x14ac:dyDescent="0.25">
      <c r="A295" s="4" t="s">
        <v>130</v>
      </c>
      <c r="B295" s="5" t="s">
        <v>85</v>
      </c>
      <c r="C295" s="4" t="s">
        <v>86</v>
      </c>
      <c r="D295" s="5" t="s">
        <v>181</v>
      </c>
      <c r="E295" s="4" t="s">
        <v>80</v>
      </c>
      <c r="F295" s="4" t="s">
        <v>81</v>
      </c>
      <c r="G295" s="4" t="s">
        <v>82</v>
      </c>
      <c r="H295" s="6">
        <v>1</v>
      </c>
      <c r="I295" s="7">
        <v>80000</v>
      </c>
      <c r="J295" s="7">
        <f t="shared" si="4"/>
        <v>80000</v>
      </c>
      <c r="K295" s="8" t="s">
        <v>12</v>
      </c>
    </row>
    <row r="296" spans="1:11" x14ac:dyDescent="0.25">
      <c r="A296" s="4" t="s">
        <v>130</v>
      </c>
      <c r="B296" s="5" t="s">
        <v>85</v>
      </c>
      <c r="C296" s="4" t="s">
        <v>86</v>
      </c>
      <c r="D296" s="5" t="s">
        <v>181</v>
      </c>
      <c r="E296" s="4" t="s">
        <v>52</v>
      </c>
      <c r="F296" s="4" t="s">
        <v>53</v>
      </c>
      <c r="G296" s="4" t="s">
        <v>13</v>
      </c>
      <c r="H296" s="6">
        <v>0.2</v>
      </c>
      <c r="I296" s="7">
        <v>65000</v>
      </c>
      <c r="J296" s="7">
        <f t="shared" si="4"/>
        <v>13000</v>
      </c>
      <c r="K296" s="8" t="s">
        <v>12</v>
      </c>
    </row>
    <row r="297" spans="1:11" x14ac:dyDescent="0.25">
      <c r="A297" s="4" t="s">
        <v>130</v>
      </c>
      <c r="B297" s="5" t="s">
        <v>85</v>
      </c>
      <c r="C297" s="4" t="s">
        <v>86</v>
      </c>
      <c r="D297" s="5" t="s">
        <v>181</v>
      </c>
      <c r="E297" s="4" t="s">
        <v>74</v>
      </c>
      <c r="F297" s="4" t="s">
        <v>75</v>
      </c>
      <c r="G297" s="4" t="s">
        <v>13</v>
      </c>
      <c r="H297" s="6">
        <v>2</v>
      </c>
      <c r="I297" s="7">
        <v>22000</v>
      </c>
      <c r="J297" s="7">
        <f t="shared" si="4"/>
        <v>44000</v>
      </c>
      <c r="K297" s="8" t="s">
        <v>12</v>
      </c>
    </row>
    <row r="298" spans="1:11" x14ac:dyDescent="0.25">
      <c r="A298" s="4" t="s">
        <v>130</v>
      </c>
      <c r="B298" s="5" t="s">
        <v>85</v>
      </c>
      <c r="C298" s="4" t="s">
        <v>86</v>
      </c>
      <c r="D298" s="5" t="s">
        <v>181</v>
      </c>
      <c r="E298" s="4" t="s">
        <v>36</v>
      </c>
      <c r="F298" s="4" t="s">
        <v>37</v>
      </c>
      <c r="G298" s="4" t="s">
        <v>13</v>
      </c>
      <c r="H298" s="6">
        <v>3</v>
      </c>
      <c r="I298" s="7">
        <v>145000</v>
      </c>
      <c r="J298" s="7">
        <f t="shared" si="4"/>
        <v>435000</v>
      </c>
      <c r="K298" s="8"/>
    </row>
    <row r="299" spans="1:11" x14ac:dyDescent="0.25">
      <c r="A299" s="4" t="s">
        <v>130</v>
      </c>
      <c r="B299" s="5" t="s">
        <v>85</v>
      </c>
      <c r="C299" s="4" t="s">
        <v>86</v>
      </c>
      <c r="D299" s="5" t="s">
        <v>181</v>
      </c>
      <c r="E299" s="4" t="s">
        <v>38</v>
      </c>
      <c r="F299" s="4" t="s">
        <v>39</v>
      </c>
      <c r="G299" s="4" t="s">
        <v>13</v>
      </c>
      <c r="H299" s="6">
        <v>4</v>
      </c>
      <c r="I299" s="7">
        <v>47000</v>
      </c>
      <c r="J299" s="7">
        <f t="shared" si="4"/>
        <v>188000</v>
      </c>
      <c r="K299" s="8"/>
    </row>
    <row r="300" spans="1:11" x14ac:dyDescent="0.25">
      <c r="A300" s="4" t="s">
        <v>130</v>
      </c>
      <c r="B300" s="5" t="s">
        <v>85</v>
      </c>
      <c r="C300" s="4" t="s">
        <v>86</v>
      </c>
      <c r="D300" s="5" t="s">
        <v>181</v>
      </c>
      <c r="E300" s="4" t="s">
        <v>42</v>
      </c>
      <c r="F300" s="4" t="s">
        <v>43</v>
      </c>
      <c r="G300" s="4" t="s">
        <v>13</v>
      </c>
      <c r="H300" s="6">
        <v>3</v>
      </c>
      <c r="I300" s="7">
        <v>45000</v>
      </c>
      <c r="J300" s="7">
        <f t="shared" si="4"/>
        <v>135000</v>
      </c>
      <c r="K300" s="8"/>
    </row>
    <row r="301" spans="1:11" ht="28.5" x14ac:dyDescent="0.25">
      <c r="A301" s="4" t="s">
        <v>130</v>
      </c>
      <c r="B301" s="5" t="s">
        <v>85</v>
      </c>
      <c r="C301" s="4" t="s">
        <v>86</v>
      </c>
      <c r="D301" s="5" t="s">
        <v>181</v>
      </c>
      <c r="E301" s="4" t="s">
        <v>44</v>
      </c>
      <c r="F301" s="4" t="s">
        <v>45</v>
      </c>
      <c r="G301" s="4" t="s">
        <v>13</v>
      </c>
      <c r="H301" s="6">
        <v>4</v>
      </c>
      <c r="I301" s="7">
        <v>95000</v>
      </c>
      <c r="J301" s="7">
        <f t="shared" si="4"/>
        <v>380000</v>
      </c>
      <c r="K301" s="8"/>
    </row>
    <row r="302" spans="1:11" x14ac:dyDescent="0.25">
      <c r="A302" s="4" t="s">
        <v>130</v>
      </c>
      <c r="B302" s="5" t="s">
        <v>85</v>
      </c>
      <c r="C302" s="4" t="s">
        <v>86</v>
      </c>
      <c r="D302" s="5" t="s">
        <v>181</v>
      </c>
      <c r="E302" s="4" t="s">
        <v>20</v>
      </c>
      <c r="F302" s="4" t="s">
        <v>21</v>
      </c>
      <c r="G302" s="4" t="s">
        <v>13</v>
      </c>
      <c r="H302" s="6">
        <v>1</v>
      </c>
      <c r="I302" s="7">
        <v>45000</v>
      </c>
      <c r="J302" s="7">
        <f t="shared" si="4"/>
        <v>45000</v>
      </c>
      <c r="K302" s="8"/>
    </row>
    <row r="303" spans="1:11" x14ac:dyDescent="0.25">
      <c r="A303" s="4" t="s">
        <v>130</v>
      </c>
      <c r="B303" s="5" t="s">
        <v>85</v>
      </c>
      <c r="C303" s="4" t="s">
        <v>86</v>
      </c>
      <c r="D303" s="5" t="s">
        <v>181</v>
      </c>
      <c r="E303" s="4" t="s">
        <v>29</v>
      </c>
      <c r="F303" s="4" t="s">
        <v>30</v>
      </c>
      <c r="G303" s="4" t="s">
        <v>13</v>
      </c>
      <c r="H303" s="6">
        <v>1</v>
      </c>
      <c r="I303" s="7">
        <v>145000</v>
      </c>
      <c r="J303" s="7">
        <f t="shared" si="4"/>
        <v>145000</v>
      </c>
      <c r="K303" s="8"/>
    </row>
    <row r="304" spans="1:11" x14ac:dyDescent="0.25">
      <c r="A304" s="4" t="s">
        <v>130</v>
      </c>
      <c r="B304" s="5" t="s">
        <v>85</v>
      </c>
      <c r="C304" s="4" t="s">
        <v>86</v>
      </c>
      <c r="D304" s="5" t="s">
        <v>181</v>
      </c>
      <c r="E304" s="4" t="s">
        <v>27</v>
      </c>
      <c r="F304" s="4" t="s">
        <v>28</v>
      </c>
      <c r="G304" s="4" t="s">
        <v>13</v>
      </c>
      <c r="H304" s="6">
        <v>4.5</v>
      </c>
      <c r="I304" s="7">
        <v>21000</v>
      </c>
      <c r="J304" s="7">
        <f t="shared" si="4"/>
        <v>94500</v>
      </c>
      <c r="K304" s="8"/>
    </row>
    <row r="305" spans="1:11" x14ac:dyDescent="0.25">
      <c r="A305" s="4" t="s">
        <v>130</v>
      </c>
      <c r="B305" s="5" t="s">
        <v>85</v>
      </c>
      <c r="C305" s="4" t="s">
        <v>86</v>
      </c>
      <c r="D305" s="5" t="s">
        <v>181</v>
      </c>
      <c r="E305" s="4" t="s">
        <v>76</v>
      </c>
      <c r="F305" s="4" t="s">
        <v>77</v>
      </c>
      <c r="G305" s="4" t="s">
        <v>13</v>
      </c>
      <c r="H305" s="6">
        <v>2.2000000000000002</v>
      </c>
      <c r="I305" s="7">
        <v>38000</v>
      </c>
      <c r="J305" s="7">
        <f t="shared" si="4"/>
        <v>83600</v>
      </c>
      <c r="K305" s="8"/>
    </row>
    <row r="306" spans="1:11" x14ac:dyDescent="0.25">
      <c r="A306" s="4" t="s">
        <v>130</v>
      </c>
      <c r="B306" s="5" t="s">
        <v>85</v>
      </c>
      <c r="C306" s="4" t="s">
        <v>86</v>
      </c>
      <c r="D306" s="5" t="s">
        <v>181</v>
      </c>
      <c r="E306" s="4" t="s">
        <v>14</v>
      </c>
      <c r="F306" s="4" t="s">
        <v>15</v>
      </c>
      <c r="G306" s="4" t="s">
        <v>13</v>
      </c>
      <c r="H306" s="6">
        <v>1.3</v>
      </c>
      <c r="I306" s="7">
        <v>50000</v>
      </c>
      <c r="J306" s="7">
        <f t="shared" si="4"/>
        <v>65000</v>
      </c>
      <c r="K306" s="8"/>
    </row>
    <row r="307" spans="1:11" x14ac:dyDescent="0.25">
      <c r="A307" s="4" t="s">
        <v>130</v>
      </c>
      <c r="B307" s="5" t="s">
        <v>85</v>
      </c>
      <c r="C307" s="4" t="s">
        <v>86</v>
      </c>
      <c r="D307" s="5" t="s">
        <v>181</v>
      </c>
      <c r="E307" s="4" t="s">
        <v>48</v>
      </c>
      <c r="F307" s="4" t="s">
        <v>49</v>
      </c>
      <c r="G307" s="4" t="s">
        <v>13</v>
      </c>
      <c r="H307" s="6">
        <v>5.7</v>
      </c>
      <c r="I307" s="7">
        <v>62000</v>
      </c>
      <c r="J307" s="7">
        <f t="shared" si="4"/>
        <v>353400</v>
      </c>
      <c r="K307" s="8"/>
    </row>
  </sheetData>
  <autoFilter ref="A14:K77" xr:uid="{00000000-0001-0000-0000-000000000000}"/>
  <mergeCells count="7">
    <mergeCell ref="A12:K12"/>
    <mergeCell ref="A2:C2"/>
    <mergeCell ref="D2:K2"/>
    <mergeCell ref="A4:K4"/>
    <mergeCell ref="A6:K6"/>
    <mergeCell ref="A8:K8"/>
    <mergeCell ref="A10:K10"/>
  </mergeCells>
  <pageMargins left="1" right="1" top="1" bottom="1.3145799212598399" header="1" footer="1"/>
  <pageSetup orientation="portrait" horizontalDpi="300" verticalDpi="300"/>
  <headerFooter alignWithMargins="0">
    <oddFooter>&amp;L&amp;"Segoe UI"&amp;11&amp;P/&amp;N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TAL 6</vt:lpstr>
      <vt:lpstr>TAL 7</vt:lpstr>
      <vt:lpstr>Sheet2</vt:lpstr>
      <vt:lpstr>MÃ</vt:lpstr>
      <vt:lpstr>TAL 8</vt:lpstr>
      <vt:lpstr>TAL 9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Administrator</cp:lastModifiedBy>
  <dcterms:created xsi:type="dcterms:W3CDTF">2025-08-19T03:18:40Z</dcterms:created>
  <dcterms:modified xsi:type="dcterms:W3CDTF">2026-01-19T07:27:27Z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