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6300\Desktop\Mẫu đơn giá có VAT\"/>
    </mc:Choice>
  </mc:AlternateContent>
  <xr:revisionPtr revIDLastSave="0" documentId="13_ncr:1_{015E4722-17A8-424A-ACBE-7DB8DD41E4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ÁO CÁO CÔNG NỢ THEO NGÀY" sheetId="1" r:id="rId1"/>
  </sheets>
  <calcPr calcId="181029"/>
</workbook>
</file>

<file path=xl/calcChain.xml><?xml version="1.0" encoding="utf-8"?>
<calcChain xmlns="http://schemas.openxmlformats.org/spreadsheetml/2006/main">
  <c r="P45" i="1" l="1"/>
  <c r="Q42" i="1"/>
  <c r="P42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15" i="1"/>
</calcChain>
</file>

<file path=xl/sharedStrings.xml><?xml version="1.0" encoding="utf-8"?>
<sst xmlns="http://schemas.openxmlformats.org/spreadsheetml/2006/main" count="142" uniqueCount="89">
  <si>
    <r>
      <rPr>
        <b/>
        <sz val="14"/>
        <color rgb="FF000000"/>
        <rFont val="Segoe UI Light"/>
      </rPr>
      <t xml:space="preserve">CÔNG TY TNHH NÔNG SẢN THỰC PHẨM TRẦN GIA
</t>
    </r>
    <r>
      <rPr>
        <sz val="11"/>
        <color rgb="FF000000"/>
        <rFont val="Segoe UI Light"/>
      </rPr>
      <t xml:space="preserve">HTX: Ấp Lộc Tiến, Xã Mỹ Lộc, Huyện Cần Giuộc, Tỉnh Long An
</t>
    </r>
    <r>
      <rPr>
        <sz val="11"/>
        <color rgb="FF000000"/>
        <rFont val="Segoe UI Light"/>
      </rPr>
      <t xml:space="preserve">VP: Tòa nhà An Phú Plaza, 117-119 Lý Chính Thắng, P.7. Q.3, TP.HCM
</t>
    </r>
    <r>
      <rPr>
        <sz val="11"/>
        <color rgb="FF000000"/>
        <rFont val="Segoe UI Light"/>
      </rPr>
      <t xml:space="preserve">Kho sơ chế: 30 Kha Vạn Cân, P. Hiệp Bình Chánh, TP.Thủ Đức, TP.HCM
</t>
    </r>
    <r>
      <rPr>
        <sz val="11"/>
        <color rgb="FF000000"/>
        <rFont val="Segoe UI Light"/>
      </rPr>
      <t xml:space="preserve">Kho Đà Lạt: 69 Trần Thủ Độ, TT Liên Nghĩa, Huyện Đức Trọng, Tỉnh Lâm Đồng.
</t>
    </r>
    <r>
      <rPr>
        <sz val="11"/>
        <color rgb="FF000000"/>
        <rFont val="Segoe UI Light"/>
      </rPr>
      <t>Website: rausachtrangia.com - Hotline: 090.245.8081</t>
    </r>
  </si>
  <si>
    <t>BẢNG ĐỐI CHIẾU CÔNG NỢ</t>
  </si>
  <si>
    <t>Từ ngày 2 tháng 7 đến ngày 2 tháng 7 năm 2025</t>
  </si>
  <si>
    <r>
      <rPr>
        <sz val="12"/>
        <color rgb="FF000000"/>
        <rFont val="Segoe UI"/>
      </rPr>
      <t xml:space="preserve">Tên Khách hàng: </t>
    </r>
    <r>
      <rPr>
        <sz val="12"/>
        <color rgb="FF000000"/>
        <rFont val="Segoe UI"/>
      </rPr>
      <t>Nhà hàng Daiichi Ramen (2)</t>
    </r>
  </si>
  <si>
    <r>
      <rPr>
        <sz val="12"/>
        <color rgb="FF000000"/>
        <rFont val="Segoe UI"/>
      </rPr>
      <t xml:space="preserve">Địa chỉ: </t>
    </r>
    <r>
      <rPr>
        <sz val="12"/>
        <color rgb="FF000000"/>
        <rFont val="Segoe UI"/>
      </rPr>
      <t>8A/2b2 Thái Văn Lung, Bến Nghé, Quận 1</t>
    </r>
  </si>
  <si>
    <t>Người liên hệ:                                                                                              Email:</t>
  </si>
  <si>
    <t>NGÀY</t>
  </si>
  <si>
    <t>MÃ KHÁCH HÀNG</t>
  </si>
  <si>
    <t>TÊN KHÁCH HÀNG</t>
  </si>
  <si>
    <t>MÃ ĐƠN HÀNG</t>
  </si>
  <si>
    <t>TỔNG TIỀN</t>
  </si>
  <si>
    <t>MÃ HÀNG</t>
  </si>
  <si>
    <t>TÊN HÀNG</t>
  </si>
  <si>
    <t>ĐVT</t>
  </si>
  <si>
    <t>SỐ LƯỢNG</t>
  </si>
  <si>
    <t>ĐƠN GIÁ</t>
  </si>
  <si>
    <t>THÀNH TIỀN</t>
  </si>
  <si>
    <t>GHI CHÚ</t>
  </si>
  <si>
    <t>C100897</t>
  </si>
  <si>
    <t>Nhà hàng Daiichi Ramen (2)</t>
  </si>
  <si>
    <t>000023</t>
  </si>
  <si>
    <t>I100003</t>
  </si>
  <si>
    <t>Bắp cải trắng</t>
  </si>
  <si>
    <t>Kg</t>
  </si>
  <si>
    <t/>
  </si>
  <si>
    <t>I100008</t>
  </si>
  <si>
    <t>Bắp mỹ trái (Loại 1)</t>
  </si>
  <si>
    <t>Trái</t>
  </si>
  <si>
    <t>I100010</t>
  </si>
  <si>
    <t>Bầu xanh</t>
  </si>
  <si>
    <t>I100011</t>
  </si>
  <si>
    <t>Bí đao</t>
  </si>
  <si>
    <t>I100034</t>
  </si>
  <si>
    <t>Cà chua</t>
  </si>
  <si>
    <t>I100039</t>
  </si>
  <si>
    <t>Cà rốt</t>
  </si>
  <si>
    <t>I100044</t>
  </si>
  <si>
    <t>Cải chua nguyên cây</t>
  </si>
  <si>
    <t>ko xuất đc nếu có xuất thì đổi thành cải sậy</t>
  </si>
  <si>
    <t>I100047</t>
  </si>
  <si>
    <t>Cải ngọt</t>
  </si>
  <si>
    <t>I100051</t>
  </si>
  <si>
    <t>Cải thảo</t>
  </si>
  <si>
    <t>I100052</t>
  </si>
  <si>
    <t>Cải thìa</t>
  </si>
  <si>
    <t>I100468</t>
  </si>
  <si>
    <t>Cam tươi</t>
  </si>
  <si>
    <t>I100060</t>
  </si>
  <si>
    <t>Chanh không hạt</t>
  </si>
  <si>
    <t>I100262</t>
  </si>
  <si>
    <t>Đậu hủ trắng Ichiban</t>
  </si>
  <si>
    <t>Cây</t>
  </si>
  <si>
    <t>không xuất được hóa đơn</t>
  </si>
  <si>
    <t>I100479</t>
  </si>
  <si>
    <t>Dưa hấu</t>
  </si>
  <si>
    <t>I100360</t>
  </si>
  <si>
    <t>Dừa xiêm</t>
  </si>
  <si>
    <t>I100094</t>
  </si>
  <si>
    <t>Giá tươi</t>
  </si>
  <si>
    <t>I100098</t>
  </si>
  <si>
    <t>Hành lá</t>
  </si>
  <si>
    <t>I100099</t>
  </si>
  <si>
    <t>Hành Paro</t>
  </si>
  <si>
    <t>I100101</t>
  </si>
  <si>
    <t>Hành tây</t>
  </si>
  <si>
    <t>I100111</t>
  </si>
  <si>
    <t>Hẹ lá</t>
  </si>
  <si>
    <t>I100128</t>
  </si>
  <si>
    <t>Khoai Tây DL lớn</t>
  </si>
  <si>
    <t>I100151</t>
  </si>
  <si>
    <t>Mướp hương</t>
  </si>
  <si>
    <t>I100167</t>
  </si>
  <si>
    <t>Ớt hiểm đỏ</t>
  </si>
  <si>
    <t>I100217</t>
  </si>
  <si>
    <t>Tần ô</t>
  </si>
  <si>
    <t>I100891</t>
  </si>
  <si>
    <t>Thơm chín</t>
  </si>
  <si>
    <t>I100232</t>
  </si>
  <si>
    <t>Tỏi xay</t>
  </si>
  <si>
    <t>bỏ xay</t>
  </si>
  <si>
    <t>I100207</t>
  </si>
  <si>
    <t>Xà lách lolo xanh</t>
  </si>
  <si>
    <t>TỔNG THÀNH TIỀN</t>
  </si>
  <si>
    <r>
      <rPr>
        <sz val="11"/>
        <color rgb="FF000000"/>
        <rFont val="Segoe UI"/>
      </rPr>
      <t xml:space="preserve">Người mua hàng
</t>
    </r>
    <r>
      <rPr>
        <sz val="11"/>
        <color rgb="FF000000"/>
        <rFont val="Segoe UI"/>
      </rPr>
      <t>(</t>
    </r>
    <r>
      <rPr>
        <i/>
        <sz val="11"/>
        <color rgb="FF000000"/>
        <rFont val="Segoe UI"/>
      </rPr>
      <t>Ký, ghi rõ họ, tên)</t>
    </r>
  </si>
  <si>
    <r>
      <rPr>
        <sz val="11"/>
        <color rgb="FF000000"/>
        <rFont val="Segoe UI"/>
      </rPr>
      <t xml:space="preserve">Thủ trưởng đơn vị
</t>
    </r>
    <r>
      <rPr>
        <i/>
        <sz val="11"/>
        <color rgb="FF000000"/>
        <rFont val="Segoe UI"/>
      </rPr>
      <t xml:space="preserve">(Ký, đóng dấu, ghi rõ họ, tên)
</t>
    </r>
    <r>
      <rPr>
        <b/>
        <sz val="11"/>
        <color rgb="FF000000"/>
        <rFont val="Segoe UI"/>
      </rPr>
      <t>TRẦN THẾ HIỂN</t>
    </r>
  </si>
  <si>
    <r>
      <rPr>
        <sz val="11"/>
        <color rgb="FF000000"/>
        <rFont val="Segoe UI"/>
      </rPr>
      <t xml:space="preserve">Người bán hàng
</t>
    </r>
    <r>
      <rPr>
        <i/>
        <sz val="11"/>
        <color rgb="FF000000"/>
        <rFont val="Segoe UI"/>
      </rPr>
      <t xml:space="preserve">(Ký, ghi rõ họ, tên)
</t>
    </r>
  </si>
  <si>
    <t>THÀNH TIỀN TRƯỚC THUẾ</t>
  </si>
  <si>
    <t xml:space="preserve">VAT </t>
  </si>
  <si>
    <t>TIỀN THUẾ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</si>
</sst>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10409]dd/mm/yyyy"/>
    <numFmt numFmtId="165" formatCode="[$-10409]#,##0;\(#,##0\)"/>
    <numFmt numFmtId="166" formatCode="[$-10409]#,##0.000;\(#,##0.000\)"/>
    <numFmt numFmtId="167" formatCode="_(* #,##0_);_(* \(#,##0\);_(* &quot;-&quot;??_);_(@_)"/>
  </numFmts>
  <fonts count="13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Segoe UI Light"/>
    </font>
    <font>
      <b/>
      <sz val="16"/>
      <color rgb="FF000000"/>
      <name val="Segoe UI"/>
    </font>
    <font>
      <i/>
      <sz val="11"/>
      <color rgb="FF000000"/>
      <name val="Segoe UI"/>
    </font>
    <font>
      <sz val="12"/>
      <color rgb="FF000000"/>
      <name val="Segoe UI"/>
    </font>
    <font>
      <b/>
      <sz val="11"/>
      <color rgb="FF000000"/>
      <name val="Arial"/>
    </font>
    <font>
      <b/>
      <sz val="11"/>
      <color rgb="FF000000"/>
      <name val="Segoe UI"/>
    </font>
    <font>
      <sz val="11"/>
      <color rgb="FF000000"/>
      <name val="Arial"/>
    </font>
    <font>
      <sz val="11"/>
      <color rgb="FF000000"/>
      <name val="Segoe UI"/>
    </font>
    <font>
      <b/>
      <sz val="11"/>
      <color rgb="FFFF0000"/>
      <name val="Arial"/>
    </font>
    <font>
      <sz val="11"/>
      <color rgb="FF000000"/>
      <name val="Segoe UI Light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  <fill>
      <patternFill patternType="solid">
        <fgColor rgb="FF6495ED"/>
        <bgColor rgb="FF6495ED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40">
    <xf numFmtId="0" fontId="1" fillId="0" borderId="0" xfId="0" applyFont="1"/>
    <xf numFmtId="0" fontId="6" fillId="2" borderId="4" xfId="0" applyFont="1" applyFill="1" applyBorder="1" applyAlignment="1">
      <alignment horizontal="center" vertical="center" wrapText="1" readingOrder="1"/>
    </xf>
    <xf numFmtId="0" fontId="7" fillId="2" borderId="4" xfId="0" applyFont="1" applyFill="1" applyBorder="1" applyAlignment="1">
      <alignment horizontal="center" vertical="center" wrapText="1" readingOrder="1"/>
    </xf>
    <xf numFmtId="0" fontId="9" fillId="0" borderId="4" xfId="0" applyFont="1" applyBorder="1" applyAlignment="1">
      <alignment vertical="top" wrapText="1" readingOrder="1"/>
    </xf>
    <xf numFmtId="0" fontId="8" fillId="0" borderId="4" xfId="0" applyFont="1" applyBorder="1" applyAlignment="1">
      <alignment horizontal="center" vertical="top" wrapText="1" readingOrder="1"/>
    </xf>
    <xf numFmtId="166" fontId="8" fillId="0" borderId="4" xfId="0" applyNumberFormat="1" applyFont="1" applyBorder="1" applyAlignment="1">
      <alignment vertical="top" wrapText="1" readingOrder="1"/>
    </xf>
    <xf numFmtId="165" fontId="8" fillId="0" borderId="4" xfId="0" applyNumberFormat="1" applyFont="1" applyBorder="1" applyAlignment="1">
      <alignment vertical="top" wrapText="1" readingOrder="1"/>
    </xf>
    <xf numFmtId="0" fontId="8" fillId="0" borderId="4" xfId="0" applyFont="1" applyBorder="1" applyAlignment="1">
      <alignment vertical="top" wrapText="1" readingOrder="1"/>
    </xf>
    <xf numFmtId="0" fontId="8" fillId="3" borderId="4" xfId="0" applyFont="1" applyFill="1" applyBorder="1" applyAlignment="1">
      <alignment vertical="top" wrapText="1" readingOrder="1"/>
    </xf>
    <xf numFmtId="0" fontId="6" fillId="3" borderId="4" xfId="0" applyFont="1" applyFill="1" applyBorder="1" applyAlignment="1">
      <alignment vertical="top" wrapText="1" readingOrder="1"/>
    </xf>
    <xf numFmtId="165" fontId="10" fillId="3" borderId="4" xfId="0" applyNumberFormat="1" applyFont="1" applyFill="1" applyBorder="1" applyAlignment="1">
      <alignment vertical="top" wrapText="1" readingOrder="1"/>
    </xf>
    <xf numFmtId="0" fontId="10" fillId="3" borderId="4" xfId="0" applyFont="1" applyFill="1" applyBorder="1" applyAlignment="1">
      <alignment vertical="top" wrapText="1" readingOrder="1"/>
    </xf>
    <xf numFmtId="9" fontId="8" fillId="0" borderId="4" xfId="2" applyFont="1" applyBorder="1" applyAlignment="1">
      <alignment vertical="top" wrapText="1" readingOrder="1"/>
    </xf>
    <xf numFmtId="0" fontId="1" fillId="0" borderId="0" xfId="0" applyFont="1" applyAlignment="1">
      <alignment vertical="top" wrapText="1"/>
    </xf>
    <xf numFmtId="167" fontId="8" fillId="0" borderId="4" xfId="1" applyNumberFormat="1" applyFont="1" applyBorder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right" vertical="top" wrapText="1" readingOrder="1"/>
    </xf>
    <xf numFmtId="0" fontId="5" fillId="0" borderId="4" xfId="0" applyFont="1" applyBorder="1" applyAlignment="1">
      <alignment vertical="center" wrapText="1" readingOrder="1"/>
    </xf>
    <xf numFmtId="0" fontId="10" fillId="3" borderId="4" xfId="0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center" vertical="top" wrapText="1" readingOrder="1"/>
    </xf>
    <xf numFmtId="0" fontId="1" fillId="0" borderId="0" xfId="0" applyFont="1"/>
    <xf numFmtId="0" fontId="6" fillId="2" borderId="4" xfId="0" applyFont="1" applyFill="1" applyBorder="1" applyAlignment="1">
      <alignment horizontal="center" vertical="center" wrapText="1" readingOrder="1"/>
    </xf>
    <xf numFmtId="164" fontId="8" fillId="0" borderId="4" xfId="0" applyNumberFormat="1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8" fillId="0" borderId="4" xfId="0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vertical="center" wrapText="1" readingOrder="1"/>
    </xf>
    <xf numFmtId="165" fontId="8" fillId="0" borderId="4" xfId="0" applyNumberFormat="1" applyFont="1" applyBorder="1" applyAlignment="1">
      <alignment vertical="center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165" fontId="1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E68C"/>
      <rgbColor rgb="006495ED"/>
      <rgbColor rgb="00FF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9753</xdr:colOff>
      <xdr:row>1</xdr:row>
      <xdr:rowOff>9067</xdr:rowOff>
    </xdr:from>
    <xdr:to>
      <xdr:col>5</xdr:col>
      <xdr:colOff>38100</xdr:colOff>
      <xdr:row>1</xdr:row>
      <xdr:rowOff>1284704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8"/>
  <sheetViews>
    <sheetView showGridLines="0" tabSelected="1" topLeftCell="A13" workbookViewId="0">
      <selection activeCell="P46" sqref="P46"/>
    </sheetView>
  </sheetViews>
  <sheetFormatPr defaultRowHeight="15"/>
  <cols>
    <col min="1" max="1" width="2.28515625" customWidth="1"/>
    <col min="2" max="2" width="12.28515625" customWidth="1"/>
    <col min="3" max="3" width="13.7109375" customWidth="1"/>
    <col min="4" max="4" width="21" customWidth="1"/>
    <col min="5" max="5" width="11.7109375" customWidth="1"/>
    <col min="6" max="6" width="0.7109375" customWidth="1"/>
    <col min="7" max="7" width="0.140625" customWidth="1"/>
    <col min="8" max="8" width="13.5703125" customWidth="1"/>
    <col min="9" max="9" width="16" customWidth="1"/>
    <col min="10" max="10" width="35.140625" customWidth="1"/>
    <col min="11" max="11" width="7.85546875" customWidth="1"/>
    <col min="12" max="12" width="9.42578125" customWidth="1"/>
    <col min="13" max="13" width="15.42578125" customWidth="1"/>
    <col min="14" max="14" width="16" customWidth="1"/>
    <col min="15" max="15" width="7.85546875" customWidth="1"/>
    <col min="16" max="16" width="10.140625" bestFit="1" customWidth="1"/>
    <col min="17" max="17" width="11.7109375" customWidth="1"/>
    <col min="18" max="18" width="28.7109375" customWidth="1"/>
  </cols>
  <sheetData>
    <row r="1" spans="2:18" ht="9.6" customHeight="1"/>
    <row r="2" spans="2:18" ht="102.95" customHeight="1">
      <c r="B2" s="15"/>
      <c r="C2" s="16"/>
      <c r="D2" s="16"/>
      <c r="E2" s="16"/>
      <c r="F2" s="17"/>
      <c r="H2" s="18" t="s">
        <v>0</v>
      </c>
      <c r="I2" s="16"/>
      <c r="J2" s="16"/>
      <c r="K2" s="16"/>
      <c r="L2" s="16"/>
      <c r="M2" s="16"/>
      <c r="N2" s="17"/>
      <c r="O2" s="13"/>
      <c r="P2" s="13"/>
      <c r="Q2" s="13"/>
    </row>
    <row r="3" spans="2:18" ht="1.1499999999999999" customHeight="1"/>
    <row r="4" spans="2:18" ht="24.75" customHeight="1">
      <c r="B4" s="19" t="s">
        <v>1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7"/>
      <c r="O4" s="13"/>
      <c r="P4" s="13"/>
      <c r="Q4" s="13"/>
    </row>
    <row r="5" spans="2:18" ht="2.1" customHeight="1"/>
    <row r="6" spans="2:18" ht="22.5" customHeight="1">
      <c r="B6" s="20" t="s">
        <v>2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7"/>
      <c r="O6" s="13"/>
      <c r="P6" s="13"/>
      <c r="Q6" s="13"/>
    </row>
    <row r="7" spans="2:18" ht="3" customHeight="1"/>
    <row r="8" spans="2:18" ht="24.95" customHeight="1">
      <c r="B8" s="21" t="s">
        <v>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7"/>
      <c r="O8" s="13"/>
      <c r="P8" s="13"/>
      <c r="Q8" s="13"/>
    </row>
    <row r="9" spans="2:18" ht="4.1500000000000004" customHeight="1"/>
    <row r="10" spans="2:18" ht="23.25" customHeight="1">
      <c r="B10" s="21" t="s">
        <v>4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7"/>
      <c r="O10" s="13"/>
      <c r="P10" s="13"/>
      <c r="Q10" s="13"/>
    </row>
    <row r="11" spans="2:18" ht="3.95" customHeight="1"/>
    <row r="12" spans="2:18" ht="23.85" customHeight="1">
      <c r="B12" s="21" t="s">
        <v>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7"/>
      <c r="O12" s="13"/>
      <c r="P12" s="13"/>
      <c r="Q12" s="13"/>
    </row>
    <row r="13" spans="2:18" ht="5.0999999999999996" customHeight="1"/>
    <row r="14" spans="2:18" ht="30">
      <c r="B14" s="1" t="s">
        <v>6</v>
      </c>
      <c r="C14" s="1" t="s">
        <v>7</v>
      </c>
      <c r="D14" s="1" t="s">
        <v>8</v>
      </c>
      <c r="E14" s="1" t="s">
        <v>9</v>
      </c>
      <c r="F14" s="25" t="s">
        <v>10</v>
      </c>
      <c r="G14" s="16"/>
      <c r="H14" s="17"/>
      <c r="I14" s="2" t="s">
        <v>11</v>
      </c>
      <c r="J14" s="2" t="s">
        <v>12</v>
      </c>
      <c r="K14" s="1" t="s">
        <v>13</v>
      </c>
      <c r="L14" s="1" t="s">
        <v>14</v>
      </c>
      <c r="M14" s="1" t="s">
        <v>15</v>
      </c>
      <c r="N14" s="1" t="s">
        <v>86</v>
      </c>
      <c r="O14" s="1" t="s">
        <v>87</v>
      </c>
      <c r="P14" s="1" t="s">
        <v>88</v>
      </c>
      <c r="Q14" s="1" t="s">
        <v>16</v>
      </c>
      <c r="R14" s="1" t="s">
        <v>17</v>
      </c>
    </row>
    <row r="15" spans="2:18" ht="16.5">
      <c r="B15" s="26">
        <v>45840</v>
      </c>
      <c r="C15" s="29" t="s">
        <v>18</v>
      </c>
      <c r="D15" s="29" t="s">
        <v>19</v>
      </c>
      <c r="E15" s="30" t="s">
        <v>20</v>
      </c>
      <c r="F15" s="31">
        <v>1399200</v>
      </c>
      <c r="G15" s="32"/>
      <c r="H15" s="33"/>
      <c r="I15" s="3" t="s">
        <v>21</v>
      </c>
      <c r="J15" s="3" t="s">
        <v>22</v>
      </c>
      <c r="K15" s="4" t="s">
        <v>23</v>
      </c>
      <c r="L15" s="5">
        <v>5.9</v>
      </c>
      <c r="M15" s="6">
        <v>15000</v>
      </c>
      <c r="N15" s="6">
        <v>88500</v>
      </c>
      <c r="O15" s="12">
        <v>0.05</v>
      </c>
      <c r="P15" s="14">
        <f>N15*O15</f>
        <v>4425</v>
      </c>
      <c r="Q15" s="14">
        <f>N15+P15</f>
        <v>92925</v>
      </c>
      <c r="R15" s="7" t="s">
        <v>24</v>
      </c>
    </row>
    <row r="16" spans="2:18" ht="16.5">
      <c r="B16" s="27"/>
      <c r="C16" s="27"/>
      <c r="D16" s="27"/>
      <c r="E16" s="27"/>
      <c r="F16" s="34"/>
      <c r="G16" s="24"/>
      <c r="H16" s="35"/>
      <c r="I16" s="3" t="s">
        <v>25</v>
      </c>
      <c r="J16" s="3" t="s">
        <v>26</v>
      </c>
      <c r="K16" s="4" t="s">
        <v>27</v>
      </c>
      <c r="L16" s="5">
        <v>2</v>
      </c>
      <c r="M16" s="6">
        <v>8000</v>
      </c>
      <c r="N16" s="6">
        <v>16000</v>
      </c>
      <c r="O16" s="12">
        <v>0.05</v>
      </c>
      <c r="P16" s="14">
        <f t="shared" ref="P16:P41" si="0">N16*O16</f>
        <v>800</v>
      </c>
      <c r="Q16" s="14">
        <f t="shared" ref="Q16:Q41" si="1">N16+P16</f>
        <v>16800</v>
      </c>
      <c r="R16" s="7" t="s">
        <v>24</v>
      </c>
    </row>
    <row r="17" spans="2:18" ht="16.5">
      <c r="B17" s="27"/>
      <c r="C17" s="27"/>
      <c r="D17" s="27"/>
      <c r="E17" s="27"/>
      <c r="F17" s="34"/>
      <c r="G17" s="24"/>
      <c r="H17" s="35"/>
      <c r="I17" s="3" t="s">
        <v>28</v>
      </c>
      <c r="J17" s="3" t="s">
        <v>29</v>
      </c>
      <c r="K17" s="4" t="s">
        <v>23</v>
      </c>
      <c r="L17" s="5">
        <v>1.2</v>
      </c>
      <c r="M17" s="6">
        <v>20000</v>
      </c>
      <c r="N17" s="6">
        <v>24000</v>
      </c>
      <c r="O17" s="12">
        <v>0.05</v>
      </c>
      <c r="P17" s="14">
        <f t="shared" si="0"/>
        <v>1200</v>
      </c>
      <c r="Q17" s="14">
        <f t="shared" si="1"/>
        <v>25200</v>
      </c>
      <c r="R17" s="7" t="s">
        <v>24</v>
      </c>
    </row>
    <row r="18" spans="2:18" ht="16.5">
      <c r="B18" s="27"/>
      <c r="C18" s="27"/>
      <c r="D18" s="27"/>
      <c r="E18" s="27"/>
      <c r="F18" s="34"/>
      <c r="G18" s="24"/>
      <c r="H18" s="35"/>
      <c r="I18" s="3" t="s">
        <v>30</v>
      </c>
      <c r="J18" s="3" t="s">
        <v>31</v>
      </c>
      <c r="K18" s="4" t="s">
        <v>23</v>
      </c>
      <c r="L18" s="5">
        <v>1.2</v>
      </c>
      <c r="M18" s="6">
        <v>20000</v>
      </c>
      <c r="N18" s="6">
        <v>24000</v>
      </c>
      <c r="O18" s="12">
        <v>0.05</v>
      </c>
      <c r="P18" s="14">
        <f t="shared" si="0"/>
        <v>1200</v>
      </c>
      <c r="Q18" s="14">
        <f t="shared" si="1"/>
        <v>25200</v>
      </c>
      <c r="R18" s="7" t="s">
        <v>24</v>
      </c>
    </row>
    <row r="19" spans="2:18" ht="16.5">
      <c r="B19" s="27"/>
      <c r="C19" s="27"/>
      <c r="D19" s="27"/>
      <c r="E19" s="27"/>
      <c r="F19" s="34"/>
      <c r="G19" s="24"/>
      <c r="H19" s="35"/>
      <c r="I19" s="3" t="s">
        <v>32</v>
      </c>
      <c r="J19" s="3" t="s">
        <v>33</v>
      </c>
      <c r="K19" s="4" t="s">
        <v>23</v>
      </c>
      <c r="L19" s="5">
        <v>2.2000000000000002</v>
      </c>
      <c r="M19" s="6">
        <v>24000</v>
      </c>
      <c r="N19" s="6">
        <v>52800</v>
      </c>
      <c r="O19" s="12">
        <v>0.05</v>
      </c>
      <c r="P19" s="14">
        <f t="shared" si="0"/>
        <v>2640</v>
      </c>
      <c r="Q19" s="14">
        <f t="shared" si="1"/>
        <v>55440</v>
      </c>
      <c r="R19" s="7" t="s">
        <v>24</v>
      </c>
    </row>
    <row r="20" spans="2:18" ht="16.5">
      <c r="B20" s="27"/>
      <c r="C20" s="27"/>
      <c r="D20" s="27"/>
      <c r="E20" s="27"/>
      <c r="F20" s="34"/>
      <c r="G20" s="24"/>
      <c r="H20" s="35"/>
      <c r="I20" s="3" t="s">
        <v>34</v>
      </c>
      <c r="J20" s="3" t="s">
        <v>35</v>
      </c>
      <c r="K20" s="4" t="s">
        <v>23</v>
      </c>
      <c r="L20" s="5">
        <v>3.2</v>
      </c>
      <c r="M20" s="6">
        <v>14000</v>
      </c>
      <c r="N20" s="6">
        <v>44800</v>
      </c>
      <c r="O20" s="12">
        <v>0.05</v>
      </c>
      <c r="P20" s="14">
        <f t="shared" si="0"/>
        <v>2240</v>
      </c>
      <c r="Q20" s="14">
        <f t="shared" si="1"/>
        <v>47040</v>
      </c>
      <c r="R20" s="7" t="s">
        <v>24</v>
      </c>
    </row>
    <row r="21" spans="2:18" ht="28.5">
      <c r="B21" s="27"/>
      <c r="C21" s="27"/>
      <c r="D21" s="27"/>
      <c r="E21" s="27"/>
      <c r="F21" s="34"/>
      <c r="G21" s="24"/>
      <c r="H21" s="35"/>
      <c r="I21" s="3" t="s">
        <v>36</v>
      </c>
      <c r="J21" s="3" t="s">
        <v>37</v>
      </c>
      <c r="K21" s="4" t="s">
        <v>23</v>
      </c>
      <c r="L21" s="5">
        <v>1</v>
      </c>
      <c r="M21" s="6">
        <v>20000</v>
      </c>
      <c r="N21" s="6">
        <v>20000</v>
      </c>
      <c r="O21" s="12">
        <v>0.05</v>
      </c>
      <c r="P21" s="14">
        <f t="shared" si="0"/>
        <v>1000</v>
      </c>
      <c r="Q21" s="14">
        <f t="shared" si="1"/>
        <v>21000</v>
      </c>
      <c r="R21" s="7" t="s">
        <v>38</v>
      </c>
    </row>
    <row r="22" spans="2:18" ht="16.5">
      <c r="B22" s="27"/>
      <c r="C22" s="27"/>
      <c r="D22" s="27"/>
      <c r="E22" s="27"/>
      <c r="F22" s="34"/>
      <c r="G22" s="24"/>
      <c r="H22" s="35"/>
      <c r="I22" s="3" t="s">
        <v>39</v>
      </c>
      <c r="J22" s="3" t="s">
        <v>40</v>
      </c>
      <c r="K22" s="4" t="s">
        <v>23</v>
      </c>
      <c r="L22" s="5">
        <v>2.7</v>
      </c>
      <c r="M22" s="6">
        <v>24000</v>
      </c>
      <c r="N22" s="6">
        <v>64800</v>
      </c>
      <c r="O22" s="12">
        <v>0.05</v>
      </c>
      <c r="P22" s="14">
        <f t="shared" si="0"/>
        <v>3240</v>
      </c>
      <c r="Q22" s="14">
        <f t="shared" si="1"/>
        <v>68040</v>
      </c>
      <c r="R22" s="7" t="s">
        <v>24</v>
      </c>
    </row>
    <row r="23" spans="2:18" ht="16.5">
      <c r="B23" s="27"/>
      <c r="C23" s="27"/>
      <c r="D23" s="27"/>
      <c r="E23" s="27"/>
      <c r="F23" s="34"/>
      <c r="G23" s="24"/>
      <c r="H23" s="35"/>
      <c r="I23" s="3" t="s">
        <v>41</v>
      </c>
      <c r="J23" s="3" t="s">
        <v>42</v>
      </c>
      <c r="K23" s="4" t="s">
        <v>23</v>
      </c>
      <c r="L23" s="5">
        <v>1.2</v>
      </c>
      <c r="M23" s="6">
        <v>15000</v>
      </c>
      <c r="N23" s="6">
        <v>18000</v>
      </c>
      <c r="O23" s="12">
        <v>0.05</v>
      </c>
      <c r="P23" s="14">
        <f t="shared" si="0"/>
        <v>900</v>
      </c>
      <c r="Q23" s="14">
        <f t="shared" si="1"/>
        <v>18900</v>
      </c>
      <c r="R23" s="7" t="s">
        <v>24</v>
      </c>
    </row>
    <row r="24" spans="2:18" ht="16.5">
      <c r="B24" s="27"/>
      <c r="C24" s="27"/>
      <c r="D24" s="27"/>
      <c r="E24" s="27"/>
      <c r="F24" s="34"/>
      <c r="G24" s="24"/>
      <c r="H24" s="35"/>
      <c r="I24" s="3" t="s">
        <v>43</v>
      </c>
      <c r="J24" s="3" t="s">
        <v>44</v>
      </c>
      <c r="K24" s="4" t="s">
        <v>23</v>
      </c>
      <c r="L24" s="5">
        <v>3</v>
      </c>
      <c r="M24" s="6">
        <v>25000</v>
      </c>
      <c r="N24" s="6">
        <v>75000</v>
      </c>
      <c r="O24" s="12">
        <v>0.05</v>
      </c>
      <c r="P24" s="14">
        <f t="shared" si="0"/>
        <v>3750</v>
      </c>
      <c r="Q24" s="14">
        <f t="shared" si="1"/>
        <v>78750</v>
      </c>
      <c r="R24" s="7" t="s">
        <v>24</v>
      </c>
    </row>
    <row r="25" spans="2:18" ht="16.5">
      <c r="B25" s="27"/>
      <c r="C25" s="27"/>
      <c r="D25" s="27"/>
      <c r="E25" s="27"/>
      <c r="F25" s="34"/>
      <c r="G25" s="24"/>
      <c r="H25" s="35"/>
      <c r="I25" s="3" t="s">
        <v>45</v>
      </c>
      <c r="J25" s="3" t="s">
        <v>46</v>
      </c>
      <c r="K25" s="4" t="s">
        <v>23</v>
      </c>
      <c r="L25" s="5">
        <v>0.4</v>
      </c>
      <c r="M25" s="6">
        <v>17000</v>
      </c>
      <c r="N25" s="6">
        <v>6800</v>
      </c>
      <c r="O25" s="12">
        <v>0.05</v>
      </c>
      <c r="P25" s="14">
        <f t="shared" si="0"/>
        <v>340</v>
      </c>
      <c r="Q25" s="14">
        <f t="shared" si="1"/>
        <v>7140</v>
      </c>
      <c r="R25" s="7" t="s">
        <v>24</v>
      </c>
    </row>
    <row r="26" spans="2:18" ht="16.5">
      <c r="B26" s="27"/>
      <c r="C26" s="27"/>
      <c r="D26" s="27"/>
      <c r="E26" s="27"/>
      <c r="F26" s="34"/>
      <c r="G26" s="24"/>
      <c r="H26" s="35"/>
      <c r="I26" s="3" t="s">
        <v>47</v>
      </c>
      <c r="J26" s="3" t="s">
        <v>48</v>
      </c>
      <c r="K26" s="4" t="s">
        <v>23</v>
      </c>
      <c r="L26" s="5">
        <v>1</v>
      </c>
      <c r="M26" s="6">
        <v>28000</v>
      </c>
      <c r="N26" s="6">
        <v>28000</v>
      </c>
      <c r="O26" s="12">
        <v>0.05</v>
      </c>
      <c r="P26" s="14">
        <f t="shared" si="0"/>
        <v>1400</v>
      </c>
      <c r="Q26" s="14">
        <f t="shared" si="1"/>
        <v>29400</v>
      </c>
      <c r="R26" s="7" t="s">
        <v>24</v>
      </c>
    </row>
    <row r="27" spans="2:18" ht="16.5">
      <c r="B27" s="27"/>
      <c r="C27" s="27"/>
      <c r="D27" s="27"/>
      <c r="E27" s="27"/>
      <c r="F27" s="34"/>
      <c r="G27" s="24"/>
      <c r="H27" s="35"/>
      <c r="I27" s="3" t="s">
        <v>49</v>
      </c>
      <c r="J27" s="3" t="s">
        <v>50</v>
      </c>
      <c r="K27" s="4" t="s">
        <v>51</v>
      </c>
      <c r="L27" s="5">
        <v>10</v>
      </c>
      <c r="M27" s="6">
        <v>11000</v>
      </c>
      <c r="N27" s="6">
        <v>110000</v>
      </c>
      <c r="O27" s="12">
        <v>0.05</v>
      </c>
      <c r="P27" s="14">
        <f t="shared" si="0"/>
        <v>5500</v>
      </c>
      <c r="Q27" s="14">
        <f t="shared" si="1"/>
        <v>115500</v>
      </c>
      <c r="R27" s="7" t="s">
        <v>52</v>
      </c>
    </row>
    <row r="28" spans="2:18" ht="16.5">
      <c r="B28" s="27"/>
      <c r="C28" s="27"/>
      <c r="D28" s="27"/>
      <c r="E28" s="27"/>
      <c r="F28" s="34"/>
      <c r="G28" s="24"/>
      <c r="H28" s="35"/>
      <c r="I28" s="3" t="s">
        <v>53</v>
      </c>
      <c r="J28" s="3" t="s">
        <v>54</v>
      </c>
      <c r="K28" s="4" t="s">
        <v>23</v>
      </c>
      <c r="L28" s="5">
        <v>2.5</v>
      </c>
      <c r="M28" s="6">
        <v>16000</v>
      </c>
      <c r="N28" s="6">
        <v>40000</v>
      </c>
      <c r="O28" s="12">
        <v>0.05</v>
      </c>
      <c r="P28" s="14">
        <f t="shared" si="0"/>
        <v>2000</v>
      </c>
      <c r="Q28" s="14">
        <f t="shared" si="1"/>
        <v>42000</v>
      </c>
      <c r="R28" s="7" t="s">
        <v>24</v>
      </c>
    </row>
    <row r="29" spans="2:18" ht="16.5">
      <c r="B29" s="27"/>
      <c r="C29" s="27"/>
      <c r="D29" s="27"/>
      <c r="E29" s="27"/>
      <c r="F29" s="34"/>
      <c r="G29" s="24"/>
      <c r="H29" s="35"/>
      <c r="I29" s="3" t="s">
        <v>55</v>
      </c>
      <c r="J29" s="3" t="s">
        <v>56</v>
      </c>
      <c r="K29" s="4" t="s">
        <v>27</v>
      </c>
      <c r="L29" s="5">
        <v>5</v>
      </c>
      <c r="M29" s="6">
        <v>20000</v>
      </c>
      <c r="N29" s="6">
        <v>100000</v>
      </c>
      <c r="O29" s="12">
        <v>0.05</v>
      </c>
      <c r="P29" s="14">
        <f t="shared" si="0"/>
        <v>5000</v>
      </c>
      <c r="Q29" s="14">
        <f t="shared" si="1"/>
        <v>105000</v>
      </c>
      <c r="R29" s="7" t="s">
        <v>24</v>
      </c>
    </row>
    <row r="30" spans="2:18" ht="16.5">
      <c r="B30" s="27"/>
      <c r="C30" s="27"/>
      <c r="D30" s="27"/>
      <c r="E30" s="27"/>
      <c r="F30" s="34"/>
      <c r="G30" s="24"/>
      <c r="H30" s="35"/>
      <c r="I30" s="3" t="s">
        <v>57</v>
      </c>
      <c r="J30" s="3" t="s">
        <v>58</v>
      </c>
      <c r="K30" s="4" t="s">
        <v>23</v>
      </c>
      <c r="L30" s="5">
        <v>1</v>
      </c>
      <c r="M30" s="6">
        <v>9000</v>
      </c>
      <c r="N30" s="6">
        <v>9000</v>
      </c>
      <c r="O30" s="12">
        <v>0.05</v>
      </c>
      <c r="P30" s="14">
        <f t="shared" si="0"/>
        <v>450</v>
      </c>
      <c r="Q30" s="14">
        <f t="shared" si="1"/>
        <v>9450</v>
      </c>
      <c r="R30" s="7" t="s">
        <v>24</v>
      </c>
    </row>
    <row r="31" spans="2:18" ht="16.5">
      <c r="B31" s="27"/>
      <c r="C31" s="27"/>
      <c r="D31" s="27"/>
      <c r="E31" s="27"/>
      <c r="F31" s="34"/>
      <c r="G31" s="24"/>
      <c r="H31" s="35"/>
      <c r="I31" s="3" t="s">
        <v>59</v>
      </c>
      <c r="J31" s="3" t="s">
        <v>60</v>
      </c>
      <c r="K31" s="4" t="s">
        <v>23</v>
      </c>
      <c r="L31" s="5">
        <v>2</v>
      </c>
      <c r="M31" s="6">
        <v>40000</v>
      </c>
      <c r="N31" s="6">
        <v>80000</v>
      </c>
      <c r="O31" s="12">
        <v>0.05</v>
      </c>
      <c r="P31" s="14">
        <f t="shared" si="0"/>
        <v>4000</v>
      </c>
      <c r="Q31" s="14">
        <f t="shared" si="1"/>
        <v>84000</v>
      </c>
      <c r="R31" s="7" t="s">
        <v>24</v>
      </c>
    </row>
    <row r="32" spans="2:18" ht="16.5">
      <c r="B32" s="27"/>
      <c r="C32" s="27"/>
      <c r="D32" s="27"/>
      <c r="E32" s="27"/>
      <c r="F32" s="34"/>
      <c r="G32" s="24"/>
      <c r="H32" s="35"/>
      <c r="I32" s="3" t="s">
        <v>61</v>
      </c>
      <c r="J32" s="3" t="s">
        <v>62</v>
      </c>
      <c r="K32" s="4" t="s">
        <v>23</v>
      </c>
      <c r="L32" s="5">
        <v>2</v>
      </c>
      <c r="M32" s="6">
        <v>32000</v>
      </c>
      <c r="N32" s="6">
        <v>64000</v>
      </c>
      <c r="O32" s="12">
        <v>0.05</v>
      </c>
      <c r="P32" s="14">
        <f t="shared" si="0"/>
        <v>3200</v>
      </c>
      <c r="Q32" s="14">
        <f t="shared" si="1"/>
        <v>67200</v>
      </c>
      <c r="R32" s="7" t="s">
        <v>24</v>
      </c>
    </row>
    <row r="33" spans="2:18" ht="16.5">
      <c r="B33" s="27"/>
      <c r="C33" s="27"/>
      <c r="D33" s="27"/>
      <c r="E33" s="27"/>
      <c r="F33" s="34"/>
      <c r="G33" s="24"/>
      <c r="H33" s="35"/>
      <c r="I33" s="3" t="s">
        <v>63</v>
      </c>
      <c r="J33" s="3" t="s">
        <v>64</v>
      </c>
      <c r="K33" s="4" t="s">
        <v>23</v>
      </c>
      <c r="L33" s="5">
        <v>4</v>
      </c>
      <c r="M33" s="6">
        <v>15000</v>
      </c>
      <c r="N33" s="6">
        <v>60000</v>
      </c>
      <c r="O33" s="12">
        <v>0.05</v>
      </c>
      <c r="P33" s="14">
        <f t="shared" si="0"/>
        <v>3000</v>
      </c>
      <c r="Q33" s="14">
        <f t="shared" si="1"/>
        <v>63000</v>
      </c>
      <c r="R33" s="7" t="s">
        <v>24</v>
      </c>
    </row>
    <row r="34" spans="2:18" ht="16.5">
      <c r="B34" s="27"/>
      <c r="C34" s="27"/>
      <c r="D34" s="27"/>
      <c r="E34" s="27"/>
      <c r="F34" s="34"/>
      <c r="G34" s="24"/>
      <c r="H34" s="35"/>
      <c r="I34" s="3" t="s">
        <v>65</v>
      </c>
      <c r="J34" s="3" t="s">
        <v>66</v>
      </c>
      <c r="K34" s="4" t="s">
        <v>23</v>
      </c>
      <c r="L34" s="5">
        <v>0.3</v>
      </c>
      <c r="M34" s="6">
        <v>25000</v>
      </c>
      <c r="N34" s="6">
        <v>7500</v>
      </c>
      <c r="O34" s="12">
        <v>0.05</v>
      </c>
      <c r="P34" s="14">
        <f t="shared" si="0"/>
        <v>375</v>
      </c>
      <c r="Q34" s="14">
        <f t="shared" si="1"/>
        <v>7875</v>
      </c>
      <c r="R34" s="7" t="s">
        <v>24</v>
      </c>
    </row>
    <row r="35" spans="2:18" ht="16.5">
      <c r="B35" s="27"/>
      <c r="C35" s="27"/>
      <c r="D35" s="27"/>
      <c r="E35" s="27"/>
      <c r="F35" s="34"/>
      <c r="G35" s="24"/>
      <c r="H35" s="35"/>
      <c r="I35" s="3" t="s">
        <v>67</v>
      </c>
      <c r="J35" s="3" t="s">
        <v>68</v>
      </c>
      <c r="K35" s="4" t="s">
        <v>23</v>
      </c>
      <c r="L35" s="5">
        <v>5.2</v>
      </c>
      <c r="M35" s="6">
        <v>30000</v>
      </c>
      <c r="N35" s="6">
        <v>156000</v>
      </c>
      <c r="O35" s="12">
        <v>0.05</v>
      </c>
      <c r="P35" s="14">
        <f t="shared" si="0"/>
        <v>7800</v>
      </c>
      <c r="Q35" s="14">
        <f t="shared" si="1"/>
        <v>163800</v>
      </c>
      <c r="R35" s="7" t="s">
        <v>24</v>
      </c>
    </row>
    <row r="36" spans="2:18" ht="16.5">
      <c r="B36" s="27"/>
      <c r="C36" s="27"/>
      <c r="D36" s="27"/>
      <c r="E36" s="27"/>
      <c r="F36" s="34"/>
      <c r="G36" s="24"/>
      <c r="H36" s="35"/>
      <c r="I36" s="3" t="s">
        <v>69</v>
      </c>
      <c r="J36" s="3" t="s">
        <v>70</v>
      </c>
      <c r="K36" s="4" t="s">
        <v>23</v>
      </c>
      <c r="L36" s="5">
        <v>1</v>
      </c>
      <c r="M36" s="6">
        <v>18000</v>
      </c>
      <c r="N36" s="6">
        <v>18000</v>
      </c>
      <c r="O36" s="12">
        <v>0.05</v>
      </c>
      <c r="P36" s="14">
        <f t="shared" si="0"/>
        <v>900</v>
      </c>
      <c r="Q36" s="14">
        <f t="shared" si="1"/>
        <v>18900</v>
      </c>
      <c r="R36" s="7" t="s">
        <v>24</v>
      </c>
    </row>
    <row r="37" spans="2:18" ht="16.5">
      <c r="B37" s="27"/>
      <c r="C37" s="27"/>
      <c r="D37" s="27"/>
      <c r="E37" s="27"/>
      <c r="F37" s="34"/>
      <c r="G37" s="24"/>
      <c r="H37" s="35"/>
      <c r="I37" s="3" t="s">
        <v>71</v>
      </c>
      <c r="J37" s="3" t="s">
        <v>72</v>
      </c>
      <c r="K37" s="4" t="s">
        <v>23</v>
      </c>
      <c r="L37" s="5">
        <v>1</v>
      </c>
      <c r="M37" s="6">
        <v>65000</v>
      </c>
      <c r="N37" s="6">
        <v>65000</v>
      </c>
      <c r="O37" s="12">
        <v>0.05</v>
      </c>
      <c r="P37" s="14">
        <f t="shared" si="0"/>
        <v>3250</v>
      </c>
      <c r="Q37" s="14">
        <f t="shared" si="1"/>
        <v>68250</v>
      </c>
      <c r="R37" s="7" t="s">
        <v>24</v>
      </c>
    </row>
    <row r="38" spans="2:18" ht="16.5">
      <c r="B38" s="27"/>
      <c r="C38" s="27"/>
      <c r="D38" s="27"/>
      <c r="E38" s="27"/>
      <c r="F38" s="34"/>
      <c r="G38" s="24"/>
      <c r="H38" s="35"/>
      <c r="I38" s="3" t="s">
        <v>73</v>
      </c>
      <c r="J38" s="3" t="s">
        <v>74</v>
      </c>
      <c r="K38" s="4" t="s">
        <v>23</v>
      </c>
      <c r="L38" s="5">
        <v>1</v>
      </c>
      <c r="M38" s="6">
        <v>35000</v>
      </c>
      <c r="N38" s="6">
        <v>35000</v>
      </c>
      <c r="O38" s="12">
        <v>0.05</v>
      </c>
      <c r="P38" s="14">
        <f t="shared" si="0"/>
        <v>1750</v>
      </c>
      <c r="Q38" s="14">
        <f t="shared" si="1"/>
        <v>36750</v>
      </c>
      <c r="R38" s="7" t="s">
        <v>24</v>
      </c>
    </row>
    <row r="39" spans="2:18" ht="16.5">
      <c r="B39" s="27"/>
      <c r="C39" s="27"/>
      <c r="D39" s="27"/>
      <c r="E39" s="27"/>
      <c r="F39" s="34"/>
      <c r="G39" s="24"/>
      <c r="H39" s="35"/>
      <c r="I39" s="3" t="s">
        <v>75</v>
      </c>
      <c r="J39" s="3" t="s">
        <v>76</v>
      </c>
      <c r="K39" s="4" t="s">
        <v>27</v>
      </c>
      <c r="L39" s="5">
        <v>2</v>
      </c>
      <c r="M39" s="6">
        <v>35000</v>
      </c>
      <c r="N39" s="6">
        <v>70000</v>
      </c>
      <c r="O39" s="12">
        <v>0.05</v>
      </c>
      <c r="P39" s="14">
        <f t="shared" si="0"/>
        <v>3500</v>
      </c>
      <c r="Q39" s="14">
        <f t="shared" si="1"/>
        <v>73500</v>
      </c>
      <c r="R39" s="7" t="s">
        <v>24</v>
      </c>
    </row>
    <row r="40" spans="2:18" ht="16.5">
      <c r="B40" s="27"/>
      <c r="C40" s="27"/>
      <c r="D40" s="27"/>
      <c r="E40" s="27"/>
      <c r="F40" s="34"/>
      <c r="G40" s="24"/>
      <c r="H40" s="35"/>
      <c r="I40" s="3" t="s">
        <v>77</v>
      </c>
      <c r="J40" s="3" t="s">
        <v>78</v>
      </c>
      <c r="K40" s="4" t="s">
        <v>23</v>
      </c>
      <c r="L40" s="5">
        <v>1</v>
      </c>
      <c r="M40" s="6">
        <v>52000</v>
      </c>
      <c r="N40" s="6">
        <v>52000</v>
      </c>
      <c r="O40" s="12">
        <v>0.05</v>
      </c>
      <c r="P40" s="14">
        <f t="shared" si="0"/>
        <v>2600</v>
      </c>
      <c r="Q40" s="14">
        <f t="shared" si="1"/>
        <v>54600</v>
      </c>
      <c r="R40" s="7" t="s">
        <v>79</v>
      </c>
    </row>
    <row r="41" spans="2:18" ht="16.5">
      <c r="B41" s="28"/>
      <c r="C41" s="28"/>
      <c r="D41" s="28"/>
      <c r="E41" s="28"/>
      <c r="F41" s="36"/>
      <c r="G41" s="37"/>
      <c r="H41" s="38"/>
      <c r="I41" s="3" t="s">
        <v>80</v>
      </c>
      <c r="J41" s="3" t="s">
        <v>81</v>
      </c>
      <c r="K41" s="4" t="s">
        <v>23</v>
      </c>
      <c r="L41" s="5">
        <v>2</v>
      </c>
      <c r="M41" s="6">
        <v>35000</v>
      </c>
      <c r="N41" s="6">
        <v>70000</v>
      </c>
      <c r="O41" s="12">
        <v>0.05</v>
      </c>
      <c r="P41" s="14">
        <f t="shared" si="0"/>
        <v>3500</v>
      </c>
      <c r="Q41" s="14">
        <f t="shared" si="1"/>
        <v>73500</v>
      </c>
      <c r="R41" s="7" t="s">
        <v>24</v>
      </c>
    </row>
    <row r="42" spans="2:18">
      <c r="B42" s="22" t="s">
        <v>82</v>
      </c>
      <c r="C42" s="16"/>
      <c r="D42" s="16"/>
      <c r="E42" s="16"/>
      <c r="F42" s="16"/>
      <c r="G42" s="16"/>
      <c r="H42" s="17"/>
      <c r="I42" s="8" t="s">
        <v>24</v>
      </c>
      <c r="J42" s="8" t="s">
        <v>24</v>
      </c>
      <c r="K42" s="8" t="s">
        <v>24</v>
      </c>
      <c r="L42" s="9" t="s">
        <v>24</v>
      </c>
      <c r="M42" s="9" t="s">
        <v>24</v>
      </c>
      <c r="N42" s="10">
        <v>1399200</v>
      </c>
      <c r="O42" s="10"/>
      <c r="P42" s="10">
        <f>SUM(P15:P41)</f>
        <v>69960</v>
      </c>
      <c r="Q42" s="10">
        <f>SUM(Q15:Q41)</f>
        <v>1469160</v>
      </c>
      <c r="R42" s="11" t="s">
        <v>24</v>
      </c>
    </row>
    <row r="43" spans="2:18" ht="14.1" customHeight="1"/>
    <row r="44" spans="2:18">
      <c r="B44" s="23" t="s">
        <v>83</v>
      </c>
      <c r="C44" s="24"/>
      <c r="D44" s="24"/>
      <c r="K44" s="23" t="s">
        <v>84</v>
      </c>
      <c r="L44" s="24"/>
      <c r="M44" s="24"/>
    </row>
    <row r="45" spans="2:18">
      <c r="B45" s="24"/>
      <c r="C45" s="24"/>
      <c r="D45" s="24"/>
      <c r="F45" s="23" t="s">
        <v>85</v>
      </c>
      <c r="G45" s="24"/>
      <c r="H45" s="24"/>
      <c r="I45" s="24"/>
      <c r="K45" s="24"/>
      <c r="L45" s="24"/>
      <c r="M45" s="24"/>
      <c r="P45" s="39">
        <f>N42+P42</f>
        <v>1469160</v>
      </c>
    </row>
    <row r="46" spans="2:18">
      <c r="F46" s="24"/>
      <c r="G46" s="24"/>
      <c r="H46" s="24"/>
      <c r="I46" s="24"/>
      <c r="K46" s="24"/>
      <c r="L46" s="24"/>
      <c r="M46" s="24"/>
    </row>
    <row r="47" spans="2:18">
      <c r="F47" s="24"/>
      <c r="G47" s="24"/>
      <c r="H47" s="24"/>
      <c r="I47" s="24"/>
    </row>
    <row r="48" spans="2:18" ht="0.95" customHeight="1"/>
  </sheetData>
  <mergeCells count="17">
    <mergeCell ref="B42:H42"/>
    <mergeCell ref="B44:D45"/>
    <mergeCell ref="K44:M46"/>
    <mergeCell ref="F45:I47"/>
    <mergeCell ref="B10:N10"/>
    <mergeCell ref="B12:N12"/>
    <mergeCell ref="F14:H14"/>
    <mergeCell ref="B15:B41"/>
    <mergeCell ref="C15:C41"/>
    <mergeCell ref="D15:D41"/>
    <mergeCell ref="E15:E41"/>
    <mergeCell ref="F15:H41"/>
    <mergeCell ref="B2:F2"/>
    <mergeCell ref="H2:N2"/>
    <mergeCell ref="B4:N4"/>
    <mergeCell ref="B6:N6"/>
    <mergeCell ref="B8:N8"/>
  </mergeCells>
  <pageMargins left="1" right="1" top="1" bottom="1.3145799212598399" header="1" footer="1"/>
  <pageSetup orientation="portrait" horizontalDpi="300" verticalDpi="300"/>
  <headerFooter alignWithMargins="0">
    <oddFooter>&amp;L&amp;"Segoe UI"&amp;11&amp;P/&amp;N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CÔNG NỢ THEO NGÀY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Hp6300</dc:creator>
  <cp:lastModifiedBy>Hp6300</cp:lastModifiedBy>
  <dcterms:created xsi:type="dcterms:W3CDTF">2025-07-02T06:10:23Z</dcterms:created>
  <dcterms:modified xsi:type="dcterms:W3CDTF">2025-07-02T06:13:57Z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